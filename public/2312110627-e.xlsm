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\"/>
    </mc:Choice>
  </mc:AlternateContent>
  <xr:revisionPtr revIDLastSave="0" documentId="8_{A7C020BE-B58E-4646-BC9A-77520763EA46}" xr6:coauthVersionLast="47" xr6:coauthVersionMax="47" xr10:uidLastSave="{00000000-0000-0000-0000-000000000000}"/>
  <workbookProtection workbookAlgorithmName="SHA-512" workbookHashValue="Dx+Y0jyopAXAhmrpyxbHYNaZErIX0SHH7GDdl+JYjP5i/XT1cPGgVe5GZ2oXkTfsE6Rn0y0ZH9ppQZppU/0DAw==" workbookSaltValue="e/CxPevAC+kWzrjNyCXVDw==" workbookSpinCount="100000" lockStructure="1"/>
  <bookViews>
    <workbookView xWindow="-120" yWindow="-120" windowWidth="29040" windowHeight="15720" xr2:uid="{637237AC-8243-4DC0-BEBA-FB7B43096D2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81" i="1" l="1"/>
  <c r="S781" i="1"/>
  <c r="U781" i="1"/>
  <c r="X781" i="1"/>
  <c r="AD781" i="1" s="1"/>
  <c r="Y781" i="1"/>
  <c r="Z781" i="1"/>
  <c r="AC781" i="1"/>
  <c r="AF781" i="1"/>
  <c r="R759" i="1"/>
  <c r="AF759" i="1" s="1"/>
  <c r="S759" i="1"/>
  <c r="T759" i="1"/>
  <c r="U759" i="1"/>
  <c r="X759" i="1"/>
  <c r="AD759" i="1" s="1"/>
  <c r="Y759" i="1"/>
  <c r="Z759" i="1"/>
  <c r="AC759" i="1"/>
  <c r="R760" i="1"/>
  <c r="AF760" i="1" s="1"/>
  <c r="S760" i="1"/>
  <c r="U760" i="1"/>
  <c r="X760" i="1"/>
  <c r="AD760" i="1" s="1"/>
  <c r="Y760" i="1"/>
  <c r="Z760" i="1"/>
  <c r="AA760" i="1" s="1"/>
  <c r="AE760" i="1" s="1"/>
  <c r="AC760" i="1"/>
  <c r="R653" i="1"/>
  <c r="AF653" i="1" s="1"/>
  <c r="R650" i="1"/>
  <c r="R651" i="1"/>
  <c r="R710" i="1"/>
  <c r="AF710" i="1" s="1"/>
  <c r="S653" i="1"/>
  <c r="S650" i="1"/>
  <c r="S651" i="1"/>
  <c r="S710" i="1"/>
  <c r="U653" i="1"/>
  <c r="U650" i="1"/>
  <c r="U651" i="1"/>
  <c r="U710" i="1"/>
  <c r="X653" i="1"/>
  <c r="AD653" i="1" s="1"/>
  <c r="X650" i="1"/>
  <c r="AD650" i="1" s="1"/>
  <c r="X651" i="1"/>
  <c r="AD651" i="1" s="1"/>
  <c r="X710" i="1"/>
  <c r="AD710" i="1" s="1"/>
  <c r="Y653" i="1"/>
  <c r="Y650" i="1"/>
  <c r="Y651" i="1"/>
  <c r="Y710" i="1"/>
  <c r="Z653" i="1"/>
  <c r="Z650" i="1"/>
  <c r="Z651" i="1"/>
  <c r="Z710" i="1"/>
  <c r="AC653" i="1"/>
  <c r="AC650" i="1"/>
  <c r="AC651" i="1"/>
  <c r="AC710" i="1"/>
  <c r="R649" i="1"/>
  <c r="S649" i="1"/>
  <c r="U649" i="1"/>
  <c r="X649" i="1"/>
  <c r="AD649" i="1" s="1"/>
  <c r="Y649" i="1"/>
  <c r="Z649" i="1"/>
  <c r="AC649" i="1"/>
  <c r="AF649" i="1"/>
  <c r="R802" i="1"/>
  <c r="S802" i="1"/>
  <c r="U802" i="1"/>
  <c r="X802" i="1"/>
  <c r="AD802" i="1" s="1"/>
  <c r="Y802" i="1"/>
  <c r="Z802" i="1"/>
  <c r="AC802" i="1"/>
  <c r="R742" i="1"/>
  <c r="AF742" i="1" s="1"/>
  <c r="S742" i="1"/>
  <c r="T742" i="1" s="1"/>
  <c r="U742" i="1"/>
  <c r="X742" i="1"/>
  <c r="AD742" i="1" s="1"/>
  <c r="Y742" i="1"/>
  <c r="Z742" i="1"/>
  <c r="AC742" i="1"/>
  <c r="R678" i="1"/>
  <c r="AF678" i="1" s="1"/>
  <c r="R691" i="1"/>
  <c r="AF691" i="1" s="1"/>
  <c r="R660" i="1"/>
  <c r="AF660" i="1" s="1"/>
  <c r="R671" i="1"/>
  <c r="AF671" i="1" s="1"/>
  <c r="R666" i="1"/>
  <c r="AF666" i="1" s="1"/>
  <c r="R680" i="1"/>
  <c r="AF680" i="1" s="1"/>
  <c r="R686" i="1"/>
  <c r="R674" i="1"/>
  <c r="AF674" i="1" s="1"/>
  <c r="S678" i="1"/>
  <c r="S691" i="1"/>
  <c r="S660" i="1"/>
  <c r="S671" i="1"/>
  <c r="S666" i="1"/>
  <c r="S680" i="1"/>
  <c r="S686" i="1"/>
  <c r="S674" i="1"/>
  <c r="U678" i="1"/>
  <c r="U691" i="1"/>
  <c r="U660" i="1"/>
  <c r="U671" i="1"/>
  <c r="U666" i="1"/>
  <c r="U680" i="1"/>
  <c r="U686" i="1"/>
  <c r="U674" i="1"/>
  <c r="X678" i="1"/>
  <c r="X691" i="1"/>
  <c r="X660" i="1"/>
  <c r="AD660" i="1" s="1"/>
  <c r="X671" i="1"/>
  <c r="AD671" i="1" s="1"/>
  <c r="X666" i="1"/>
  <c r="AD666" i="1" s="1"/>
  <c r="X680" i="1"/>
  <c r="AD680" i="1" s="1"/>
  <c r="X686" i="1"/>
  <c r="AD686" i="1" s="1"/>
  <c r="X674" i="1"/>
  <c r="AD674" i="1" s="1"/>
  <c r="Y678" i="1"/>
  <c r="Y691" i="1"/>
  <c r="Y660" i="1"/>
  <c r="Y671" i="1"/>
  <c r="Y666" i="1"/>
  <c r="Y680" i="1"/>
  <c r="Y686" i="1"/>
  <c r="Y674" i="1"/>
  <c r="Z678" i="1"/>
  <c r="Z691" i="1"/>
  <c r="Z660" i="1"/>
  <c r="Z671" i="1"/>
  <c r="Z666" i="1"/>
  <c r="Z680" i="1"/>
  <c r="Z686" i="1"/>
  <c r="Z674" i="1"/>
  <c r="AC678" i="1"/>
  <c r="AC691" i="1"/>
  <c r="AC660" i="1"/>
  <c r="AC671" i="1"/>
  <c r="AC666" i="1"/>
  <c r="AC680" i="1"/>
  <c r="AC686" i="1"/>
  <c r="AC674" i="1"/>
  <c r="AD678" i="1"/>
  <c r="AD691" i="1"/>
  <c r="R665" i="1"/>
  <c r="AF665" i="1" s="1"/>
  <c r="S665" i="1"/>
  <c r="U665" i="1"/>
  <c r="X665" i="1"/>
  <c r="Y665" i="1"/>
  <c r="Z665" i="1"/>
  <c r="AC665" i="1"/>
  <c r="AD665" i="1"/>
  <c r="R634" i="1"/>
  <c r="AF634" i="1" s="1"/>
  <c r="S634" i="1"/>
  <c r="T634" i="1"/>
  <c r="U634" i="1"/>
  <c r="X634" i="1"/>
  <c r="AD634" i="1" s="1"/>
  <c r="Y634" i="1"/>
  <c r="Z634" i="1"/>
  <c r="AC634" i="1"/>
  <c r="R799" i="1"/>
  <c r="AF799" i="1" s="1"/>
  <c r="S799" i="1"/>
  <c r="U799" i="1"/>
  <c r="X799" i="1"/>
  <c r="AD799" i="1" s="1"/>
  <c r="Y799" i="1"/>
  <c r="Z799" i="1"/>
  <c r="AC799" i="1"/>
  <c r="R798" i="1"/>
  <c r="S798" i="1"/>
  <c r="U798" i="1"/>
  <c r="X798" i="1"/>
  <c r="AD798" i="1" s="1"/>
  <c r="Y798" i="1"/>
  <c r="Z798" i="1"/>
  <c r="AC798" i="1"/>
  <c r="R790" i="1"/>
  <c r="AF790" i="1" s="1"/>
  <c r="S790" i="1"/>
  <c r="U790" i="1"/>
  <c r="X790" i="1"/>
  <c r="AD790" i="1" s="1"/>
  <c r="Y790" i="1"/>
  <c r="Z790" i="1"/>
  <c r="AC790" i="1"/>
  <c r="R783" i="1"/>
  <c r="AF783" i="1" s="1"/>
  <c r="S783" i="1"/>
  <c r="U783" i="1"/>
  <c r="X783" i="1"/>
  <c r="AD783" i="1" s="1"/>
  <c r="Y783" i="1"/>
  <c r="Z783" i="1"/>
  <c r="AC783" i="1"/>
  <c r="R773" i="1"/>
  <c r="AF773" i="1" s="1"/>
  <c r="S773" i="1"/>
  <c r="U773" i="1"/>
  <c r="X773" i="1"/>
  <c r="AD773" i="1" s="1"/>
  <c r="Y773" i="1"/>
  <c r="Z773" i="1"/>
  <c r="AC773" i="1"/>
  <c r="R751" i="1"/>
  <c r="AF751" i="1" s="1"/>
  <c r="S751" i="1"/>
  <c r="U751" i="1"/>
  <c r="X751" i="1"/>
  <c r="AD751" i="1" s="1"/>
  <c r="Y751" i="1"/>
  <c r="Z751" i="1"/>
  <c r="AC751" i="1"/>
  <c r="R703" i="1"/>
  <c r="AF703" i="1" s="1"/>
  <c r="S703" i="1"/>
  <c r="U703" i="1"/>
  <c r="X703" i="1"/>
  <c r="AD703" i="1" s="1"/>
  <c r="Y703" i="1"/>
  <c r="Z703" i="1"/>
  <c r="AC703" i="1"/>
  <c r="R723" i="1"/>
  <c r="AF723" i="1" s="1"/>
  <c r="R724" i="1"/>
  <c r="AF724" i="1" s="1"/>
  <c r="R728" i="1"/>
  <c r="AF728" i="1" s="1"/>
  <c r="R726" i="1"/>
  <c r="AF726" i="1" s="1"/>
  <c r="R721" i="1"/>
  <c r="AF721" i="1" s="1"/>
  <c r="R727" i="1"/>
  <c r="AF727" i="1" s="1"/>
  <c r="R719" i="1"/>
  <c r="AF719" i="1" s="1"/>
  <c r="S723" i="1"/>
  <c r="S724" i="1"/>
  <c r="S728" i="1"/>
  <c r="S726" i="1"/>
  <c r="S721" i="1"/>
  <c r="S727" i="1"/>
  <c r="S719" i="1"/>
  <c r="U723" i="1"/>
  <c r="U724" i="1"/>
  <c r="U728" i="1"/>
  <c r="U726" i="1"/>
  <c r="U721" i="1"/>
  <c r="U727" i="1"/>
  <c r="U719" i="1"/>
  <c r="X723" i="1"/>
  <c r="AD723" i="1" s="1"/>
  <c r="X724" i="1"/>
  <c r="AD724" i="1" s="1"/>
  <c r="X728" i="1"/>
  <c r="AD728" i="1" s="1"/>
  <c r="X726" i="1"/>
  <c r="AD726" i="1" s="1"/>
  <c r="X721" i="1"/>
  <c r="AD721" i="1" s="1"/>
  <c r="X727" i="1"/>
  <c r="AD727" i="1" s="1"/>
  <c r="X719" i="1"/>
  <c r="AD719" i="1" s="1"/>
  <c r="Y723" i="1"/>
  <c r="Y724" i="1"/>
  <c r="Y728" i="1"/>
  <c r="Y726" i="1"/>
  <c r="Y721" i="1"/>
  <c r="Y727" i="1"/>
  <c r="Y719" i="1"/>
  <c r="Z723" i="1"/>
  <c r="Z724" i="1"/>
  <c r="Z728" i="1"/>
  <c r="Z726" i="1"/>
  <c r="Z721" i="1"/>
  <c r="Z727" i="1"/>
  <c r="Z719" i="1"/>
  <c r="AC723" i="1"/>
  <c r="AC724" i="1"/>
  <c r="AC728" i="1"/>
  <c r="AC726" i="1"/>
  <c r="AC721" i="1"/>
  <c r="AC727" i="1"/>
  <c r="AC719" i="1"/>
  <c r="R725" i="1"/>
  <c r="AF725" i="1" s="1"/>
  <c r="S725" i="1"/>
  <c r="U725" i="1"/>
  <c r="X725" i="1"/>
  <c r="AD725" i="1" s="1"/>
  <c r="Y725" i="1"/>
  <c r="Z725" i="1"/>
  <c r="AC725" i="1"/>
  <c r="R652" i="1"/>
  <c r="AF652" i="1" s="1"/>
  <c r="S652" i="1"/>
  <c r="U652" i="1"/>
  <c r="X652" i="1"/>
  <c r="AD652" i="1" s="1"/>
  <c r="Y652" i="1"/>
  <c r="Z652" i="1"/>
  <c r="AC652" i="1"/>
  <c r="R654" i="1"/>
  <c r="AF654" i="1" s="1"/>
  <c r="S654" i="1"/>
  <c r="U654" i="1"/>
  <c r="X654" i="1"/>
  <c r="AD654" i="1" s="1"/>
  <c r="Y654" i="1"/>
  <c r="Z654" i="1"/>
  <c r="AC654" i="1"/>
  <c r="R794" i="1"/>
  <c r="AF794" i="1" s="1"/>
  <c r="S794" i="1"/>
  <c r="U794" i="1"/>
  <c r="X794" i="1"/>
  <c r="AD794" i="1" s="1"/>
  <c r="Y794" i="1"/>
  <c r="Z794" i="1"/>
  <c r="AC794" i="1"/>
  <c r="R776" i="1"/>
  <c r="AF776" i="1" s="1"/>
  <c r="S776" i="1"/>
  <c r="U776" i="1"/>
  <c r="X776" i="1"/>
  <c r="AD776" i="1" s="1"/>
  <c r="Y776" i="1"/>
  <c r="Z776" i="1"/>
  <c r="AC776" i="1"/>
  <c r="R761" i="1"/>
  <c r="AF761" i="1" s="1"/>
  <c r="R754" i="1"/>
  <c r="AF754" i="1" s="1"/>
  <c r="S761" i="1"/>
  <c r="S754" i="1"/>
  <c r="U761" i="1"/>
  <c r="U754" i="1"/>
  <c r="X761" i="1"/>
  <c r="AD761" i="1" s="1"/>
  <c r="X754" i="1"/>
  <c r="AD754" i="1" s="1"/>
  <c r="Y761" i="1"/>
  <c r="Y754" i="1"/>
  <c r="Z761" i="1"/>
  <c r="Z754" i="1"/>
  <c r="AC761" i="1"/>
  <c r="AC754" i="1"/>
  <c r="R755" i="1"/>
  <c r="AF755" i="1" s="1"/>
  <c r="S755" i="1"/>
  <c r="U755" i="1"/>
  <c r="X755" i="1"/>
  <c r="AD755" i="1" s="1"/>
  <c r="Y755" i="1"/>
  <c r="Z755" i="1"/>
  <c r="AC755" i="1"/>
  <c r="R741" i="1"/>
  <c r="AF741" i="1" s="1"/>
  <c r="S741" i="1"/>
  <c r="U741" i="1"/>
  <c r="X741" i="1"/>
  <c r="AD741" i="1" s="1"/>
  <c r="Y741" i="1"/>
  <c r="Z741" i="1"/>
  <c r="AC741" i="1"/>
  <c r="R736" i="1"/>
  <c r="AF736" i="1" s="1"/>
  <c r="S736" i="1"/>
  <c r="U736" i="1"/>
  <c r="X736" i="1"/>
  <c r="AD736" i="1" s="1"/>
  <c r="Y736" i="1"/>
  <c r="Z736" i="1"/>
  <c r="AC736" i="1"/>
  <c r="R708" i="1"/>
  <c r="AF708" i="1" s="1"/>
  <c r="S708" i="1"/>
  <c r="U708" i="1"/>
  <c r="X708" i="1"/>
  <c r="AD708" i="1" s="1"/>
  <c r="Y708" i="1"/>
  <c r="Z708" i="1"/>
  <c r="AC708" i="1"/>
  <c r="R628" i="1"/>
  <c r="AF628" i="1" s="1"/>
  <c r="S628" i="1"/>
  <c r="U628" i="1"/>
  <c r="X628" i="1"/>
  <c r="AD628" i="1" s="1"/>
  <c r="Y628" i="1"/>
  <c r="Z628" i="1"/>
  <c r="AC628" i="1"/>
  <c r="R777" i="1"/>
  <c r="AF777" i="1" s="1"/>
  <c r="S777" i="1"/>
  <c r="U777" i="1"/>
  <c r="X777" i="1"/>
  <c r="AD777" i="1" s="1"/>
  <c r="Y777" i="1"/>
  <c r="Z777" i="1"/>
  <c r="AC777" i="1"/>
  <c r="R758" i="1"/>
  <c r="AF758" i="1" s="1"/>
  <c r="S758" i="1"/>
  <c r="U758" i="1"/>
  <c r="X758" i="1"/>
  <c r="AD758" i="1" s="1"/>
  <c r="Y758" i="1"/>
  <c r="Z758" i="1"/>
  <c r="AC758" i="1"/>
  <c r="R739" i="1"/>
  <c r="AF739" i="1" s="1"/>
  <c r="S739" i="1"/>
  <c r="U739" i="1"/>
  <c r="X739" i="1"/>
  <c r="AD739" i="1" s="1"/>
  <c r="Y739" i="1"/>
  <c r="Z739" i="1"/>
  <c r="AC739" i="1"/>
  <c r="R729" i="1"/>
  <c r="AF729" i="1" s="1"/>
  <c r="S729" i="1"/>
  <c r="U729" i="1"/>
  <c r="X729" i="1"/>
  <c r="AD729" i="1" s="1"/>
  <c r="Y729" i="1"/>
  <c r="Z729" i="1"/>
  <c r="AC729" i="1"/>
  <c r="R709" i="1"/>
  <c r="AF709" i="1" s="1"/>
  <c r="S709" i="1"/>
  <c r="U709" i="1"/>
  <c r="X709" i="1"/>
  <c r="AD709" i="1" s="1"/>
  <c r="Y709" i="1"/>
  <c r="Z709" i="1"/>
  <c r="AA709" i="1" s="1"/>
  <c r="AC709" i="1"/>
  <c r="R621" i="1"/>
  <c r="AF621" i="1" s="1"/>
  <c r="S621" i="1"/>
  <c r="U621" i="1"/>
  <c r="X621" i="1"/>
  <c r="AD621" i="1" s="1"/>
  <c r="Y621" i="1"/>
  <c r="Z621" i="1"/>
  <c r="AC621" i="1"/>
  <c r="R614" i="1"/>
  <c r="AF614" i="1" s="1"/>
  <c r="S614" i="1"/>
  <c r="U614" i="1"/>
  <c r="X614" i="1"/>
  <c r="AD614" i="1" s="1"/>
  <c r="Y614" i="1"/>
  <c r="Z614" i="1"/>
  <c r="AC614" i="1"/>
  <c r="R618" i="1"/>
  <c r="AF618" i="1" s="1"/>
  <c r="R640" i="1"/>
  <c r="AF640" i="1" s="1"/>
  <c r="R643" i="1"/>
  <c r="AF643" i="1" s="1"/>
  <c r="R635" i="1"/>
  <c r="AF635" i="1" s="1"/>
  <c r="R644" i="1"/>
  <c r="AF644" i="1" s="1"/>
  <c r="R646" i="1"/>
  <c r="AF646" i="1" s="1"/>
  <c r="R707" i="1"/>
  <c r="AF707" i="1" s="1"/>
  <c r="R744" i="1"/>
  <c r="AF744" i="1" s="1"/>
  <c r="R770" i="1"/>
  <c r="AF770" i="1" s="1"/>
  <c r="R789" i="1"/>
  <c r="AF789" i="1" s="1"/>
  <c r="S618" i="1"/>
  <c r="S640" i="1"/>
  <c r="S643" i="1"/>
  <c r="S635" i="1"/>
  <c r="S644" i="1"/>
  <c r="S646" i="1"/>
  <c r="S707" i="1"/>
  <c r="S744" i="1"/>
  <c r="S770" i="1"/>
  <c r="S789" i="1"/>
  <c r="U618" i="1"/>
  <c r="U640" i="1"/>
  <c r="U643" i="1"/>
  <c r="U635" i="1"/>
  <c r="U644" i="1"/>
  <c r="U646" i="1"/>
  <c r="U707" i="1"/>
  <c r="U744" i="1"/>
  <c r="U770" i="1"/>
  <c r="U789" i="1"/>
  <c r="X618" i="1"/>
  <c r="AD618" i="1" s="1"/>
  <c r="X640" i="1"/>
  <c r="AD640" i="1" s="1"/>
  <c r="X643" i="1"/>
  <c r="AD643" i="1" s="1"/>
  <c r="X635" i="1"/>
  <c r="AD635" i="1" s="1"/>
  <c r="X644" i="1"/>
  <c r="AD644" i="1" s="1"/>
  <c r="X646" i="1"/>
  <c r="AD646" i="1" s="1"/>
  <c r="X707" i="1"/>
  <c r="AD707" i="1" s="1"/>
  <c r="X744" i="1"/>
  <c r="AD744" i="1" s="1"/>
  <c r="X770" i="1"/>
  <c r="AD770" i="1" s="1"/>
  <c r="X789" i="1"/>
  <c r="AD789" i="1" s="1"/>
  <c r="Y618" i="1"/>
  <c r="Y640" i="1"/>
  <c r="Y643" i="1"/>
  <c r="Y635" i="1"/>
  <c r="Y644" i="1"/>
  <c r="Y646" i="1"/>
  <c r="Y707" i="1"/>
  <c r="Y744" i="1"/>
  <c r="Y770" i="1"/>
  <c r="Y789" i="1"/>
  <c r="Z618" i="1"/>
  <c r="Z640" i="1"/>
  <c r="Z643" i="1"/>
  <c r="Z635" i="1"/>
  <c r="Z644" i="1"/>
  <c r="Z646" i="1"/>
  <c r="Z707" i="1"/>
  <c r="Z744" i="1"/>
  <c r="Z770" i="1"/>
  <c r="Z789" i="1"/>
  <c r="AC618" i="1"/>
  <c r="AC640" i="1"/>
  <c r="AC643" i="1"/>
  <c r="AC635" i="1"/>
  <c r="AC644" i="1"/>
  <c r="AC646" i="1"/>
  <c r="AC707" i="1"/>
  <c r="AC744" i="1"/>
  <c r="AC770" i="1"/>
  <c r="AC789" i="1"/>
  <c r="R748" i="1"/>
  <c r="AF748" i="1" s="1"/>
  <c r="S748" i="1"/>
  <c r="U748" i="1"/>
  <c r="X748" i="1"/>
  <c r="AD748" i="1" s="1"/>
  <c r="Y748" i="1"/>
  <c r="Z748" i="1"/>
  <c r="AC748" i="1"/>
  <c r="R615" i="1"/>
  <c r="AF615" i="1" s="1"/>
  <c r="R616" i="1"/>
  <c r="AF616" i="1" s="1"/>
  <c r="R633" i="1"/>
  <c r="AF633" i="1" s="1"/>
  <c r="R632" i="1"/>
  <c r="AF632" i="1" s="1"/>
  <c r="R631" i="1"/>
  <c r="AF631" i="1" s="1"/>
  <c r="R730" i="1"/>
  <c r="AF730" i="1" s="1"/>
  <c r="R746" i="1"/>
  <c r="AF746" i="1" s="1"/>
  <c r="R745" i="1"/>
  <c r="AF745" i="1" s="1"/>
  <c r="S615" i="1"/>
  <c r="S616" i="1"/>
  <c r="S633" i="1"/>
  <c r="S632" i="1"/>
  <c r="S631" i="1"/>
  <c r="S730" i="1"/>
  <c r="S746" i="1"/>
  <c r="S745" i="1"/>
  <c r="U615" i="1"/>
  <c r="U616" i="1"/>
  <c r="U633" i="1"/>
  <c r="U632" i="1"/>
  <c r="U631" i="1"/>
  <c r="U730" i="1"/>
  <c r="U746" i="1"/>
  <c r="U745" i="1"/>
  <c r="X615" i="1"/>
  <c r="X616" i="1"/>
  <c r="AD616" i="1" s="1"/>
  <c r="X633" i="1"/>
  <c r="AD633" i="1" s="1"/>
  <c r="X632" i="1"/>
  <c r="AD632" i="1" s="1"/>
  <c r="X631" i="1"/>
  <c r="AD631" i="1" s="1"/>
  <c r="X730" i="1"/>
  <c r="AD730" i="1" s="1"/>
  <c r="X746" i="1"/>
  <c r="AD746" i="1" s="1"/>
  <c r="X745" i="1"/>
  <c r="AD745" i="1" s="1"/>
  <c r="Y615" i="1"/>
  <c r="Y616" i="1"/>
  <c r="Y633" i="1"/>
  <c r="Y632" i="1"/>
  <c r="Y631" i="1"/>
  <c r="Y730" i="1"/>
  <c r="Y746" i="1"/>
  <c r="Y745" i="1"/>
  <c r="Z615" i="1"/>
  <c r="Z616" i="1"/>
  <c r="Z633" i="1"/>
  <c r="Z632" i="1"/>
  <c r="Z631" i="1"/>
  <c r="Z730" i="1"/>
  <c r="Z746" i="1"/>
  <c r="Z745" i="1"/>
  <c r="AC615" i="1"/>
  <c r="AC616" i="1"/>
  <c r="AC633" i="1"/>
  <c r="AC632" i="1"/>
  <c r="AC631" i="1"/>
  <c r="AC730" i="1"/>
  <c r="AC746" i="1"/>
  <c r="AC745" i="1"/>
  <c r="AD615" i="1"/>
  <c r="R778" i="1"/>
  <c r="AF778" i="1" s="1"/>
  <c r="R791" i="1"/>
  <c r="AF791" i="1" s="1"/>
  <c r="S778" i="1"/>
  <c r="S791" i="1"/>
  <c r="U778" i="1"/>
  <c r="U791" i="1"/>
  <c r="X778" i="1"/>
  <c r="AD778" i="1" s="1"/>
  <c r="X791" i="1"/>
  <c r="AD791" i="1" s="1"/>
  <c r="Y778" i="1"/>
  <c r="Y791" i="1"/>
  <c r="Z778" i="1"/>
  <c r="Z791" i="1"/>
  <c r="AC778" i="1"/>
  <c r="AC791" i="1"/>
  <c r="R766" i="1"/>
  <c r="AF766" i="1" s="1"/>
  <c r="S766" i="1"/>
  <c r="U766" i="1"/>
  <c r="X766" i="1"/>
  <c r="AD766" i="1" s="1"/>
  <c r="Y766" i="1"/>
  <c r="Z766" i="1"/>
  <c r="AC766" i="1"/>
  <c r="R658" i="1"/>
  <c r="AF658" i="1" s="1"/>
  <c r="R655" i="1"/>
  <c r="AF655" i="1" s="1"/>
  <c r="R657" i="1"/>
  <c r="AF657" i="1" s="1"/>
  <c r="R717" i="1"/>
  <c r="AF717" i="1" s="1"/>
  <c r="S658" i="1"/>
  <c r="S655" i="1"/>
  <c r="S657" i="1"/>
  <c r="S717" i="1"/>
  <c r="U658" i="1"/>
  <c r="U655" i="1"/>
  <c r="U657" i="1"/>
  <c r="U717" i="1"/>
  <c r="X658" i="1"/>
  <c r="AD658" i="1" s="1"/>
  <c r="X655" i="1"/>
  <c r="AD655" i="1" s="1"/>
  <c r="X657" i="1"/>
  <c r="AD657" i="1" s="1"/>
  <c r="X717" i="1"/>
  <c r="AD717" i="1" s="1"/>
  <c r="Y658" i="1"/>
  <c r="Y655" i="1"/>
  <c r="Y657" i="1"/>
  <c r="Y717" i="1"/>
  <c r="Z658" i="1"/>
  <c r="Z655" i="1"/>
  <c r="Z657" i="1"/>
  <c r="Z717" i="1"/>
  <c r="AC658" i="1"/>
  <c r="AC655" i="1"/>
  <c r="AC657" i="1"/>
  <c r="AC717" i="1"/>
  <c r="R656" i="1"/>
  <c r="AF656" i="1" s="1"/>
  <c r="S656" i="1"/>
  <c r="U656" i="1"/>
  <c r="X656" i="1"/>
  <c r="AD656" i="1" s="1"/>
  <c r="Y656" i="1"/>
  <c r="Z656" i="1"/>
  <c r="AC656" i="1"/>
  <c r="R622" i="1"/>
  <c r="AF622" i="1" s="1"/>
  <c r="S622" i="1"/>
  <c r="U622" i="1"/>
  <c r="X622" i="1"/>
  <c r="AD622" i="1" s="1"/>
  <c r="Y622" i="1"/>
  <c r="Z622" i="1"/>
  <c r="AC622" i="1"/>
  <c r="R767" i="1"/>
  <c r="AF767" i="1" s="1"/>
  <c r="R785" i="1"/>
  <c r="AF785" i="1" s="1"/>
  <c r="R788" i="1"/>
  <c r="AF788" i="1" s="1"/>
  <c r="S767" i="1"/>
  <c r="S785" i="1"/>
  <c r="S788" i="1"/>
  <c r="U767" i="1"/>
  <c r="U785" i="1"/>
  <c r="U788" i="1"/>
  <c r="X767" i="1"/>
  <c r="AD767" i="1" s="1"/>
  <c r="X785" i="1"/>
  <c r="AD785" i="1" s="1"/>
  <c r="X788" i="1"/>
  <c r="AD788" i="1" s="1"/>
  <c r="Y767" i="1"/>
  <c r="Y785" i="1"/>
  <c r="Y788" i="1"/>
  <c r="Z767" i="1"/>
  <c r="Z785" i="1"/>
  <c r="Z788" i="1"/>
  <c r="AC767" i="1"/>
  <c r="AC785" i="1"/>
  <c r="AC788" i="1"/>
  <c r="R747" i="1"/>
  <c r="AF747" i="1" s="1"/>
  <c r="S747" i="1"/>
  <c r="U747" i="1"/>
  <c r="X747" i="1"/>
  <c r="AD747" i="1" s="1"/>
  <c r="Y747" i="1"/>
  <c r="Z747" i="1"/>
  <c r="AC747" i="1"/>
  <c r="R712" i="1"/>
  <c r="AF712" i="1" s="1"/>
  <c r="R731" i="1"/>
  <c r="AF731" i="1" s="1"/>
  <c r="S712" i="1"/>
  <c r="S731" i="1"/>
  <c r="U712" i="1"/>
  <c r="U731" i="1"/>
  <c r="X712" i="1"/>
  <c r="AD712" i="1" s="1"/>
  <c r="X731" i="1"/>
  <c r="AD731" i="1" s="1"/>
  <c r="Y712" i="1"/>
  <c r="Y731" i="1"/>
  <c r="Z712" i="1"/>
  <c r="Z731" i="1"/>
  <c r="AC712" i="1"/>
  <c r="AC731" i="1"/>
  <c r="R659" i="1"/>
  <c r="AF659" i="1" s="1"/>
  <c r="S659" i="1"/>
  <c r="U659" i="1"/>
  <c r="X659" i="1"/>
  <c r="AD659" i="1" s="1"/>
  <c r="Y659" i="1"/>
  <c r="Z659" i="1"/>
  <c r="AC659" i="1"/>
  <c r="R625" i="1"/>
  <c r="AF625" i="1" s="1"/>
  <c r="S625" i="1"/>
  <c r="U625" i="1"/>
  <c r="X625" i="1"/>
  <c r="AD625" i="1" s="1"/>
  <c r="Y625" i="1"/>
  <c r="Z625" i="1"/>
  <c r="AC625" i="1"/>
  <c r="R752" i="1"/>
  <c r="AF752" i="1" s="1"/>
  <c r="R753" i="1"/>
  <c r="AF753" i="1" s="1"/>
  <c r="R775" i="1"/>
  <c r="AF775" i="1" s="1"/>
  <c r="R792" i="1"/>
  <c r="AF792" i="1" s="1"/>
  <c r="S752" i="1"/>
  <c r="S753" i="1"/>
  <c r="S775" i="1"/>
  <c r="S792" i="1"/>
  <c r="U752" i="1"/>
  <c r="U753" i="1"/>
  <c r="U775" i="1"/>
  <c r="U792" i="1"/>
  <c r="X752" i="1"/>
  <c r="AD752" i="1" s="1"/>
  <c r="X753" i="1"/>
  <c r="AD753" i="1" s="1"/>
  <c r="X775" i="1"/>
  <c r="AD775" i="1" s="1"/>
  <c r="X792" i="1"/>
  <c r="AD792" i="1" s="1"/>
  <c r="Y752" i="1"/>
  <c r="Y753" i="1"/>
  <c r="Y775" i="1"/>
  <c r="Y792" i="1"/>
  <c r="Z752" i="1"/>
  <c r="Z753" i="1"/>
  <c r="Z775" i="1"/>
  <c r="Z792" i="1"/>
  <c r="AC752" i="1"/>
  <c r="AC753" i="1"/>
  <c r="AC775" i="1"/>
  <c r="AC792" i="1"/>
  <c r="R738" i="1"/>
  <c r="AF738" i="1" s="1"/>
  <c r="S738" i="1"/>
  <c r="U738" i="1"/>
  <c r="X738" i="1"/>
  <c r="AD738" i="1" s="1"/>
  <c r="Y738" i="1"/>
  <c r="Z738" i="1"/>
  <c r="AC738" i="1"/>
  <c r="R718" i="1"/>
  <c r="AF718" i="1" s="1"/>
  <c r="R735" i="1"/>
  <c r="AF735" i="1" s="1"/>
  <c r="S718" i="1"/>
  <c r="S735" i="1"/>
  <c r="U718" i="1"/>
  <c r="U735" i="1"/>
  <c r="X718" i="1"/>
  <c r="AD718" i="1" s="1"/>
  <c r="X735" i="1"/>
  <c r="AD735" i="1" s="1"/>
  <c r="Y718" i="1"/>
  <c r="Y735" i="1"/>
  <c r="Z718" i="1"/>
  <c r="Z735" i="1"/>
  <c r="AC718" i="1"/>
  <c r="AC735" i="1"/>
  <c r="R705" i="1"/>
  <c r="AF705" i="1" s="1"/>
  <c r="S705" i="1"/>
  <c r="U705" i="1"/>
  <c r="X705" i="1"/>
  <c r="AD705" i="1" s="1"/>
  <c r="Y705" i="1"/>
  <c r="Z705" i="1"/>
  <c r="AC705" i="1"/>
  <c r="R619" i="1"/>
  <c r="AF619" i="1" s="1"/>
  <c r="S619" i="1"/>
  <c r="U619" i="1"/>
  <c r="X619" i="1"/>
  <c r="AD619" i="1" s="1"/>
  <c r="Y619" i="1"/>
  <c r="Z619" i="1"/>
  <c r="AC619" i="1"/>
  <c r="R698" i="1"/>
  <c r="AF698" i="1" s="1"/>
  <c r="R699" i="1"/>
  <c r="AF699" i="1" s="1"/>
  <c r="R701" i="1"/>
  <c r="AF701" i="1" s="1"/>
  <c r="S698" i="1"/>
  <c r="S699" i="1"/>
  <c r="S701" i="1"/>
  <c r="U698" i="1"/>
  <c r="U699" i="1"/>
  <c r="U701" i="1"/>
  <c r="X698" i="1"/>
  <c r="AD698" i="1" s="1"/>
  <c r="X699" i="1"/>
  <c r="AD699" i="1" s="1"/>
  <c r="X701" i="1"/>
  <c r="AD701" i="1" s="1"/>
  <c r="Y698" i="1"/>
  <c r="Y699" i="1"/>
  <c r="Y701" i="1"/>
  <c r="Z698" i="1"/>
  <c r="Z699" i="1"/>
  <c r="Z701" i="1"/>
  <c r="AC698" i="1"/>
  <c r="AC699" i="1"/>
  <c r="AC701" i="1"/>
  <c r="R697" i="1"/>
  <c r="AF697" i="1" s="1"/>
  <c r="S697" i="1"/>
  <c r="U697" i="1"/>
  <c r="X697" i="1"/>
  <c r="AD697" i="1" s="1"/>
  <c r="Y697" i="1"/>
  <c r="Z697" i="1"/>
  <c r="AC697" i="1"/>
  <c r="R636" i="1"/>
  <c r="AF636" i="1" s="1"/>
  <c r="R642" i="1"/>
  <c r="AF642" i="1" s="1"/>
  <c r="R637" i="1"/>
  <c r="AF637" i="1" s="1"/>
  <c r="R645" i="1"/>
  <c r="AF645" i="1" s="1"/>
  <c r="S636" i="1"/>
  <c r="S642" i="1"/>
  <c r="S637" i="1"/>
  <c r="S645" i="1"/>
  <c r="U636" i="1"/>
  <c r="U642" i="1"/>
  <c r="U637" i="1"/>
  <c r="U645" i="1"/>
  <c r="X636" i="1"/>
  <c r="AD636" i="1" s="1"/>
  <c r="X642" i="1"/>
  <c r="AD642" i="1" s="1"/>
  <c r="X637" i="1"/>
  <c r="AD637" i="1" s="1"/>
  <c r="X645" i="1"/>
  <c r="AD645" i="1" s="1"/>
  <c r="Y636" i="1"/>
  <c r="Y642" i="1"/>
  <c r="Y637" i="1"/>
  <c r="Y645" i="1"/>
  <c r="Z636" i="1"/>
  <c r="Z642" i="1"/>
  <c r="Z637" i="1"/>
  <c r="Z645" i="1"/>
  <c r="AC636" i="1"/>
  <c r="AC642" i="1"/>
  <c r="AC637" i="1"/>
  <c r="AC645" i="1"/>
  <c r="R641" i="1"/>
  <c r="AF641" i="1" s="1"/>
  <c r="S641" i="1"/>
  <c r="U641" i="1"/>
  <c r="X641" i="1"/>
  <c r="AD641" i="1" s="1"/>
  <c r="Y641" i="1"/>
  <c r="Z641" i="1"/>
  <c r="AC641" i="1"/>
  <c r="R620" i="1"/>
  <c r="AF620" i="1" s="1"/>
  <c r="S620" i="1"/>
  <c r="U620" i="1"/>
  <c r="X620" i="1"/>
  <c r="AD620" i="1" s="1"/>
  <c r="Y620" i="1"/>
  <c r="Z620" i="1"/>
  <c r="AC620" i="1"/>
  <c r="R801" i="1"/>
  <c r="AF801" i="1" s="1"/>
  <c r="S801" i="1"/>
  <c r="U801" i="1"/>
  <c r="X801" i="1"/>
  <c r="AD801" i="1" s="1"/>
  <c r="Y801" i="1"/>
  <c r="Z801" i="1"/>
  <c r="AC801" i="1"/>
  <c r="R762" i="1"/>
  <c r="AF762" i="1" s="1"/>
  <c r="R757" i="1"/>
  <c r="AF757" i="1" s="1"/>
  <c r="R780" i="1"/>
  <c r="AF780" i="1" s="1"/>
  <c r="R793" i="1"/>
  <c r="AF793" i="1" s="1"/>
  <c r="S762" i="1"/>
  <c r="S757" i="1"/>
  <c r="S780" i="1"/>
  <c r="S793" i="1"/>
  <c r="U762" i="1"/>
  <c r="U757" i="1"/>
  <c r="U780" i="1"/>
  <c r="U793" i="1"/>
  <c r="X762" i="1"/>
  <c r="AD762" i="1" s="1"/>
  <c r="X757" i="1"/>
  <c r="AD757" i="1" s="1"/>
  <c r="X780" i="1"/>
  <c r="AD780" i="1" s="1"/>
  <c r="X793" i="1"/>
  <c r="AD793" i="1" s="1"/>
  <c r="Y762" i="1"/>
  <c r="Y757" i="1"/>
  <c r="Y780" i="1"/>
  <c r="Y793" i="1"/>
  <c r="Z762" i="1"/>
  <c r="Z757" i="1"/>
  <c r="Z780" i="1"/>
  <c r="Z793" i="1"/>
  <c r="AC762" i="1"/>
  <c r="AC757" i="1"/>
  <c r="AC780" i="1"/>
  <c r="AC793" i="1"/>
  <c r="R740" i="1"/>
  <c r="AF740" i="1" s="1"/>
  <c r="S740" i="1"/>
  <c r="U740" i="1"/>
  <c r="X740" i="1"/>
  <c r="AD740" i="1" s="1"/>
  <c r="Y740" i="1"/>
  <c r="Z740" i="1"/>
  <c r="AC740" i="1"/>
  <c r="R711" i="1"/>
  <c r="AF711" i="1" s="1"/>
  <c r="R732" i="1"/>
  <c r="AF732" i="1" s="1"/>
  <c r="S711" i="1"/>
  <c r="S732" i="1"/>
  <c r="U711" i="1"/>
  <c r="U732" i="1"/>
  <c r="X711" i="1"/>
  <c r="AD711" i="1" s="1"/>
  <c r="X732" i="1"/>
  <c r="AD732" i="1" s="1"/>
  <c r="Y711" i="1"/>
  <c r="Y732" i="1"/>
  <c r="Z711" i="1"/>
  <c r="Z732" i="1"/>
  <c r="AC711" i="1"/>
  <c r="AC732" i="1"/>
  <c r="R647" i="1"/>
  <c r="AF647" i="1" s="1"/>
  <c r="S647" i="1"/>
  <c r="U647" i="1"/>
  <c r="X647" i="1"/>
  <c r="AD647" i="1" s="1"/>
  <c r="Y647" i="1"/>
  <c r="Z647" i="1"/>
  <c r="AC647" i="1"/>
  <c r="R624" i="1"/>
  <c r="AF624" i="1" s="1"/>
  <c r="S624" i="1"/>
  <c r="U624" i="1"/>
  <c r="X624" i="1"/>
  <c r="AD624" i="1" s="1"/>
  <c r="Y624" i="1"/>
  <c r="Z624" i="1"/>
  <c r="AC624" i="1"/>
  <c r="R630" i="1"/>
  <c r="AF630" i="1" s="1"/>
  <c r="R648" i="1"/>
  <c r="AF648" i="1" s="1"/>
  <c r="R706" i="1"/>
  <c r="AF706" i="1" s="1"/>
  <c r="R722" i="1"/>
  <c r="AF722" i="1" s="1"/>
  <c r="R743" i="1"/>
  <c r="AF743" i="1" s="1"/>
  <c r="R763" i="1"/>
  <c r="AF763" i="1" s="1"/>
  <c r="R772" i="1"/>
  <c r="AF772" i="1" s="1"/>
  <c r="R786" i="1"/>
  <c r="AF786" i="1" s="1"/>
  <c r="S630" i="1"/>
  <c r="S648" i="1"/>
  <c r="S706" i="1"/>
  <c r="S722" i="1"/>
  <c r="S743" i="1"/>
  <c r="S763" i="1"/>
  <c r="S772" i="1"/>
  <c r="S786" i="1"/>
  <c r="U630" i="1"/>
  <c r="U648" i="1"/>
  <c r="U706" i="1"/>
  <c r="U722" i="1"/>
  <c r="U743" i="1"/>
  <c r="U763" i="1"/>
  <c r="U772" i="1"/>
  <c r="U786" i="1"/>
  <c r="X630" i="1"/>
  <c r="AD630" i="1" s="1"/>
  <c r="X648" i="1"/>
  <c r="AD648" i="1" s="1"/>
  <c r="X706" i="1"/>
  <c r="AD706" i="1" s="1"/>
  <c r="X722" i="1"/>
  <c r="AD722" i="1" s="1"/>
  <c r="X743" i="1"/>
  <c r="AD743" i="1" s="1"/>
  <c r="X763" i="1"/>
  <c r="AD763" i="1" s="1"/>
  <c r="X772" i="1"/>
  <c r="AD772" i="1" s="1"/>
  <c r="X786" i="1"/>
  <c r="AD786" i="1" s="1"/>
  <c r="Y630" i="1"/>
  <c r="Y648" i="1"/>
  <c r="Y706" i="1"/>
  <c r="Y722" i="1"/>
  <c r="Y743" i="1"/>
  <c r="Y763" i="1"/>
  <c r="Y772" i="1"/>
  <c r="Y786" i="1"/>
  <c r="Z630" i="1"/>
  <c r="Z648" i="1"/>
  <c r="Z706" i="1"/>
  <c r="Z722" i="1"/>
  <c r="Z743" i="1"/>
  <c r="Z763" i="1"/>
  <c r="Z772" i="1"/>
  <c r="Z786" i="1"/>
  <c r="AC630" i="1"/>
  <c r="AC648" i="1"/>
  <c r="AC706" i="1"/>
  <c r="AC722" i="1"/>
  <c r="AC743" i="1"/>
  <c r="AC763" i="1"/>
  <c r="AC772" i="1"/>
  <c r="AC786" i="1"/>
  <c r="R617" i="1"/>
  <c r="AF617" i="1" s="1"/>
  <c r="S617" i="1"/>
  <c r="U617" i="1"/>
  <c r="X617" i="1"/>
  <c r="AD617" i="1" s="1"/>
  <c r="Y617" i="1"/>
  <c r="Z617" i="1"/>
  <c r="AC617" i="1"/>
  <c r="R804" i="1"/>
  <c r="AF804" i="1" s="1"/>
  <c r="S804" i="1"/>
  <c r="U804" i="1"/>
  <c r="X804" i="1"/>
  <c r="AD804" i="1" s="1"/>
  <c r="Y804" i="1"/>
  <c r="Z804" i="1"/>
  <c r="AC804" i="1"/>
  <c r="R797" i="1"/>
  <c r="AF797" i="1" s="1"/>
  <c r="S797" i="1"/>
  <c r="U797" i="1"/>
  <c r="X797" i="1"/>
  <c r="AD797" i="1" s="1"/>
  <c r="Y797" i="1"/>
  <c r="Z797" i="1"/>
  <c r="AC797" i="1"/>
  <c r="R787" i="1"/>
  <c r="AF787" i="1" s="1"/>
  <c r="S787" i="1"/>
  <c r="U787" i="1"/>
  <c r="X787" i="1"/>
  <c r="AD787" i="1" s="1"/>
  <c r="Y787" i="1"/>
  <c r="Z787" i="1"/>
  <c r="AC787" i="1"/>
  <c r="R774" i="1"/>
  <c r="AF774" i="1" s="1"/>
  <c r="S774" i="1"/>
  <c r="U774" i="1"/>
  <c r="X774" i="1"/>
  <c r="AD774" i="1" s="1"/>
  <c r="Y774" i="1"/>
  <c r="Z774" i="1"/>
  <c r="AC774" i="1"/>
  <c r="R771" i="1"/>
  <c r="AF771" i="1" s="1"/>
  <c r="S771" i="1"/>
  <c r="U771" i="1"/>
  <c r="X771" i="1"/>
  <c r="AD771" i="1" s="1"/>
  <c r="Y771" i="1"/>
  <c r="Z771" i="1"/>
  <c r="AC771" i="1"/>
  <c r="R737" i="1"/>
  <c r="AF737" i="1" s="1"/>
  <c r="S737" i="1"/>
  <c r="U737" i="1"/>
  <c r="X737" i="1"/>
  <c r="AD737" i="1" s="1"/>
  <c r="Y737" i="1"/>
  <c r="Z737" i="1"/>
  <c r="AC737" i="1"/>
  <c r="R720" i="1"/>
  <c r="AF720" i="1" s="1"/>
  <c r="S720" i="1"/>
  <c r="U720" i="1"/>
  <c r="X720" i="1"/>
  <c r="AD720" i="1" s="1"/>
  <c r="Y720" i="1"/>
  <c r="Z720" i="1"/>
  <c r="AC720" i="1"/>
  <c r="R704" i="1"/>
  <c r="AF704" i="1" s="1"/>
  <c r="S704" i="1"/>
  <c r="U704" i="1"/>
  <c r="X704" i="1"/>
  <c r="AD704" i="1" s="1"/>
  <c r="Y704" i="1"/>
  <c r="Z704" i="1"/>
  <c r="AC704" i="1"/>
  <c r="R629" i="1"/>
  <c r="AF629" i="1" s="1"/>
  <c r="S629" i="1"/>
  <c r="U629" i="1"/>
  <c r="X629" i="1"/>
  <c r="AD629" i="1" s="1"/>
  <c r="Y629" i="1"/>
  <c r="Z629" i="1"/>
  <c r="AC629" i="1"/>
  <c r="R715" i="1"/>
  <c r="AF715" i="1" s="1"/>
  <c r="S715" i="1"/>
  <c r="U715" i="1"/>
  <c r="X715" i="1"/>
  <c r="AD715" i="1" s="1"/>
  <c r="Y715" i="1"/>
  <c r="Z715" i="1"/>
  <c r="AC715" i="1"/>
  <c r="R800" i="1"/>
  <c r="AF800" i="1" s="1"/>
  <c r="S800" i="1"/>
  <c r="U800" i="1"/>
  <c r="X800" i="1"/>
  <c r="AD800" i="1" s="1"/>
  <c r="Y800" i="1"/>
  <c r="Z800" i="1"/>
  <c r="AC800" i="1"/>
  <c r="R795" i="1"/>
  <c r="AF795" i="1" s="1"/>
  <c r="S795" i="1"/>
  <c r="U795" i="1"/>
  <c r="X795" i="1"/>
  <c r="AD795" i="1" s="1"/>
  <c r="Y795" i="1"/>
  <c r="Z795" i="1"/>
  <c r="AC795" i="1"/>
  <c r="R782" i="1"/>
  <c r="AF782" i="1" s="1"/>
  <c r="S782" i="1"/>
  <c r="U782" i="1"/>
  <c r="X782" i="1"/>
  <c r="AD782" i="1" s="1"/>
  <c r="Y782" i="1"/>
  <c r="Z782" i="1"/>
  <c r="AC782" i="1"/>
  <c r="R768" i="1"/>
  <c r="AF768" i="1" s="1"/>
  <c r="S768" i="1"/>
  <c r="U768" i="1"/>
  <c r="X768" i="1"/>
  <c r="AD768" i="1" s="1"/>
  <c r="Y768" i="1"/>
  <c r="Z768" i="1"/>
  <c r="AC768" i="1"/>
  <c r="R749" i="1"/>
  <c r="AF749" i="1" s="1"/>
  <c r="S749" i="1"/>
  <c r="U749" i="1"/>
  <c r="X749" i="1"/>
  <c r="AD749" i="1" s="1"/>
  <c r="Y749" i="1"/>
  <c r="Z749" i="1"/>
  <c r="AC749" i="1"/>
  <c r="R734" i="1"/>
  <c r="AF734" i="1" s="1"/>
  <c r="S734" i="1"/>
  <c r="U734" i="1"/>
  <c r="X734" i="1"/>
  <c r="AD734" i="1" s="1"/>
  <c r="Y734" i="1"/>
  <c r="Z734" i="1"/>
  <c r="AC734" i="1"/>
  <c r="R716" i="1"/>
  <c r="AF716" i="1" s="1"/>
  <c r="S716" i="1"/>
  <c r="U716" i="1"/>
  <c r="X716" i="1"/>
  <c r="AD716" i="1" s="1"/>
  <c r="Y716" i="1"/>
  <c r="Z716" i="1"/>
  <c r="AC716" i="1"/>
  <c r="R700" i="1"/>
  <c r="AF700" i="1" s="1"/>
  <c r="S700" i="1"/>
  <c r="U700" i="1"/>
  <c r="X700" i="1"/>
  <c r="AD700" i="1" s="1"/>
  <c r="Y700" i="1"/>
  <c r="Z700" i="1"/>
  <c r="AC700" i="1"/>
  <c r="R639" i="1"/>
  <c r="AF639" i="1" s="1"/>
  <c r="S639" i="1"/>
  <c r="U639" i="1"/>
  <c r="X639" i="1"/>
  <c r="AD639" i="1" s="1"/>
  <c r="Y639" i="1"/>
  <c r="Z639" i="1"/>
  <c r="AC639" i="1"/>
  <c r="R623" i="1"/>
  <c r="AF623" i="1" s="1"/>
  <c r="S623" i="1"/>
  <c r="U623" i="1"/>
  <c r="X623" i="1"/>
  <c r="AD623" i="1" s="1"/>
  <c r="Y623" i="1"/>
  <c r="Z623" i="1"/>
  <c r="AC623" i="1"/>
  <c r="R803" i="1"/>
  <c r="AF803" i="1" s="1"/>
  <c r="S803" i="1"/>
  <c r="U803" i="1"/>
  <c r="X803" i="1"/>
  <c r="AD803" i="1" s="1"/>
  <c r="Y803" i="1"/>
  <c r="Z803" i="1"/>
  <c r="AC803" i="1"/>
  <c r="R796" i="1"/>
  <c r="AF796" i="1" s="1"/>
  <c r="S796" i="1"/>
  <c r="U796" i="1"/>
  <c r="X796" i="1"/>
  <c r="AD796" i="1" s="1"/>
  <c r="Y796" i="1"/>
  <c r="Z796" i="1"/>
  <c r="AC796" i="1"/>
  <c r="R784" i="1"/>
  <c r="AF784" i="1" s="1"/>
  <c r="S784" i="1"/>
  <c r="U784" i="1"/>
  <c r="X784" i="1"/>
  <c r="AD784" i="1" s="1"/>
  <c r="Y784" i="1"/>
  <c r="Z784" i="1"/>
  <c r="AC784" i="1"/>
  <c r="R769" i="1"/>
  <c r="AF769" i="1" s="1"/>
  <c r="S769" i="1"/>
  <c r="U769" i="1"/>
  <c r="X769" i="1"/>
  <c r="AD769" i="1" s="1"/>
  <c r="Y769" i="1"/>
  <c r="Z769" i="1"/>
  <c r="AC769" i="1"/>
  <c r="R750" i="1"/>
  <c r="AF750" i="1" s="1"/>
  <c r="S750" i="1"/>
  <c r="U750" i="1"/>
  <c r="X750" i="1"/>
  <c r="AD750" i="1" s="1"/>
  <c r="Y750" i="1"/>
  <c r="Z750" i="1"/>
  <c r="AC750" i="1"/>
  <c r="R733" i="1"/>
  <c r="AF733" i="1" s="1"/>
  <c r="S733" i="1"/>
  <c r="U733" i="1"/>
  <c r="X733" i="1"/>
  <c r="AD733" i="1" s="1"/>
  <c r="Y733" i="1"/>
  <c r="Z733" i="1"/>
  <c r="AC733" i="1"/>
  <c r="R713" i="1"/>
  <c r="AF713" i="1" s="1"/>
  <c r="S713" i="1"/>
  <c r="U713" i="1"/>
  <c r="X713" i="1"/>
  <c r="AD713" i="1" s="1"/>
  <c r="Y713" i="1"/>
  <c r="Z713" i="1"/>
  <c r="AC713" i="1"/>
  <c r="R702" i="1"/>
  <c r="AF702" i="1" s="1"/>
  <c r="S702" i="1"/>
  <c r="U702" i="1"/>
  <c r="X702" i="1"/>
  <c r="AD702" i="1" s="1"/>
  <c r="Y702" i="1"/>
  <c r="Z702" i="1"/>
  <c r="AC702" i="1"/>
  <c r="R638" i="1"/>
  <c r="AF638" i="1" s="1"/>
  <c r="S638" i="1"/>
  <c r="U638" i="1"/>
  <c r="X638" i="1"/>
  <c r="AD638" i="1" s="1"/>
  <c r="Y638" i="1"/>
  <c r="Z638" i="1"/>
  <c r="AC638" i="1"/>
  <c r="R627" i="1"/>
  <c r="AF627" i="1" s="1"/>
  <c r="S627" i="1"/>
  <c r="U627" i="1"/>
  <c r="X627" i="1"/>
  <c r="AD627" i="1" s="1"/>
  <c r="Y627" i="1"/>
  <c r="Z627" i="1"/>
  <c r="AC627" i="1"/>
  <c r="R689" i="1"/>
  <c r="AF689" i="1" s="1"/>
  <c r="R677" i="1"/>
  <c r="AF677" i="1" s="1"/>
  <c r="R675" i="1"/>
  <c r="AF675" i="1" s="1"/>
  <c r="R672" i="1"/>
  <c r="AF672" i="1" s="1"/>
  <c r="R693" i="1"/>
  <c r="AF693" i="1" s="1"/>
  <c r="R679" i="1"/>
  <c r="AF679" i="1" s="1"/>
  <c r="R662" i="1"/>
  <c r="AF662" i="1" s="1"/>
  <c r="R683" i="1"/>
  <c r="AF683" i="1" s="1"/>
  <c r="R681" i="1"/>
  <c r="AF681" i="1" s="1"/>
  <c r="R669" i="1"/>
  <c r="AF669" i="1" s="1"/>
  <c r="R688" i="1"/>
  <c r="AF688" i="1" s="1"/>
  <c r="S689" i="1"/>
  <c r="S677" i="1"/>
  <c r="S675" i="1"/>
  <c r="S672" i="1"/>
  <c r="S693" i="1"/>
  <c r="S679" i="1"/>
  <c r="S662" i="1"/>
  <c r="S683" i="1"/>
  <c r="S681" i="1"/>
  <c r="S669" i="1"/>
  <c r="S688" i="1"/>
  <c r="U689" i="1"/>
  <c r="U677" i="1"/>
  <c r="U675" i="1"/>
  <c r="U672" i="1"/>
  <c r="U693" i="1"/>
  <c r="U679" i="1"/>
  <c r="U662" i="1"/>
  <c r="U683" i="1"/>
  <c r="U681" i="1"/>
  <c r="U669" i="1"/>
  <c r="U688" i="1"/>
  <c r="X689" i="1"/>
  <c r="AD689" i="1" s="1"/>
  <c r="X677" i="1"/>
  <c r="AD677" i="1" s="1"/>
  <c r="X675" i="1"/>
  <c r="AD675" i="1" s="1"/>
  <c r="X672" i="1"/>
  <c r="AD672" i="1" s="1"/>
  <c r="X693" i="1"/>
  <c r="AD693" i="1" s="1"/>
  <c r="X679" i="1"/>
  <c r="AD679" i="1" s="1"/>
  <c r="X662" i="1"/>
  <c r="AD662" i="1" s="1"/>
  <c r="X683" i="1"/>
  <c r="AD683" i="1" s="1"/>
  <c r="X681" i="1"/>
  <c r="AD681" i="1" s="1"/>
  <c r="X669" i="1"/>
  <c r="AD669" i="1" s="1"/>
  <c r="X688" i="1"/>
  <c r="AD688" i="1" s="1"/>
  <c r="Y689" i="1"/>
  <c r="Y677" i="1"/>
  <c r="Y675" i="1"/>
  <c r="Y672" i="1"/>
  <c r="Y693" i="1"/>
  <c r="Y679" i="1"/>
  <c r="Y662" i="1"/>
  <c r="Y683" i="1"/>
  <c r="Y681" i="1"/>
  <c r="Y669" i="1"/>
  <c r="Y688" i="1"/>
  <c r="Z689" i="1"/>
  <c r="Z677" i="1"/>
  <c r="Z675" i="1"/>
  <c r="Z672" i="1"/>
  <c r="Z693" i="1"/>
  <c r="Z679" i="1"/>
  <c r="Z662" i="1"/>
  <c r="Z683" i="1"/>
  <c r="Z681" i="1"/>
  <c r="Z669" i="1"/>
  <c r="Z688" i="1"/>
  <c r="AC689" i="1"/>
  <c r="AC677" i="1"/>
  <c r="AC675" i="1"/>
  <c r="AC672" i="1"/>
  <c r="AC693" i="1"/>
  <c r="AC679" i="1"/>
  <c r="AC662" i="1"/>
  <c r="AC683" i="1"/>
  <c r="AC681" i="1"/>
  <c r="AC669" i="1"/>
  <c r="AC688" i="1"/>
  <c r="R687" i="1"/>
  <c r="AF687" i="1" s="1"/>
  <c r="S687" i="1"/>
  <c r="U687" i="1"/>
  <c r="X687" i="1"/>
  <c r="AD687" i="1" s="1"/>
  <c r="Y687" i="1"/>
  <c r="Z687" i="1"/>
  <c r="AC687" i="1"/>
  <c r="R690" i="1"/>
  <c r="AF690" i="1" s="1"/>
  <c r="R663" i="1"/>
  <c r="AF663" i="1" s="1"/>
  <c r="R661" i="1"/>
  <c r="AF661" i="1" s="1"/>
  <c r="R682" i="1"/>
  <c r="AF682" i="1" s="1"/>
  <c r="R696" i="1"/>
  <c r="AF696" i="1" s="1"/>
  <c r="R668" i="1"/>
  <c r="AF668" i="1" s="1"/>
  <c r="R684" i="1"/>
  <c r="AF684" i="1" s="1"/>
  <c r="R670" i="1"/>
  <c r="AF670" i="1" s="1"/>
  <c r="R667" i="1"/>
  <c r="AF667" i="1" s="1"/>
  <c r="R692" i="1"/>
  <c r="AF692" i="1" s="1"/>
  <c r="R694" i="1"/>
  <c r="AF694" i="1" s="1"/>
  <c r="S690" i="1"/>
  <c r="S663" i="1"/>
  <c r="S661" i="1"/>
  <c r="S682" i="1"/>
  <c r="S696" i="1"/>
  <c r="S668" i="1"/>
  <c r="S684" i="1"/>
  <c r="S670" i="1"/>
  <c r="S667" i="1"/>
  <c r="S692" i="1"/>
  <c r="S694" i="1"/>
  <c r="U690" i="1"/>
  <c r="U663" i="1"/>
  <c r="U661" i="1"/>
  <c r="U682" i="1"/>
  <c r="U696" i="1"/>
  <c r="U668" i="1"/>
  <c r="U684" i="1"/>
  <c r="U670" i="1"/>
  <c r="U667" i="1"/>
  <c r="U692" i="1"/>
  <c r="U694" i="1"/>
  <c r="X690" i="1"/>
  <c r="AD690" i="1" s="1"/>
  <c r="X663" i="1"/>
  <c r="AD663" i="1" s="1"/>
  <c r="X661" i="1"/>
  <c r="AD661" i="1" s="1"/>
  <c r="X682" i="1"/>
  <c r="AD682" i="1" s="1"/>
  <c r="X696" i="1"/>
  <c r="AD696" i="1" s="1"/>
  <c r="X668" i="1"/>
  <c r="AD668" i="1" s="1"/>
  <c r="X684" i="1"/>
  <c r="AD684" i="1" s="1"/>
  <c r="X670" i="1"/>
  <c r="AD670" i="1" s="1"/>
  <c r="X667" i="1"/>
  <c r="AD667" i="1" s="1"/>
  <c r="X692" i="1"/>
  <c r="AD692" i="1" s="1"/>
  <c r="X694" i="1"/>
  <c r="AD694" i="1" s="1"/>
  <c r="Y690" i="1"/>
  <c r="Y663" i="1"/>
  <c r="Y661" i="1"/>
  <c r="Y682" i="1"/>
  <c r="Y696" i="1"/>
  <c r="Y668" i="1"/>
  <c r="Y684" i="1"/>
  <c r="Y670" i="1"/>
  <c r="Y667" i="1"/>
  <c r="Y692" i="1"/>
  <c r="Y694" i="1"/>
  <c r="Z690" i="1"/>
  <c r="Z663" i="1"/>
  <c r="Z661" i="1"/>
  <c r="Z682" i="1"/>
  <c r="Z696" i="1"/>
  <c r="Z668" i="1"/>
  <c r="Z684" i="1"/>
  <c r="Z670" i="1"/>
  <c r="Z667" i="1"/>
  <c r="Z692" i="1"/>
  <c r="Z694" i="1"/>
  <c r="AC690" i="1"/>
  <c r="AC663" i="1"/>
  <c r="AC661" i="1"/>
  <c r="AC682" i="1"/>
  <c r="AC696" i="1"/>
  <c r="AC668" i="1"/>
  <c r="AC684" i="1"/>
  <c r="AC670" i="1"/>
  <c r="AC667" i="1"/>
  <c r="AC692" i="1"/>
  <c r="AC694" i="1"/>
  <c r="R685" i="1"/>
  <c r="AF685" i="1" s="1"/>
  <c r="S685" i="1"/>
  <c r="U685" i="1"/>
  <c r="X685" i="1"/>
  <c r="AD685" i="1" s="1"/>
  <c r="Y685" i="1"/>
  <c r="Z685" i="1"/>
  <c r="AC685" i="1"/>
  <c r="R779" i="1"/>
  <c r="AF779" i="1" s="1"/>
  <c r="S779" i="1"/>
  <c r="U779" i="1"/>
  <c r="X779" i="1"/>
  <c r="AD779" i="1" s="1"/>
  <c r="Y779" i="1"/>
  <c r="Z779" i="1"/>
  <c r="AC779" i="1"/>
  <c r="R756" i="1"/>
  <c r="AF756" i="1" s="1"/>
  <c r="R764" i="1"/>
  <c r="AF764" i="1" s="1"/>
  <c r="S756" i="1"/>
  <c r="S764" i="1"/>
  <c r="U756" i="1"/>
  <c r="U764" i="1"/>
  <c r="X756" i="1"/>
  <c r="AD756" i="1" s="1"/>
  <c r="X764" i="1"/>
  <c r="AD764" i="1" s="1"/>
  <c r="Y756" i="1"/>
  <c r="Y764" i="1"/>
  <c r="Z756" i="1"/>
  <c r="Z764" i="1"/>
  <c r="AC756" i="1"/>
  <c r="AC764" i="1"/>
  <c r="R765" i="1"/>
  <c r="AF765" i="1" s="1"/>
  <c r="S765" i="1"/>
  <c r="U765" i="1"/>
  <c r="X765" i="1"/>
  <c r="AD765" i="1" s="1"/>
  <c r="Y765" i="1"/>
  <c r="Z765" i="1"/>
  <c r="AC765" i="1"/>
  <c r="R714" i="1"/>
  <c r="AF714" i="1" s="1"/>
  <c r="S714" i="1"/>
  <c r="U714" i="1"/>
  <c r="X714" i="1"/>
  <c r="AD714" i="1" s="1"/>
  <c r="Y714" i="1"/>
  <c r="Z714" i="1"/>
  <c r="AC714" i="1"/>
  <c r="R664" i="1"/>
  <c r="AF664" i="1" s="1"/>
  <c r="R673" i="1"/>
  <c r="AF673" i="1" s="1"/>
  <c r="R676" i="1"/>
  <c r="AF676" i="1" s="1"/>
  <c r="S664" i="1"/>
  <c r="S673" i="1"/>
  <c r="S676" i="1"/>
  <c r="U664" i="1"/>
  <c r="U673" i="1"/>
  <c r="U676" i="1"/>
  <c r="X664" i="1"/>
  <c r="AD664" i="1" s="1"/>
  <c r="X673" i="1"/>
  <c r="AD673" i="1" s="1"/>
  <c r="X676" i="1"/>
  <c r="AD676" i="1" s="1"/>
  <c r="Y664" i="1"/>
  <c r="Y673" i="1"/>
  <c r="Y676" i="1"/>
  <c r="Z664" i="1"/>
  <c r="Z673" i="1"/>
  <c r="Z676" i="1"/>
  <c r="AC664" i="1"/>
  <c r="AC673" i="1"/>
  <c r="AC676" i="1"/>
  <c r="R695" i="1"/>
  <c r="AF695" i="1" s="1"/>
  <c r="S695" i="1"/>
  <c r="U695" i="1"/>
  <c r="X695" i="1"/>
  <c r="AD695" i="1" s="1"/>
  <c r="Y695" i="1"/>
  <c r="Z695" i="1"/>
  <c r="AC695" i="1"/>
  <c r="R626" i="1"/>
  <c r="AF626" i="1" s="1"/>
  <c r="S626" i="1"/>
  <c r="U626" i="1"/>
  <c r="X626" i="1"/>
  <c r="AD626" i="1" s="1"/>
  <c r="Y626" i="1"/>
  <c r="Z626" i="1"/>
  <c r="AC626" i="1"/>
  <c r="R606" i="1"/>
  <c r="AF606" i="1" s="1"/>
  <c r="S606" i="1"/>
  <c r="U606" i="1"/>
  <c r="X606" i="1"/>
  <c r="AD606" i="1" s="1"/>
  <c r="Y606" i="1"/>
  <c r="Z606" i="1"/>
  <c r="AC606" i="1"/>
  <c r="R599" i="1"/>
  <c r="AF599" i="1" s="1"/>
  <c r="S599" i="1"/>
  <c r="U599" i="1"/>
  <c r="X599" i="1"/>
  <c r="AD599" i="1" s="1"/>
  <c r="Y599" i="1"/>
  <c r="Z599" i="1"/>
  <c r="AC599" i="1"/>
  <c r="R613" i="1"/>
  <c r="AF613" i="1" s="1"/>
  <c r="R610" i="1"/>
  <c r="AF610" i="1" s="1"/>
  <c r="R612" i="1"/>
  <c r="AF612" i="1" s="1"/>
  <c r="R611" i="1"/>
  <c r="AF611" i="1" s="1"/>
  <c r="R609" i="1"/>
  <c r="AF609" i="1" s="1"/>
  <c r="S613" i="1"/>
  <c r="S610" i="1"/>
  <c r="S612" i="1"/>
  <c r="S611" i="1"/>
  <c r="S609" i="1"/>
  <c r="U613" i="1"/>
  <c r="U610" i="1"/>
  <c r="U612" i="1"/>
  <c r="U611" i="1"/>
  <c r="U609" i="1"/>
  <c r="X613" i="1"/>
  <c r="AD613" i="1" s="1"/>
  <c r="X610" i="1"/>
  <c r="AD610" i="1" s="1"/>
  <c r="X612" i="1"/>
  <c r="AD612" i="1" s="1"/>
  <c r="X611" i="1"/>
  <c r="AD611" i="1" s="1"/>
  <c r="X609" i="1"/>
  <c r="AD609" i="1" s="1"/>
  <c r="Y613" i="1"/>
  <c r="Y610" i="1"/>
  <c r="Y612" i="1"/>
  <c r="Y611" i="1"/>
  <c r="Y609" i="1"/>
  <c r="Z613" i="1"/>
  <c r="Z610" i="1"/>
  <c r="Z612" i="1"/>
  <c r="Z611" i="1"/>
  <c r="Z609" i="1"/>
  <c r="AC613" i="1"/>
  <c r="AC610" i="1"/>
  <c r="AC612" i="1"/>
  <c r="AC611" i="1"/>
  <c r="AC609" i="1"/>
  <c r="R608" i="1"/>
  <c r="AF608" i="1" s="1"/>
  <c r="S608" i="1"/>
  <c r="U608" i="1"/>
  <c r="X608" i="1"/>
  <c r="AD608" i="1" s="1"/>
  <c r="Y608" i="1"/>
  <c r="Z608" i="1"/>
  <c r="AC608" i="1"/>
  <c r="R603" i="1"/>
  <c r="AF603" i="1" s="1"/>
  <c r="R602" i="1"/>
  <c r="AF602" i="1" s="1"/>
  <c r="R601" i="1"/>
  <c r="AF601" i="1" s="1"/>
  <c r="R605" i="1"/>
  <c r="AF605" i="1" s="1"/>
  <c r="R607" i="1"/>
  <c r="AF607" i="1" s="1"/>
  <c r="S603" i="1"/>
  <c r="S602" i="1"/>
  <c r="S601" i="1"/>
  <c r="S605" i="1"/>
  <c r="S607" i="1"/>
  <c r="U603" i="1"/>
  <c r="U602" i="1"/>
  <c r="U601" i="1"/>
  <c r="U605" i="1"/>
  <c r="U607" i="1"/>
  <c r="X603" i="1"/>
  <c r="AD603" i="1" s="1"/>
  <c r="X602" i="1"/>
  <c r="AD602" i="1" s="1"/>
  <c r="X601" i="1"/>
  <c r="AD601" i="1" s="1"/>
  <c r="X605" i="1"/>
  <c r="AD605" i="1" s="1"/>
  <c r="X607" i="1"/>
  <c r="AD607" i="1" s="1"/>
  <c r="Y603" i="1"/>
  <c r="Y602" i="1"/>
  <c r="Y601" i="1"/>
  <c r="Y605" i="1"/>
  <c r="Y607" i="1"/>
  <c r="Z603" i="1"/>
  <c r="Z602" i="1"/>
  <c r="Z601" i="1"/>
  <c r="Z605" i="1"/>
  <c r="Z607" i="1"/>
  <c r="AC603" i="1"/>
  <c r="AC602" i="1"/>
  <c r="AC601" i="1"/>
  <c r="AC605" i="1"/>
  <c r="AC607" i="1"/>
  <c r="R604" i="1"/>
  <c r="AF604" i="1" s="1"/>
  <c r="S604" i="1"/>
  <c r="U604" i="1"/>
  <c r="X604" i="1"/>
  <c r="AD604" i="1" s="1"/>
  <c r="Y604" i="1"/>
  <c r="Z604" i="1"/>
  <c r="AC604" i="1"/>
  <c r="R576" i="1"/>
  <c r="AF576" i="1" s="1"/>
  <c r="S576" i="1"/>
  <c r="U576" i="1"/>
  <c r="X576" i="1"/>
  <c r="AD576" i="1" s="1"/>
  <c r="Y576" i="1"/>
  <c r="Z576" i="1"/>
  <c r="AC576" i="1"/>
  <c r="R559" i="1"/>
  <c r="AF559" i="1" s="1"/>
  <c r="S559" i="1"/>
  <c r="U559" i="1"/>
  <c r="X559" i="1"/>
  <c r="AD559" i="1" s="1"/>
  <c r="Y559" i="1"/>
  <c r="Z559" i="1"/>
  <c r="AC559" i="1"/>
  <c r="R548" i="1"/>
  <c r="AF548" i="1" s="1"/>
  <c r="S548" i="1"/>
  <c r="U548" i="1"/>
  <c r="X548" i="1"/>
  <c r="AD548" i="1" s="1"/>
  <c r="Y548" i="1"/>
  <c r="Z548" i="1"/>
  <c r="AC548" i="1"/>
  <c r="R542" i="1"/>
  <c r="AF542" i="1" s="1"/>
  <c r="S542" i="1"/>
  <c r="U542" i="1"/>
  <c r="X542" i="1"/>
  <c r="AD542" i="1" s="1"/>
  <c r="Y542" i="1"/>
  <c r="Z542" i="1"/>
  <c r="AC542" i="1"/>
  <c r="R536" i="1"/>
  <c r="AF536" i="1" s="1"/>
  <c r="S536" i="1"/>
  <c r="U536" i="1"/>
  <c r="X536" i="1"/>
  <c r="AD536" i="1" s="1"/>
  <c r="Y536" i="1"/>
  <c r="Z536" i="1"/>
  <c r="AC536" i="1"/>
  <c r="R533" i="1"/>
  <c r="AF533" i="1" s="1"/>
  <c r="S533" i="1"/>
  <c r="U533" i="1"/>
  <c r="X533" i="1"/>
  <c r="AD533" i="1" s="1"/>
  <c r="Y533" i="1"/>
  <c r="Z533" i="1"/>
  <c r="AC533" i="1"/>
  <c r="R450" i="1"/>
  <c r="AF450" i="1" s="1"/>
  <c r="S450" i="1"/>
  <c r="U450" i="1"/>
  <c r="X450" i="1"/>
  <c r="AD450" i="1" s="1"/>
  <c r="Y450" i="1"/>
  <c r="Z450" i="1"/>
  <c r="AC450" i="1"/>
  <c r="R2" i="1"/>
  <c r="AF2" i="1" s="1"/>
  <c r="R3" i="1"/>
  <c r="AF3" i="1" s="1"/>
  <c r="R4" i="1"/>
  <c r="AF4" i="1" s="1"/>
  <c r="R5" i="1"/>
  <c r="AF5" i="1" s="1"/>
  <c r="R6" i="1"/>
  <c r="AF6" i="1" s="1"/>
  <c r="R7" i="1"/>
  <c r="AF7" i="1" s="1"/>
  <c r="R9" i="1"/>
  <c r="AF9" i="1" s="1"/>
  <c r="R8" i="1"/>
  <c r="AF8" i="1" s="1"/>
  <c r="R10" i="1"/>
  <c r="AF10" i="1" s="1"/>
  <c r="R11" i="1"/>
  <c r="AF11" i="1" s="1"/>
  <c r="R12" i="1"/>
  <c r="AF12" i="1" s="1"/>
  <c r="R13" i="1"/>
  <c r="AF13" i="1" s="1"/>
  <c r="R14" i="1"/>
  <c r="AF14" i="1" s="1"/>
  <c r="R15" i="1"/>
  <c r="AF15" i="1" s="1"/>
  <c r="R16" i="1"/>
  <c r="AF16" i="1" s="1"/>
  <c r="R17" i="1"/>
  <c r="AF17" i="1" s="1"/>
  <c r="R18" i="1"/>
  <c r="AF18" i="1" s="1"/>
  <c r="R20" i="1"/>
  <c r="AF20" i="1" s="1"/>
  <c r="R19" i="1"/>
  <c r="AF19" i="1" s="1"/>
  <c r="R21" i="1"/>
  <c r="AF21" i="1" s="1"/>
  <c r="R23" i="1"/>
  <c r="AF23" i="1" s="1"/>
  <c r="R22" i="1"/>
  <c r="AF22" i="1" s="1"/>
  <c r="R24" i="1"/>
  <c r="AF24" i="1" s="1"/>
  <c r="R25" i="1"/>
  <c r="AF25" i="1" s="1"/>
  <c r="R26" i="1"/>
  <c r="AF26" i="1" s="1"/>
  <c r="R27" i="1"/>
  <c r="AF27" i="1" s="1"/>
  <c r="R28" i="1"/>
  <c r="AF28" i="1" s="1"/>
  <c r="R29" i="1"/>
  <c r="AF29" i="1" s="1"/>
  <c r="R30" i="1"/>
  <c r="AF30" i="1" s="1"/>
  <c r="R31" i="1"/>
  <c r="AF31" i="1" s="1"/>
  <c r="R32" i="1"/>
  <c r="AF32" i="1" s="1"/>
  <c r="R34" i="1"/>
  <c r="AF34" i="1" s="1"/>
  <c r="R33" i="1"/>
  <c r="AF33" i="1" s="1"/>
  <c r="R35" i="1"/>
  <c r="AF35" i="1" s="1"/>
  <c r="R37" i="1"/>
  <c r="AF37" i="1" s="1"/>
  <c r="R36" i="1"/>
  <c r="AF36" i="1" s="1"/>
  <c r="R38" i="1"/>
  <c r="AF38" i="1" s="1"/>
  <c r="R41" i="1"/>
  <c r="AF41" i="1" s="1"/>
  <c r="R39" i="1"/>
  <c r="AF39" i="1" s="1"/>
  <c r="R40" i="1"/>
  <c r="AF40" i="1" s="1"/>
  <c r="R42" i="1"/>
  <c r="AF42" i="1" s="1"/>
  <c r="R46" i="1"/>
  <c r="AF46" i="1" s="1"/>
  <c r="R47" i="1"/>
  <c r="AF47" i="1" s="1"/>
  <c r="R48" i="1"/>
  <c r="AF48" i="1" s="1"/>
  <c r="R44" i="1"/>
  <c r="AF44" i="1" s="1"/>
  <c r="R43" i="1"/>
  <c r="AF43" i="1" s="1"/>
  <c r="R45" i="1"/>
  <c r="AF45" i="1" s="1"/>
  <c r="R49" i="1"/>
  <c r="AF49" i="1" s="1"/>
  <c r="R52" i="1"/>
  <c r="AF52" i="1" s="1"/>
  <c r="R51" i="1"/>
  <c r="AF51" i="1" s="1"/>
  <c r="R50" i="1"/>
  <c r="AF50" i="1" s="1"/>
  <c r="R53" i="1"/>
  <c r="AF53" i="1" s="1"/>
  <c r="R59" i="1"/>
  <c r="AF59" i="1" s="1"/>
  <c r="R56" i="1"/>
  <c r="AF56" i="1" s="1"/>
  <c r="R62" i="1"/>
  <c r="AF62" i="1" s="1"/>
  <c r="R61" i="1"/>
  <c r="AF61" i="1" s="1"/>
  <c r="R57" i="1"/>
  <c r="AF57" i="1" s="1"/>
  <c r="R55" i="1"/>
  <c r="AF55" i="1" s="1"/>
  <c r="R58" i="1"/>
  <c r="AF58" i="1" s="1"/>
  <c r="R60" i="1"/>
  <c r="AF60" i="1" s="1"/>
  <c r="R54" i="1"/>
  <c r="AF54" i="1" s="1"/>
  <c r="R64" i="1"/>
  <c r="AF64" i="1" s="1"/>
  <c r="R63" i="1"/>
  <c r="AF63" i="1" s="1"/>
  <c r="R69" i="1"/>
  <c r="AF69" i="1" s="1"/>
  <c r="R68" i="1"/>
  <c r="AF68" i="1" s="1"/>
  <c r="R66" i="1"/>
  <c r="AF66" i="1" s="1"/>
  <c r="R67" i="1"/>
  <c r="AF67" i="1" s="1"/>
  <c r="R65" i="1"/>
  <c r="AF65" i="1" s="1"/>
  <c r="R80" i="1"/>
  <c r="AF80" i="1" s="1"/>
  <c r="R79" i="1"/>
  <c r="AF79" i="1" s="1"/>
  <c r="R77" i="1"/>
  <c r="AF77" i="1" s="1"/>
  <c r="R75" i="1"/>
  <c r="AF75" i="1" s="1"/>
  <c r="R84" i="1"/>
  <c r="AF84" i="1" s="1"/>
  <c r="R82" i="1"/>
  <c r="AF82" i="1" s="1"/>
  <c r="R83" i="1"/>
  <c r="AF83" i="1" s="1"/>
  <c r="R81" i="1"/>
  <c r="AF81" i="1" s="1"/>
  <c r="R85" i="1"/>
  <c r="AF85" i="1" s="1"/>
  <c r="R73" i="1"/>
  <c r="AF73" i="1" s="1"/>
  <c r="R71" i="1"/>
  <c r="AF71" i="1" s="1"/>
  <c r="R78" i="1"/>
  <c r="AF78" i="1" s="1"/>
  <c r="R72" i="1"/>
  <c r="AF72" i="1" s="1"/>
  <c r="R76" i="1"/>
  <c r="AF76" i="1" s="1"/>
  <c r="R70" i="1"/>
  <c r="AF70" i="1" s="1"/>
  <c r="R74" i="1"/>
  <c r="AF74" i="1" s="1"/>
  <c r="R86" i="1"/>
  <c r="AF86" i="1" s="1"/>
  <c r="R87" i="1"/>
  <c r="AF87" i="1" s="1"/>
  <c r="R89" i="1"/>
  <c r="AF89" i="1" s="1"/>
  <c r="R88" i="1"/>
  <c r="AF88" i="1" s="1"/>
  <c r="R91" i="1"/>
  <c r="AF91" i="1" s="1"/>
  <c r="R90" i="1"/>
  <c r="AF90" i="1" s="1"/>
  <c r="R92" i="1"/>
  <c r="AF92" i="1" s="1"/>
  <c r="R93" i="1"/>
  <c r="AF93" i="1" s="1"/>
  <c r="R95" i="1"/>
  <c r="AF95" i="1" s="1"/>
  <c r="R97" i="1"/>
  <c r="AF97" i="1" s="1"/>
  <c r="R96" i="1"/>
  <c r="AF96" i="1" s="1"/>
  <c r="R94" i="1"/>
  <c r="AF94" i="1" s="1"/>
  <c r="R99" i="1"/>
  <c r="AF99" i="1" s="1"/>
  <c r="R98" i="1"/>
  <c r="AF98" i="1" s="1"/>
  <c r="R102" i="1"/>
  <c r="AF102" i="1" s="1"/>
  <c r="R105" i="1"/>
  <c r="AF105" i="1" s="1"/>
  <c r="R103" i="1"/>
  <c r="AF103" i="1" s="1"/>
  <c r="R104" i="1"/>
  <c r="AF104" i="1" s="1"/>
  <c r="R100" i="1"/>
  <c r="AF100" i="1" s="1"/>
  <c r="R107" i="1"/>
  <c r="AF107" i="1" s="1"/>
  <c r="R106" i="1"/>
  <c r="AF106" i="1" s="1"/>
  <c r="R101" i="1"/>
  <c r="AF101" i="1" s="1"/>
  <c r="R108" i="1"/>
  <c r="AF108" i="1" s="1"/>
  <c r="R109" i="1"/>
  <c r="AF109" i="1" s="1"/>
  <c r="R110" i="1"/>
  <c r="AF110" i="1" s="1"/>
  <c r="R111" i="1"/>
  <c r="AF111" i="1" s="1"/>
  <c r="R115" i="1"/>
  <c r="AF115" i="1" s="1"/>
  <c r="R113" i="1"/>
  <c r="AF113" i="1" s="1"/>
  <c r="R112" i="1"/>
  <c r="AF112" i="1" s="1"/>
  <c r="R114" i="1"/>
  <c r="AF114" i="1" s="1"/>
  <c r="R116" i="1"/>
  <c r="AF116" i="1" s="1"/>
  <c r="R117" i="1"/>
  <c r="AF117" i="1" s="1"/>
  <c r="R118" i="1"/>
  <c r="AF118" i="1" s="1"/>
  <c r="R119" i="1"/>
  <c r="AF119" i="1" s="1"/>
  <c r="R120" i="1"/>
  <c r="AF120" i="1" s="1"/>
  <c r="R123" i="1"/>
  <c r="AF123" i="1" s="1"/>
  <c r="R122" i="1"/>
  <c r="AF122" i="1" s="1"/>
  <c r="R121" i="1"/>
  <c r="AF121" i="1" s="1"/>
  <c r="R127" i="1"/>
  <c r="AF127" i="1" s="1"/>
  <c r="R125" i="1"/>
  <c r="AF125" i="1" s="1"/>
  <c r="R124" i="1"/>
  <c r="AF124" i="1" s="1"/>
  <c r="R126" i="1"/>
  <c r="AF126" i="1" s="1"/>
  <c r="R129" i="1"/>
  <c r="AF129" i="1" s="1"/>
  <c r="R128" i="1"/>
  <c r="AF128" i="1" s="1"/>
  <c r="R134" i="1"/>
  <c r="AF134" i="1" s="1"/>
  <c r="R136" i="1"/>
  <c r="AF136" i="1" s="1"/>
  <c r="R133" i="1"/>
  <c r="AF133" i="1" s="1"/>
  <c r="R132" i="1"/>
  <c r="AF132" i="1" s="1"/>
  <c r="R131" i="1"/>
  <c r="AF131" i="1" s="1"/>
  <c r="R130" i="1"/>
  <c r="AF130" i="1" s="1"/>
  <c r="R135" i="1"/>
  <c r="AF135" i="1" s="1"/>
  <c r="R137" i="1"/>
  <c r="AF137" i="1" s="1"/>
  <c r="R138" i="1"/>
  <c r="AF138" i="1" s="1"/>
  <c r="R140" i="1"/>
  <c r="AF140" i="1" s="1"/>
  <c r="R139" i="1"/>
  <c r="AF139" i="1" s="1"/>
  <c r="R142" i="1"/>
  <c r="AF142" i="1" s="1"/>
  <c r="R143" i="1"/>
  <c r="AF143" i="1" s="1"/>
  <c r="R141" i="1"/>
  <c r="AF141" i="1" s="1"/>
  <c r="R144" i="1"/>
  <c r="AF144" i="1" s="1"/>
  <c r="R146" i="1"/>
  <c r="AF146" i="1" s="1"/>
  <c r="R148" i="1"/>
  <c r="AF148" i="1" s="1"/>
  <c r="R151" i="1"/>
  <c r="AF151" i="1" s="1"/>
  <c r="R153" i="1"/>
  <c r="AF153" i="1" s="1"/>
  <c r="R152" i="1"/>
  <c r="AF152" i="1" s="1"/>
  <c r="R149" i="1"/>
  <c r="AF149" i="1" s="1"/>
  <c r="R145" i="1"/>
  <c r="AF145" i="1" s="1"/>
  <c r="R150" i="1"/>
  <c r="AF150" i="1" s="1"/>
  <c r="R147" i="1"/>
  <c r="AF147" i="1" s="1"/>
  <c r="R154" i="1"/>
  <c r="AF154" i="1" s="1"/>
  <c r="R155" i="1"/>
  <c r="AF155" i="1" s="1"/>
  <c r="R156" i="1"/>
  <c r="AF156" i="1" s="1"/>
  <c r="R158" i="1"/>
  <c r="AF158" i="1" s="1"/>
  <c r="R157" i="1"/>
  <c r="AF157" i="1" s="1"/>
  <c r="R161" i="1"/>
  <c r="AF161" i="1" s="1"/>
  <c r="R160" i="1"/>
  <c r="AF160" i="1" s="1"/>
  <c r="R159" i="1"/>
  <c r="AF159" i="1" s="1"/>
  <c r="R162" i="1"/>
  <c r="AF162" i="1" s="1"/>
  <c r="R164" i="1"/>
  <c r="AF164" i="1" s="1"/>
  <c r="R163" i="1"/>
  <c r="AF163" i="1" s="1"/>
  <c r="R165" i="1"/>
  <c r="AF165" i="1" s="1"/>
  <c r="R167" i="1"/>
  <c r="AF167" i="1" s="1"/>
  <c r="R166" i="1"/>
  <c r="AF166" i="1" s="1"/>
  <c r="R168" i="1"/>
  <c r="AF168" i="1" s="1"/>
  <c r="R169" i="1"/>
  <c r="AF169" i="1" s="1"/>
  <c r="R170" i="1"/>
  <c r="AF170" i="1" s="1"/>
  <c r="R171" i="1"/>
  <c r="AF171" i="1" s="1"/>
  <c r="R173" i="1"/>
  <c r="AF173" i="1" s="1"/>
  <c r="R172" i="1"/>
  <c r="AF172" i="1" s="1"/>
  <c r="R174" i="1"/>
  <c r="AF174" i="1" s="1"/>
  <c r="R175" i="1"/>
  <c r="AF175" i="1" s="1"/>
  <c r="R176" i="1"/>
  <c r="AF176" i="1" s="1"/>
  <c r="R180" i="1"/>
  <c r="AF180" i="1" s="1"/>
  <c r="R196" i="1"/>
  <c r="AF196" i="1" s="1"/>
  <c r="R188" i="1"/>
  <c r="AF188" i="1" s="1"/>
  <c r="R197" i="1"/>
  <c r="AF197" i="1" s="1"/>
  <c r="R199" i="1"/>
  <c r="AF199" i="1" s="1"/>
  <c r="R189" i="1"/>
  <c r="AF189" i="1" s="1"/>
  <c r="R200" i="1"/>
  <c r="AF200" i="1" s="1"/>
  <c r="R198" i="1"/>
  <c r="AF198" i="1" s="1"/>
  <c r="R185" i="1"/>
  <c r="AF185" i="1" s="1"/>
  <c r="R201" i="1"/>
  <c r="AF201" i="1" s="1"/>
  <c r="R193" i="1"/>
  <c r="AF193" i="1" s="1"/>
  <c r="R204" i="1"/>
  <c r="AF204" i="1" s="1"/>
  <c r="R205" i="1"/>
  <c r="AF205" i="1" s="1"/>
  <c r="R195" i="1"/>
  <c r="AF195" i="1" s="1"/>
  <c r="R186" i="1"/>
  <c r="AF186" i="1" s="1"/>
  <c r="R203" i="1"/>
  <c r="AF203" i="1" s="1"/>
  <c r="R202" i="1"/>
  <c r="AF202" i="1" s="1"/>
  <c r="R194" i="1"/>
  <c r="AF194" i="1" s="1"/>
  <c r="R190" i="1"/>
  <c r="AF190" i="1" s="1"/>
  <c r="R182" i="1"/>
  <c r="AF182" i="1" s="1"/>
  <c r="R184" i="1"/>
  <c r="AF184" i="1" s="1"/>
  <c r="R191" i="1"/>
  <c r="AF191" i="1" s="1"/>
  <c r="R192" i="1"/>
  <c r="AF192" i="1" s="1"/>
  <c r="R181" i="1"/>
  <c r="AF181" i="1" s="1"/>
  <c r="R179" i="1"/>
  <c r="AF179" i="1" s="1"/>
  <c r="R183" i="1"/>
  <c r="AF183" i="1" s="1"/>
  <c r="R187" i="1"/>
  <c r="AF187" i="1" s="1"/>
  <c r="R178" i="1"/>
  <c r="AF178" i="1" s="1"/>
  <c r="R177" i="1"/>
  <c r="AF177" i="1" s="1"/>
  <c r="R206" i="1"/>
  <c r="AF206" i="1" s="1"/>
  <c r="R207" i="1"/>
  <c r="AF207" i="1" s="1"/>
  <c r="R212" i="1"/>
  <c r="AF212" i="1" s="1"/>
  <c r="R210" i="1"/>
  <c r="AF210" i="1" s="1"/>
  <c r="R209" i="1"/>
  <c r="AF209" i="1" s="1"/>
  <c r="R211" i="1"/>
  <c r="AF211" i="1" s="1"/>
  <c r="R208" i="1"/>
  <c r="AF208" i="1" s="1"/>
  <c r="R214" i="1"/>
  <c r="AF214" i="1" s="1"/>
  <c r="R213" i="1"/>
  <c r="AF213" i="1" s="1"/>
  <c r="R215" i="1"/>
  <c r="AF215" i="1" s="1"/>
  <c r="R216" i="1"/>
  <c r="AF216" i="1" s="1"/>
  <c r="R217" i="1"/>
  <c r="AF217" i="1" s="1"/>
  <c r="R218" i="1"/>
  <c r="AF218" i="1" s="1"/>
  <c r="R219" i="1"/>
  <c r="AF219" i="1" s="1"/>
  <c r="R220" i="1"/>
  <c r="AF220" i="1" s="1"/>
  <c r="R221" i="1"/>
  <c r="AF221" i="1" s="1"/>
  <c r="R222" i="1"/>
  <c r="AF222" i="1" s="1"/>
  <c r="R225" i="1"/>
  <c r="AF225" i="1" s="1"/>
  <c r="R224" i="1"/>
  <c r="AF224" i="1" s="1"/>
  <c r="R223" i="1"/>
  <c r="AF223" i="1" s="1"/>
  <c r="R227" i="1"/>
  <c r="AF227" i="1" s="1"/>
  <c r="R226" i="1"/>
  <c r="AF226" i="1" s="1"/>
  <c r="R229" i="1"/>
  <c r="AF229" i="1" s="1"/>
  <c r="R230" i="1"/>
  <c r="AF230" i="1" s="1"/>
  <c r="R228" i="1"/>
  <c r="AF228" i="1" s="1"/>
  <c r="R231" i="1"/>
  <c r="AF231" i="1" s="1"/>
  <c r="R232" i="1"/>
  <c r="AF232" i="1" s="1"/>
  <c r="R233" i="1"/>
  <c r="AF233" i="1" s="1"/>
  <c r="R235" i="1"/>
  <c r="AF235" i="1" s="1"/>
  <c r="R234" i="1"/>
  <c r="AF234" i="1" s="1"/>
  <c r="R236" i="1"/>
  <c r="AF236" i="1" s="1"/>
  <c r="R241" i="1"/>
  <c r="AF241" i="1" s="1"/>
  <c r="R239" i="1"/>
  <c r="AF239" i="1" s="1"/>
  <c r="R242" i="1"/>
  <c r="AF242" i="1" s="1"/>
  <c r="R243" i="1"/>
  <c r="AF243" i="1" s="1"/>
  <c r="R240" i="1"/>
  <c r="AF240" i="1" s="1"/>
  <c r="R238" i="1"/>
  <c r="AF238" i="1" s="1"/>
  <c r="R237" i="1"/>
  <c r="AF237" i="1" s="1"/>
  <c r="R246" i="1"/>
  <c r="AF246" i="1" s="1"/>
  <c r="R244" i="1"/>
  <c r="AF244" i="1" s="1"/>
  <c r="R245" i="1"/>
  <c r="AF245" i="1" s="1"/>
  <c r="R249" i="1"/>
  <c r="AF249" i="1" s="1"/>
  <c r="R248" i="1"/>
  <c r="AF248" i="1" s="1"/>
  <c r="R247" i="1"/>
  <c r="AF247" i="1" s="1"/>
  <c r="R252" i="1"/>
  <c r="AF252" i="1" s="1"/>
  <c r="R259" i="1"/>
  <c r="AF259" i="1" s="1"/>
  <c r="R263" i="1"/>
  <c r="AF263" i="1" s="1"/>
  <c r="R262" i="1"/>
  <c r="AF262" i="1" s="1"/>
  <c r="R264" i="1"/>
  <c r="AF264" i="1" s="1"/>
  <c r="R258" i="1"/>
  <c r="AF258" i="1" s="1"/>
  <c r="R261" i="1"/>
  <c r="AF261" i="1" s="1"/>
  <c r="R256" i="1"/>
  <c r="AF256" i="1" s="1"/>
  <c r="R260" i="1"/>
  <c r="AF260" i="1" s="1"/>
  <c r="R251" i="1"/>
  <c r="AF251" i="1" s="1"/>
  <c r="R253" i="1"/>
  <c r="AF253" i="1" s="1"/>
  <c r="R254" i="1"/>
  <c r="AF254" i="1" s="1"/>
  <c r="R257" i="1"/>
  <c r="AF257" i="1" s="1"/>
  <c r="R255" i="1"/>
  <c r="AF255" i="1" s="1"/>
  <c r="R250" i="1"/>
  <c r="AF250" i="1" s="1"/>
  <c r="R267" i="1"/>
  <c r="AF267" i="1" s="1"/>
  <c r="R268" i="1"/>
  <c r="AF268" i="1" s="1"/>
  <c r="R265" i="1"/>
  <c r="AF265" i="1" s="1"/>
  <c r="R266" i="1"/>
  <c r="AF266" i="1" s="1"/>
  <c r="R271" i="1"/>
  <c r="AF271" i="1" s="1"/>
  <c r="R270" i="1"/>
  <c r="AF270" i="1" s="1"/>
  <c r="R269" i="1"/>
  <c r="AF269" i="1" s="1"/>
  <c r="R274" i="1"/>
  <c r="AF274" i="1" s="1"/>
  <c r="R272" i="1"/>
  <c r="AF272" i="1" s="1"/>
  <c r="R273" i="1"/>
  <c r="AF273" i="1" s="1"/>
  <c r="R275" i="1"/>
  <c r="AF275" i="1" s="1"/>
  <c r="R276" i="1"/>
  <c r="AF276" i="1" s="1"/>
  <c r="R277" i="1"/>
  <c r="AF277" i="1" s="1"/>
  <c r="R279" i="1"/>
  <c r="AF279" i="1" s="1"/>
  <c r="R280" i="1"/>
  <c r="AF280" i="1" s="1"/>
  <c r="R281" i="1"/>
  <c r="AF281" i="1" s="1"/>
  <c r="R278" i="1"/>
  <c r="AF278" i="1" s="1"/>
  <c r="R282" i="1"/>
  <c r="AF282" i="1" s="1"/>
  <c r="R287" i="1"/>
  <c r="AF287" i="1" s="1"/>
  <c r="R292" i="1"/>
  <c r="AF292" i="1" s="1"/>
  <c r="R285" i="1"/>
  <c r="AF285" i="1" s="1"/>
  <c r="R293" i="1"/>
  <c r="AF293" i="1" s="1"/>
  <c r="R290" i="1"/>
  <c r="AF290" i="1" s="1"/>
  <c r="R286" i="1"/>
  <c r="AF286" i="1" s="1"/>
  <c r="R283" i="1"/>
  <c r="AF283" i="1" s="1"/>
  <c r="R288" i="1"/>
  <c r="AF288" i="1" s="1"/>
  <c r="R291" i="1"/>
  <c r="AF291" i="1" s="1"/>
  <c r="R289" i="1"/>
  <c r="AF289" i="1" s="1"/>
  <c r="R284" i="1"/>
  <c r="AF284" i="1" s="1"/>
  <c r="R295" i="1"/>
  <c r="AF295" i="1" s="1"/>
  <c r="R296" i="1"/>
  <c r="AF296" i="1" s="1"/>
  <c r="R294" i="1"/>
  <c r="AF294" i="1" s="1"/>
  <c r="R297" i="1"/>
  <c r="AF297" i="1" s="1"/>
  <c r="R298" i="1"/>
  <c r="AF298" i="1" s="1"/>
  <c r="R299" i="1"/>
  <c r="AF299" i="1" s="1"/>
  <c r="R300" i="1"/>
  <c r="AF300" i="1" s="1"/>
  <c r="R303" i="1"/>
  <c r="AF303" i="1" s="1"/>
  <c r="R302" i="1"/>
  <c r="AF302" i="1" s="1"/>
  <c r="R301" i="1"/>
  <c r="AF301" i="1" s="1"/>
  <c r="R305" i="1"/>
  <c r="AF305" i="1" s="1"/>
  <c r="R304" i="1"/>
  <c r="AF304" i="1" s="1"/>
  <c r="R306" i="1"/>
  <c r="AF306" i="1" s="1"/>
  <c r="R307" i="1"/>
  <c r="AF307" i="1" s="1"/>
  <c r="R317" i="1"/>
  <c r="AF317" i="1" s="1"/>
  <c r="R310" i="1"/>
  <c r="AF310" i="1" s="1"/>
  <c r="R309" i="1"/>
  <c r="AF309" i="1" s="1"/>
  <c r="R318" i="1"/>
  <c r="AF318" i="1" s="1"/>
  <c r="R312" i="1"/>
  <c r="AF312" i="1" s="1"/>
  <c r="R313" i="1"/>
  <c r="AF313" i="1" s="1"/>
  <c r="R314" i="1"/>
  <c r="AF314" i="1" s="1"/>
  <c r="R316" i="1"/>
  <c r="AF316" i="1" s="1"/>
  <c r="R315" i="1"/>
  <c r="AF315" i="1" s="1"/>
  <c r="R311" i="1"/>
  <c r="AF311" i="1" s="1"/>
  <c r="R319" i="1"/>
  <c r="AF319" i="1" s="1"/>
  <c r="R308" i="1"/>
  <c r="AF308" i="1" s="1"/>
  <c r="R320" i="1"/>
  <c r="AF320" i="1" s="1"/>
  <c r="R321" i="1"/>
  <c r="AF321" i="1" s="1"/>
  <c r="R322" i="1"/>
  <c r="AF322" i="1" s="1"/>
  <c r="R324" i="1"/>
  <c r="AF324" i="1" s="1"/>
  <c r="R323" i="1"/>
  <c r="AF323" i="1" s="1"/>
  <c r="R325" i="1"/>
  <c r="AF325" i="1" s="1"/>
  <c r="R327" i="1"/>
  <c r="AF327" i="1" s="1"/>
  <c r="R329" i="1"/>
  <c r="AF329" i="1" s="1"/>
  <c r="R328" i="1"/>
  <c r="AF328" i="1" s="1"/>
  <c r="R326" i="1"/>
  <c r="AF326" i="1" s="1"/>
  <c r="R334" i="1"/>
  <c r="AF334" i="1" s="1"/>
  <c r="R332" i="1"/>
  <c r="AF332" i="1" s="1"/>
  <c r="R333" i="1"/>
  <c r="AF333" i="1" s="1"/>
  <c r="R331" i="1"/>
  <c r="AF331" i="1" s="1"/>
  <c r="R330" i="1"/>
  <c r="AF330" i="1" s="1"/>
  <c r="R336" i="1"/>
  <c r="AF336" i="1" s="1"/>
  <c r="R337" i="1"/>
  <c r="AF337" i="1" s="1"/>
  <c r="R335" i="1"/>
  <c r="AF335" i="1" s="1"/>
  <c r="R344" i="1"/>
  <c r="AF344" i="1" s="1"/>
  <c r="R340" i="1"/>
  <c r="AF340" i="1" s="1"/>
  <c r="R342" i="1"/>
  <c r="AF342" i="1" s="1"/>
  <c r="R339" i="1"/>
  <c r="AF339" i="1" s="1"/>
  <c r="R346" i="1"/>
  <c r="AF346" i="1" s="1"/>
  <c r="R348" i="1"/>
  <c r="AF348" i="1" s="1"/>
  <c r="R338" i="1"/>
  <c r="AF338" i="1" s="1"/>
  <c r="R341" i="1"/>
  <c r="AF341" i="1" s="1"/>
  <c r="R345" i="1"/>
  <c r="AF345" i="1" s="1"/>
  <c r="R343" i="1"/>
  <c r="AF343" i="1" s="1"/>
  <c r="R347" i="1"/>
  <c r="AF347" i="1" s="1"/>
  <c r="R350" i="1"/>
  <c r="AF350" i="1" s="1"/>
  <c r="R349" i="1"/>
  <c r="AF349" i="1" s="1"/>
  <c r="R351" i="1"/>
  <c r="AF351" i="1" s="1"/>
  <c r="R352" i="1"/>
  <c r="AF352" i="1" s="1"/>
  <c r="R356" i="1"/>
  <c r="AF356" i="1" s="1"/>
  <c r="R354" i="1"/>
  <c r="AF354" i="1" s="1"/>
  <c r="R357" i="1"/>
  <c r="AF357" i="1" s="1"/>
  <c r="R355" i="1"/>
  <c r="AF355" i="1" s="1"/>
  <c r="R353" i="1"/>
  <c r="AF353" i="1" s="1"/>
  <c r="R359" i="1"/>
  <c r="AF359" i="1" s="1"/>
  <c r="R360" i="1"/>
  <c r="AF360" i="1" s="1"/>
  <c r="R358" i="1"/>
  <c r="AF358" i="1" s="1"/>
  <c r="R361" i="1"/>
  <c r="AF361" i="1" s="1"/>
  <c r="R368" i="1"/>
  <c r="AF368" i="1" s="1"/>
  <c r="R366" i="1"/>
  <c r="AF366" i="1" s="1"/>
  <c r="R365" i="1"/>
  <c r="AF365" i="1" s="1"/>
  <c r="R369" i="1"/>
  <c r="AF369" i="1" s="1"/>
  <c r="R370" i="1"/>
  <c r="AF370" i="1" s="1"/>
  <c r="R362" i="1"/>
  <c r="AF362" i="1" s="1"/>
  <c r="R367" i="1"/>
  <c r="AF367" i="1" s="1"/>
  <c r="R364" i="1"/>
  <c r="AF364" i="1" s="1"/>
  <c r="R363" i="1"/>
  <c r="AF363" i="1" s="1"/>
  <c r="R371" i="1"/>
  <c r="AF371" i="1" s="1"/>
  <c r="R373" i="1"/>
  <c r="AF373" i="1" s="1"/>
  <c r="R372" i="1"/>
  <c r="AF372" i="1" s="1"/>
  <c r="R374" i="1"/>
  <c r="AF374" i="1" s="1"/>
  <c r="R376" i="1"/>
  <c r="AF376" i="1" s="1"/>
  <c r="R375" i="1"/>
  <c r="AF375" i="1" s="1"/>
  <c r="R377" i="1"/>
  <c r="AF377" i="1" s="1"/>
  <c r="R380" i="1"/>
  <c r="AF380" i="1" s="1"/>
  <c r="R378" i="1"/>
  <c r="AF378" i="1" s="1"/>
  <c r="R381" i="1"/>
  <c r="AF381" i="1" s="1"/>
  <c r="R379" i="1"/>
  <c r="AF379" i="1" s="1"/>
  <c r="R382" i="1"/>
  <c r="AF382" i="1" s="1"/>
  <c r="R383" i="1"/>
  <c r="AF383" i="1" s="1"/>
  <c r="R384" i="1"/>
  <c r="AF384" i="1" s="1"/>
  <c r="R385" i="1"/>
  <c r="AF385" i="1" s="1"/>
  <c r="R386" i="1"/>
  <c r="AF386" i="1" s="1"/>
  <c r="R388" i="1"/>
  <c r="AF388" i="1" s="1"/>
  <c r="R387" i="1"/>
  <c r="AF387" i="1" s="1"/>
  <c r="R390" i="1"/>
  <c r="AF390" i="1" s="1"/>
  <c r="R389" i="1"/>
  <c r="AF389" i="1" s="1"/>
  <c r="R391" i="1"/>
  <c r="AF391" i="1" s="1"/>
  <c r="R397" i="1"/>
  <c r="AF397" i="1" s="1"/>
  <c r="R394" i="1"/>
  <c r="AF394" i="1" s="1"/>
  <c r="R393" i="1"/>
  <c r="AF393" i="1" s="1"/>
  <c r="R395" i="1"/>
  <c r="AF395" i="1" s="1"/>
  <c r="R396" i="1"/>
  <c r="AF396" i="1" s="1"/>
  <c r="R392" i="1"/>
  <c r="AF392" i="1" s="1"/>
  <c r="R398" i="1"/>
  <c r="AF398" i="1" s="1"/>
  <c r="R399" i="1"/>
  <c r="AF399" i="1" s="1"/>
  <c r="R401" i="1"/>
  <c r="AF401" i="1" s="1"/>
  <c r="R400" i="1"/>
  <c r="AF400" i="1" s="1"/>
  <c r="R402" i="1"/>
  <c r="AF402" i="1" s="1"/>
  <c r="R403" i="1"/>
  <c r="AF403" i="1" s="1"/>
  <c r="R404" i="1"/>
  <c r="AF404" i="1" s="1"/>
  <c r="R405" i="1"/>
  <c r="AF405" i="1" s="1"/>
  <c r="R406" i="1"/>
  <c r="AF406" i="1" s="1"/>
  <c r="R407" i="1"/>
  <c r="AF407" i="1" s="1"/>
  <c r="R408" i="1"/>
  <c r="AF408" i="1" s="1"/>
  <c r="R409" i="1"/>
  <c r="AF409" i="1" s="1"/>
  <c r="R413" i="1"/>
  <c r="AF413" i="1" s="1"/>
  <c r="R417" i="1"/>
  <c r="AF417" i="1" s="1"/>
  <c r="R415" i="1"/>
  <c r="AF415" i="1" s="1"/>
  <c r="R416" i="1"/>
  <c r="AF416" i="1" s="1"/>
  <c r="R414" i="1"/>
  <c r="AF414" i="1" s="1"/>
  <c r="R412" i="1"/>
  <c r="AF412" i="1" s="1"/>
  <c r="R410" i="1"/>
  <c r="AF410" i="1" s="1"/>
  <c r="R411" i="1"/>
  <c r="AF411" i="1" s="1"/>
  <c r="R418" i="1"/>
  <c r="AF418" i="1" s="1"/>
  <c r="R420" i="1"/>
  <c r="AF420" i="1" s="1"/>
  <c r="R419" i="1"/>
  <c r="AF419" i="1" s="1"/>
  <c r="R421" i="1"/>
  <c r="AF421" i="1" s="1"/>
  <c r="R425" i="1"/>
  <c r="AF425" i="1" s="1"/>
  <c r="R423" i="1"/>
  <c r="AF423" i="1" s="1"/>
  <c r="R422" i="1"/>
  <c r="AF422" i="1" s="1"/>
  <c r="R424" i="1"/>
  <c r="AF424" i="1" s="1"/>
  <c r="R426" i="1"/>
  <c r="AF426" i="1" s="1"/>
  <c r="R428" i="1"/>
  <c r="AF428" i="1" s="1"/>
  <c r="R427" i="1"/>
  <c r="AF427" i="1" s="1"/>
  <c r="R429" i="1"/>
  <c r="AF429" i="1" s="1"/>
  <c r="R433" i="1"/>
  <c r="AF433" i="1" s="1"/>
  <c r="R436" i="1"/>
  <c r="AF436" i="1" s="1"/>
  <c r="R438" i="1"/>
  <c r="AF438" i="1" s="1"/>
  <c r="R437" i="1"/>
  <c r="AF437" i="1" s="1"/>
  <c r="R434" i="1"/>
  <c r="AF434" i="1" s="1"/>
  <c r="R430" i="1"/>
  <c r="AF430" i="1" s="1"/>
  <c r="R431" i="1"/>
  <c r="AF431" i="1" s="1"/>
  <c r="R432" i="1"/>
  <c r="AF432" i="1" s="1"/>
  <c r="R435" i="1"/>
  <c r="AF435" i="1" s="1"/>
  <c r="R439" i="1"/>
  <c r="AF439" i="1" s="1"/>
  <c r="R440" i="1"/>
  <c r="AF440" i="1" s="1"/>
  <c r="R441" i="1"/>
  <c r="AF441" i="1" s="1"/>
  <c r="R442" i="1"/>
  <c r="AF442" i="1" s="1"/>
  <c r="R444" i="1"/>
  <c r="AF444" i="1" s="1"/>
  <c r="R443" i="1"/>
  <c r="AF443" i="1" s="1"/>
  <c r="R445" i="1"/>
  <c r="AF445" i="1" s="1"/>
  <c r="R447" i="1"/>
  <c r="AF447" i="1" s="1"/>
  <c r="R446" i="1"/>
  <c r="AF446" i="1" s="1"/>
  <c r="R449" i="1"/>
  <c r="AF449" i="1" s="1"/>
  <c r="R448" i="1"/>
  <c r="AF448" i="1" s="1"/>
  <c r="R451" i="1"/>
  <c r="AF451" i="1" s="1"/>
  <c r="R452" i="1"/>
  <c r="AF452" i="1" s="1"/>
  <c r="R454" i="1"/>
  <c r="AF454" i="1" s="1"/>
  <c r="R453" i="1"/>
  <c r="AF453" i="1" s="1"/>
  <c r="R455" i="1"/>
  <c r="AF455" i="1" s="1"/>
  <c r="R456" i="1"/>
  <c r="AF456" i="1" s="1"/>
  <c r="R457" i="1"/>
  <c r="AF457" i="1" s="1"/>
  <c r="R458" i="1"/>
  <c r="AF458" i="1" s="1"/>
  <c r="R459" i="1"/>
  <c r="AF459" i="1" s="1"/>
  <c r="R460" i="1"/>
  <c r="AF460" i="1" s="1"/>
  <c r="R461" i="1"/>
  <c r="AF461" i="1" s="1"/>
  <c r="R464" i="1"/>
  <c r="AF464" i="1" s="1"/>
  <c r="R463" i="1"/>
  <c r="AF463" i="1" s="1"/>
  <c r="R462" i="1"/>
  <c r="AF462" i="1" s="1"/>
  <c r="R467" i="1"/>
  <c r="AF467" i="1" s="1"/>
  <c r="R466" i="1"/>
  <c r="AF466" i="1" s="1"/>
  <c r="R478" i="1"/>
  <c r="AF478" i="1" s="1"/>
  <c r="R475" i="1"/>
  <c r="AF475" i="1" s="1"/>
  <c r="R472" i="1"/>
  <c r="AF472" i="1" s="1"/>
  <c r="R479" i="1"/>
  <c r="AF479" i="1" s="1"/>
  <c r="R480" i="1"/>
  <c r="AF480" i="1" s="1"/>
  <c r="R473" i="1"/>
  <c r="AF473" i="1" s="1"/>
  <c r="R477" i="1"/>
  <c r="AF477" i="1" s="1"/>
  <c r="R471" i="1"/>
  <c r="AF471" i="1" s="1"/>
  <c r="R474" i="1"/>
  <c r="AF474" i="1" s="1"/>
  <c r="R468" i="1"/>
  <c r="AF468" i="1" s="1"/>
  <c r="R470" i="1"/>
  <c r="AF470" i="1" s="1"/>
  <c r="R476" i="1"/>
  <c r="AF476" i="1" s="1"/>
  <c r="R469" i="1"/>
  <c r="AF469" i="1" s="1"/>
  <c r="R482" i="1"/>
  <c r="AF482" i="1" s="1"/>
  <c r="R483" i="1"/>
  <c r="AF483" i="1" s="1"/>
  <c r="R481" i="1"/>
  <c r="AF481" i="1" s="1"/>
  <c r="R488" i="1"/>
  <c r="AF488" i="1" s="1"/>
  <c r="R486" i="1"/>
  <c r="AF486" i="1" s="1"/>
  <c r="R487" i="1"/>
  <c r="AF487" i="1" s="1"/>
  <c r="R485" i="1"/>
  <c r="AF485" i="1" s="1"/>
  <c r="R484" i="1"/>
  <c r="AF484" i="1" s="1"/>
  <c r="R495" i="1"/>
  <c r="AF495" i="1" s="1"/>
  <c r="R512" i="1"/>
  <c r="AF512" i="1" s="1"/>
  <c r="R508" i="1"/>
  <c r="AF508" i="1" s="1"/>
  <c r="R509" i="1"/>
  <c r="AF509" i="1" s="1"/>
  <c r="R497" i="1"/>
  <c r="AF497" i="1" s="1"/>
  <c r="R519" i="1"/>
  <c r="AF519" i="1" s="1"/>
  <c r="R511" i="1"/>
  <c r="AF511" i="1" s="1"/>
  <c r="R502" i="1"/>
  <c r="AF502" i="1" s="1"/>
  <c r="R514" i="1"/>
  <c r="AF514" i="1" s="1"/>
  <c r="R504" i="1"/>
  <c r="AF504" i="1" s="1"/>
  <c r="R505" i="1"/>
  <c r="AF505" i="1" s="1"/>
  <c r="R518" i="1"/>
  <c r="AF518" i="1" s="1"/>
  <c r="R506" i="1"/>
  <c r="AF506" i="1" s="1"/>
  <c r="R496" i="1"/>
  <c r="AF496" i="1" s="1"/>
  <c r="R517" i="1"/>
  <c r="AF517" i="1" s="1"/>
  <c r="R492" i="1"/>
  <c r="AF492" i="1" s="1"/>
  <c r="R501" i="1"/>
  <c r="AF501" i="1" s="1"/>
  <c r="R516" i="1"/>
  <c r="AF516" i="1" s="1"/>
  <c r="R494" i="1"/>
  <c r="AF494" i="1" s="1"/>
  <c r="R515" i="1"/>
  <c r="AF515" i="1" s="1"/>
  <c r="R507" i="1"/>
  <c r="AF507" i="1" s="1"/>
  <c r="R491" i="1"/>
  <c r="AF491" i="1" s="1"/>
  <c r="R489" i="1"/>
  <c r="AF489" i="1" s="1"/>
  <c r="R498" i="1"/>
  <c r="AF498" i="1" s="1"/>
  <c r="R513" i="1"/>
  <c r="AF513" i="1" s="1"/>
  <c r="R500" i="1"/>
  <c r="AF500" i="1" s="1"/>
  <c r="R490" i="1"/>
  <c r="AF490" i="1" s="1"/>
  <c r="R493" i="1"/>
  <c r="AF493" i="1" s="1"/>
  <c r="R523" i="1"/>
  <c r="AF523" i="1" s="1"/>
  <c r="R522" i="1"/>
  <c r="AF522" i="1" s="1"/>
  <c r="R521" i="1"/>
  <c r="AF521" i="1" s="1"/>
  <c r="R525" i="1"/>
  <c r="AF525" i="1" s="1"/>
  <c r="R524" i="1"/>
  <c r="AF524" i="1" s="1"/>
  <c r="R526" i="1"/>
  <c r="AF526" i="1" s="1"/>
  <c r="R527" i="1"/>
  <c r="AF527" i="1" s="1"/>
  <c r="R528" i="1"/>
  <c r="AF528" i="1" s="1"/>
  <c r="R529" i="1"/>
  <c r="AF529" i="1" s="1"/>
  <c r="R530" i="1"/>
  <c r="AF530" i="1" s="1"/>
  <c r="R532" i="1"/>
  <c r="AF532" i="1" s="1"/>
  <c r="R531" i="1"/>
  <c r="AF531" i="1" s="1"/>
  <c r="R535" i="1"/>
  <c r="AF535" i="1" s="1"/>
  <c r="R534" i="1"/>
  <c r="AF534" i="1" s="1"/>
  <c r="R537" i="1"/>
  <c r="AF537" i="1" s="1"/>
  <c r="R538" i="1"/>
  <c r="AF538" i="1" s="1"/>
  <c r="R539" i="1"/>
  <c r="AF539" i="1" s="1"/>
  <c r="R540" i="1"/>
  <c r="AF540" i="1" s="1"/>
  <c r="R544" i="1"/>
  <c r="AF544" i="1" s="1"/>
  <c r="R543" i="1"/>
  <c r="AF543" i="1" s="1"/>
  <c r="R541" i="1"/>
  <c r="AF541" i="1" s="1"/>
  <c r="R546" i="1"/>
  <c r="AF546" i="1" s="1"/>
  <c r="R547" i="1"/>
  <c r="AF547" i="1" s="1"/>
  <c r="R549" i="1"/>
  <c r="AF549" i="1" s="1"/>
  <c r="R554" i="1"/>
  <c r="AF554" i="1" s="1"/>
  <c r="R553" i="1"/>
  <c r="AF553" i="1" s="1"/>
  <c r="R552" i="1"/>
  <c r="AF552" i="1" s="1"/>
  <c r="R551" i="1"/>
  <c r="AF551" i="1" s="1"/>
  <c r="R550" i="1"/>
  <c r="AF550" i="1" s="1"/>
  <c r="R557" i="1"/>
  <c r="AF557" i="1" s="1"/>
  <c r="R558" i="1"/>
  <c r="AF558" i="1" s="1"/>
  <c r="R556" i="1"/>
  <c r="AF556" i="1" s="1"/>
  <c r="R555" i="1"/>
  <c r="AF555" i="1" s="1"/>
  <c r="R563" i="1"/>
  <c r="AF563" i="1" s="1"/>
  <c r="R561" i="1"/>
  <c r="AF561" i="1" s="1"/>
  <c r="R560" i="1"/>
  <c r="AF560" i="1" s="1"/>
  <c r="R566" i="1"/>
  <c r="AF566" i="1" s="1"/>
  <c r="R567" i="1"/>
  <c r="AF567" i="1" s="1"/>
  <c r="R572" i="1"/>
  <c r="AF572" i="1" s="1"/>
  <c r="R570" i="1"/>
  <c r="AF570" i="1" s="1"/>
  <c r="R571" i="1"/>
  <c r="AF571" i="1" s="1"/>
  <c r="R569" i="1"/>
  <c r="AF569" i="1" s="1"/>
  <c r="R568" i="1"/>
  <c r="AF568" i="1" s="1"/>
  <c r="R573" i="1"/>
  <c r="AF573" i="1" s="1"/>
  <c r="R574" i="1"/>
  <c r="AF574" i="1" s="1"/>
  <c r="R575" i="1"/>
  <c r="AF575" i="1" s="1"/>
  <c r="R577" i="1"/>
  <c r="AF577" i="1" s="1"/>
  <c r="R580" i="1"/>
  <c r="AF580" i="1" s="1"/>
  <c r="R579" i="1"/>
  <c r="AF579" i="1" s="1"/>
  <c r="R581" i="1"/>
  <c r="AF581" i="1" s="1"/>
  <c r="R583" i="1"/>
  <c r="AF583" i="1" s="1"/>
  <c r="R585" i="1"/>
  <c r="AF585" i="1" s="1"/>
  <c r="R584" i="1"/>
  <c r="AF584" i="1" s="1"/>
  <c r="R582" i="1"/>
  <c r="AF582" i="1" s="1"/>
  <c r="R586" i="1"/>
  <c r="AF586" i="1" s="1"/>
  <c r="R587" i="1"/>
  <c r="AF587" i="1" s="1"/>
  <c r="R588" i="1"/>
  <c r="AF588" i="1" s="1"/>
  <c r="R589" i="1"/>
  <c r="AF589" i="1" s="1"/>
  <c r="R591" i="1"/>
  <c r="AF591" i="1" s="1"/>
  <c r="R590" i="1"/>
  <c r="AF590" i="1" s="1"/>
  <c r="R592" i="1"/>
  <c r="AF592" i="1" s="1"/>
  <c r="R594" i="1"/>
  <c r="AF594" i="1" s="1"/>
  <c r="R593" i="1"/>
  <c r="AF593" i="1" s="1"/>
  <c r="R596" i="1"/>
  <c r="AF596" i="1" s="1"/>
  <c r="R598" i="1"/>
  <c r="AF598" i="1" s="1"/>
  <c r="R597" i="1"/>
  <c r="AF597" i="1" s="1"/>
  <c r="R600" i="1"/>
  <c r="AF600" i="1" s="1"/>
  <c r="R595" i="1"/>
  <c r="AF595" i="1" s="1"/>
  <c r="R465" i="1"/>
  <c r="AF465" i="1" s="1"/>
  <c r="R510" i="1"/>
  <c r="AF510" i="1" s="1"/>
  <c r="R520" i="1"/>
  <c r="AF520" i="1" s="1"/>
  <c r="R499" i="1"/>
  <c r="AF499" i="1" s="1"/>
  <c r="R503" i="1"/>
  <c r="AF503" i="1" s="1"/>
  <c r="R545" i="1"/>
  <c r="AF545" i="1" s="1"/>
  <c r="R565" i="1"/>
  <c r="AF565" i="1" s="1"/>
  <c r="R564" i="1"/>
  <c r="AF564" i="1" s="1"/>
  <c r="R562" i="1"/>
  <c r="AF562" i="1" s="1"/>
  <c r="R578" i="1"/>
  <c r="AF578" i="1" s="1"/>
  <c r="T760" i="1" l="1"/>
  <c r="T651" i="1"/>
  <c r="T650" i="1"/>
  <c r="AF651" i="1"/>
  <c r="T777" i="1"/>
  <c r="AF650" i="1"/>
  <c r="T665" i="1"/>
  <c r="T710" i="1"/>
  <c r="T691" i="1"/>
  <c r="T653" i="1"/>
  <c r="AA781" i="1"/>
  <c r="T781" i="1"/>
  <c r="AE781" i="1"/>
  <c r="AB781" i="1"/>
  <c r="AA759" i="1"/>
  <c r="AE759" i="1" s="1"/>
  <c r="AB760" i="1"/>
  <c r="AA710" i="1"/>
  <c r="AE710" i="1" s="1"/>
  <c r="AA651" i="1"/>
  <c r="AE651" i="1" s="1"/>
  <c r="AA650" i="1"/>
  <c r="AE650" i="1" s="1"/>
  <c r="AA653" i="1"/>
  <c r="AE653" i="1" s="1"/>
  <c r="T649" i="1"/>
  <c r="AA649" i="1"/>
  <c r="AE649" i="1" s="1"/>
  <c r="AA686" i="1"/>
  <c r="AE686" i="1" s="1"/>
  <c r="T686" i="1"/>
  <c r="AA680" i="1"/>
  <c r="AE680" i="1" s="1"/>
  <c r="AA666" i="1"/>
  <c r="AE666" i="1" s="1"/>
  <c r="AA671" i="1"/>
  <c r="AE671" i="1" s="1"/>
  <c r="T678" i="1"/>
  <c r="AA660" i="1"/>
  <c r="AE660" i="1" s="1"/>
  <c r="AA674" i="1"/>
  <c r="AE674" i="1" s="1"/>
  <c r="T802" i="1"/>
  <c r="AA802" i="1"/>
  <c r="AE802" i="1" s="1"/>
  <c r="AA742" i="1"/>
  <c r="AB742" i="1" s="1"/>
  <c r="T674" i="1"/>
  <c r="AF686" i="1"/>
  <c r="T680" i="1"/>
  <c r="T666" i="1"/>
  <c r="T671" i="1"/>
  <c r="T660" i="1"/>
  <c r="AA691" i="1"/>
  <c r="AE691" i="1" s="1"/>
  <c r="AA678" i="1"/>
  <c r="AE678" i="1" s="1"/>
  <c r="AA665" i="1"/>
  <c r="AB665" i="1" s="1"/>
  <c r="AA634" i="1"/>
  <c r="AB634" i="1" s="1"/>
  <c r="AF802" i="1"/>
  <c r="AB660" i="1"/>
  <c r="T798" i="1"/>
  <c r="AF798" i="1"/>
  <c r="AA761" i="1"/>
  <c r="AE761" i="1" s="1"/>
  <c r="AA754" i="1"/>
  <c r="AE754" i="1" s="1"/>
  <c r="T776" i="1"/>
  <c r="AB709" i="1"/>
  <c r="AE709" i="1"/>
  <c r="T790" i="1"/>
  <c r="T729" i="1"/>
  <c r="T736" i="1"/>
  <c r="AA729" i="1"/>
  <c r="T708" i="1"/>
  <c r="T773" i="1"/>
  <c r="AA703" i="1"/>
  <c r="T754" i="1"/>
  <c r="AA790" i="1"/>
  <c r="AA758" i="1"/>
  <c r="AA783" i="1"/>
  <c r="T723" i="1"/>
  <c r="AA751" i="1"/>
  <c r="AA652" i="1"/>
  <c r="T758" i="1"/>
  <c r="AA741" i="1"/>
  <c r="T724" i="1"/>
  <c r="AA736" i="1"/>
  <c r="AA755" i="1"/>
  <c r="T761" i="1"/>
  <c r="T725" i="1"/>
  <c r="T755" i="1"/>
  <c r="T751" i="1"/>
  <c r="AA656" i="1"/>
  <c r="AA725" i="1"/>
  <c r="T652" i="1"/>
  <c r="T741" i="1"/>
  <c r="T707" i="1"/>
  <c r="AA724" i="1"/>
  <c r="AA799" i="1"/>
  <c r="T799" i="1"/>
  <c r="AA798" i="1"/>
  <c r="T783" i="1"/>
  <c r="AA773" i="1"/>
  <c r="T703" i="1"/>
  <c r="T621" i="1"/>
  <c r="T625" i="1"/>
  <c r="T719" i="1"/>
  <c r="AA719" i="1"/>
  <c r="T727" i="1"/>
  <c r="AA727" i="1"/>
  <c r="AA721" i="1"/>
  <c r="T721" i="1"/>
  <c r="AA726" i="1"/>
  <c r="T726" i="1"/>
  <c r="T728" i="1"/>
  <c r="AA728" i="1"/>
  <c r="AA723" i="1"/>
  <c r="T654" i="1"/>
  <c r="AA654" i="1"/>
  <c r="T794" i="1"/>
  <c r="AA794" i="1"/>
  <c r="AA776" i="1"/>
  <c r="AA708" i="1"/>
  <c r="AA628" i="1"/>
  <c r="T628" i="1"/>
  <c r="T614" i="1"/>
  <c r="AA791" i="1"/>
  <c r="T788" i="1"/>
  <c r="T697" i="1"/>
  <c r="AA657" i="1"/>
  <c r="T747" i="1"/>
  <c r="T709" i="1"/>
  <c r="AA777" i="1"/>
  <c r="AA739" i="1"/>
  <c r="T739" i="1"/>
  <c r="AA646" i="1"/>
  <c r="AA614" i="1"/>
  <c r="AA621" i="1"/>
  <c r="AA707" i="1"/>
  <c r="AA640" i="1"/>
  <c r="AE640" i="1" s="1"/>
  <c r="AA789" i="1"/>
  <c r="AA712" i="1"/>
  <c r="AA770" i="1"/>
  <c r="T646" i="1"/>
  <c r="AA766" i="1"/>
  <c r="AA631" i="1"/>
  <c r="T640" i="1"/>
  <c r="AA746" i="1"/>
  <c r="T635" i="1"/>
  <c r="AA753" i="1"/>
  <c r="AA644" i="1"/>
  <c r="AA632" i="1"/>
  <c r="AA633" i="1"/>
  <c r="AA616" i="1"/>
  <c r="AA618" i="1"/>
  <c r="T770" i="1"/>
  <c r="AA655" i="1"/>
  <c r="AA778" i="1"/>
  <c r="T792" i="1"/>
  <c r="AA658" i="1"/>
  <c r="T644" i="1"/>
  <c r="AA775" i="1"/>
  <c r="AA788" i="1"/>
  <c r="AA730" i="1"/>
  <c r="T643" i="1"/>
  <c r="T789" i="1"/>
  <c r="AA731" i="1"/>
  <c r="T744" i="1"/>
  <c r="T731" i="1"/>
  <c r="AA785" i="1"/>
  <c r="AA804" i="1"/>
  <c r="AA738" i="1"/>
  <c r="T753" i="1"/>
  <c r="T712" i="1"/>
  <c r="AA767" i="1"/>
  <c r="T645" i="1"/>
  <c r="AA615" i="1"/>
  <c r="AA792" i="1"/>
  <c r="T657" i="1"/>
  <c r="T705" i="1"/>
  <c r="AA637" i="1"/>
  <c r="T637" i="1"/>
  <c r="AA745" i="1"/>
  <c r="T745" i="1"/>
  <c r="T659" i="1"/>
  <c r="AA744" i="1"/>
  <c r="AA635" i="1"/>
  <c r="AA643" i="1"/>
  <c r="T618" i="1"/>
  <c r="AA748" i="1"/>
  <c r="T748" i="1"/>
  <c r="T746" i="1"/>
  <c r="T730" i="1"/>
  <c r="T631" i="1"/>
  <c r="T632" i="1"/>
  <c r="T633" i="1"/>
  <c r="T616" i="1"/>
  <c r="T615" i="1"/>
  <c r="T791" i="1"/>
  <c r="T778" i="1"/>
  <c r="T766" i="1"/>
  <c r="AA717" i="1"/>
  <c r="T717" i="1"/>
  <c r="T655" i="1"/>
  <c r="T658" i="1"/>
  <c r="T656" i="1"/>
  <c r="AA622" i="1"/>
  <c r="T622" i="1"/>
  <c r="T775" i="1"/>
  <c r="AA625" i="1"/>
  <c r="T624" i="1"/>
  <c r="T718" i="1"/>
  <c r="T785" i="1"/>
  <c r="T767" i="1"/>
  <c r="AA747" i="1"/>
  <c r="AA659" i="1"/>
  <c r="AA701" i="1"/>
  <c r="AA699" i="1"/>
  <c r="AA636" i="1"/>
  <c r="AA645" i="1"/>
  <c r="T796" i="1"/>
  <c r="AA715" i="1"/>
  <c r="AA752" i="1"/>
  <c r="T752" i="1"/>
  <c r="T738" i="1"/>
  <c r="AA735" i="1"/>
  <c r="T735" i="1"/>
  <c r="AA718" i="1"/>
  <c r="AA705" i="1"/>
  <c r="T619" i="1"/>
  <c r="AA619" i="1"/>
  <c r="T641" i="1"/>
  <c r="T732" i="1"/>
  <c r="T638" i="1"/>
  <c r="AA642" i="1"/>
  <c r="T757" i="1"/>
  <c r="AA641" i="1"/>
  <c r="T743" i="1"/>
  <c r="T720" i="1"/>
  <c r="T722" i="1"/>
  <c r="T706" i="1"/>
  <c r="T617" i="1"/>
  <c r="T648" i="1"/>
  <c r="T711" i="1"/>
  <c r="AA795" i="1"/>
  <c r="T642" i="1"/>
  <c r="T647" i="1"/>
  <c r="T762" i="1"/>
  <c r="T772" i="1"/>
  <c r="AA711" i="1"/>
  <c r="T701" i="1"/>
  <c r="T699" i="1"/>
  <c r="AA698" i="1"/>
  <c r="T698" i="1"/>
  <c r="AA697" i="1"/>
  <c r="T636" i="1"/>
  <c r="T620" i="1"/>
  <c r="AA620" i="1"/>
  <c r="AA630" i="1"/>
  <c r="T630" i="1"/>
  <c r="T704" i="1"/>
  <c r="T797" i="1"/>
  <c r="T786" i="1"/>
  <c r="T801" i="1"/>
  <c r="AA801" i="1"/>
  <c r="AA793" i="1"/>
  <c r="T793" i="1"/>
  <c r="T780" i="1"/>
  <c r="AA780" i="1"/>
  <c r="AA757" i="1"/>
  <c r="AA762" i="1"/>
  <c r="T740" i="1"/>
  <c r="AA740" i="1"/>
  <c r="AA732" i="1"/>
  <c r="AA647" i="1"/>
  <c r="AA624" i="1"/>
  <c r="T795" i="1"/>
  <c r="AA786" i="1"/>
  <c r="AA772" i="1"/>
  <c r="AA763" i="1"/>
  <c r="T763" i="1"/>
  <c r="AA743" i="1"/>
  <c r="AA722" i="1"/>
  <c r="AA706" i="1"/>
  <c r="AA648" i="1"/>
  <c r="AA617" i="1"/>
  <c r="T804" i="1"/>
  <c r="AA797" i="1"/>
  <c r="T787" i="1"/>
  <c r="AA787" i="1"/>
  <c r="AA774" i="1"/>
  <c r="T774" i="1"/>
  <c r="T771" i="1"/>
  <c r="AA771" i="1"/>
  <c r="AA737" i="1"/>
  <c r="T737" i="1"/>
  <c r="AA720" i="1"/>
  <c r="AA704" i="1"/>
  <c r="T629" i="1"/>
  <c r="AA629" i="1"/>
  <c r="T608" i="1"/>
  <c r="T768" i="1"/>
  <c r="T702" i="1"/>
  <c r="AA734" i="1"/>
  <c r="T715" i="1"/>
  <c r="AA700" i="1"/>
  <c r="AA623" i="1"/>
  <c r="T623" i="1"/>
  <c r="T639" i="1"/>
  <c r="AA749" i="1"/>
  <c r="T749" i="1"/>
  <c r="T694" i="1"/>
  <c r="T733" i="1"/>
  <c r="AA764" i="1"/>
  <c r="T716" i="1"/>
  <c r="T800" i="1"/>
  <c r="AA713" i="1"/>
  <c r="AA768" i="1"/>
  <c r="AA716" i="1"/>
  <c r="T700" i="1"/>
  <c r="T750" i="1"/>
  <c r="T734" i="1"/>
  <c r="AA639" i="1"/>
  <c r="T599" i="1"/>
  <c r="AA782" i="1"/>
  <c r="T669" i="1"/>
  <c r="T677" i="1"/>
  <c r="T681" i="1"/>
  <c r="T670" i="1"/>
  <c r="T683" i="1"/>
  <c r="T684" i="1"/>
  <c r="T662" i="1"/>
  <c r="T764" i="1"/>
  <c r="T695" i="1"/>
  <c r="T756" i="1"/>
  <c r="T696" i="1"/>
  <c r="T693" i="1"/>
  <c r="T612" i="1"/>
  <c r="AA756" i="1"/>
  <c r="T672" i="1"/>
  <c r="AA750" i="1"/>
  <c r="T626" i="1"/>
  <c r="T675" i="1"/>
  <c r="T782" i="1"/>
  <c r="AA800" i="1"/>
  <c r="AA803" i="1"/>
  <c r="T803" i="1"/>
  <c r="AA796" i="1"/>
  <c r="AA784" i="1"/>
  <c r="T784" i="1"/>
  <c r="T769" i="1"/>
  <c r="AA769" i="1"/>
  <c r="AA733" i="1"/>
  <c r="T713" i="1"/>
  <c r="AA702" i="1"/>
  <c r="AA638" i="1"/>
  <c r="AA627" i="1"/>
  <c r="T627" i="1"/>
  <c r="T663" i="1"/>
  <c r="AA677" i="1"/>
  <c r="AA661" i="1"/>
  <c r="T690" i="1"/>
  <c r="T682" i="1"/>
  <c r="AA690" i="1"/>
  <c r="AA667" i="1"/>
  <c r="AA670" i="1"/>
  <c r="AA679" i="1"/>
  <c r="T667" i="1"/>
  <c r="T714" i="1"/>
  <c r="AA684" i="1"/>
  <c r="T679" i="1"/>
  <c r="T688" i="1"/>
  <c r="AA688" i="1"/>
  <c r="AA669" i="1"/>
  <c r="AA681" i="1"/>
  <c r="AA683" i="1"/>
  <c r="AA662" i="1"/>
  <c r="AA693" i="1"/>
  <c r="AA672" i="1"/>
  <c r="AA675" i="1"/>
  <c r="AA689" i="1"/>
  <c r="T689" i="1"/>
  <c r="AA687" i="1"/>
  <c r="T687" i="1"/>
  <c r="AA696" i="1"/>
  <c r="T692" i="1"/>
  <c r="AA668" i="1"/>
  <c r="T668" i="1"/>
  <c r="T661" i="1"/>
  <c r="T601" i="1"/>
  <c r="T610" i="1"/>
  <c r="AA694" i="1"/>
  <c r="AA692" i="1"/>
  <c r="AA682" i="1"/>
  <c r="AA663" i="1"/>
  <c r="AA685" i="1"/>
  <c r="T685" i="1"/>
  <c r="AA779" i="1"/>
  <c r="T779" i="1"/>
  <c r="AA765" i="1"/>
  <c r="T765" i="1"/>
  <c r="AA714" i="1"/>
  <c r="AA676" i="1"/>
  <c r="T676" i="1"/>
  <c r="AA673" i="1"/>
  <c r="T673" i="1"/>
  <c r="AA664" i="1"/>
  <c r="T664" i="1"/>
  <c r="AA695" i="1"/>
  <c r="AA626" i="1"/>
  <c r="T609" i="1"/>
  <c r="T603" i="1"/>
  <c r="T602" i="1"/>
  <c r="AA607" i="1"/>
  <c r="AA605" i="1"/>
  <c r="AA601" i="1"/>
  <c r="AA603" i="1"/>
  <c r="AE603" i="1" s="1"/>
  <c r="AA604" i="1"/>
  <c r="AA602" i="1"/>
  <c r="AA606" i="1"/>
  <c r="T606" i="1"/>
  <c r="AA599" i="1"/>
  <c r="AA609" i="1"/>
  <c r="AA611" i="1"/>
  <c r="T611" i="1"/>
  <c r="AA612" i="1"/>
  <c r="AA610" i="1"/>
  <c r="AA613" i="1"/>
  <c r="T613" i="1"/>
  <c r="AA608" i="1"/>
  <c r="T607" i="1"/>
  <c r="T605" i="1"/>
  <c r="AB603" i="1"/>
  <c r="T604" i="1"/>
  <c r="T450" i="1"/>
  <c r="AA576" i="1"/>
  <c r="T536" i="1"/>
  <c r="T542" i="1"/>
  <c r="AA559" i="1"/>
  <c r="T576" i="1"/>
  <c r="T559" i="1"/>
  <c r="T548" i="1"/>
  <c r="AA548" i="1"/>
  <c r="AA542" i="1"/>
  <c r="AA536" i="1"/>
  <c r="T533" i="1"/>
  <c r="AA533" i="1"/>
  <c r="AA450" i="1"/>
  <c r="S578" i="1"/>
  <c r="U578" i="1"/>
  <c r="X578" i="1"/>
  <c r="AD578" i="1" s="1"/>
  <c r="Y578" i="1"/>
  <c r="Z578" i="1"/>
  <c r="AC578" i="1"/>
  <c r="S564" i="1"/>
  <c r="T564" i="1" s="1"/>
  <c r="S562" i="1"/>
  <c r="T562" i="1" s="1"/>
  <c r="U564" i="1"/>
  <c r="U562" i="1"/>
  <c r="X564" i="1"/>
  <c r="AD564" i="1" s="1"/>
  <c r="X562" i="1"/>
  <c r="AD562" i="1" s="1"/>
  <c r="Y564" i="1"/>
  <c r="Y562" i="1"/>
  <c r="Z564" i="1"/>
  <c r="Z562" i="1"/>
  <c r="AC564" i="1"/>
  <c r="AC562" i="1"/>
  <c r="S565" i="1"/>
  <c r="U565" i="1"/>
  <c r="X565" i="1"/>
  <c r="AD565" i="1" s="1"/>
  <c r="Y565" i="1"/>
  <c r="Z565" i="1"/>
  <c r="AC565" i="1"/>
  <c r="S545" i="1"/>
  <c r="T545" i="1" s="1"/>
  <c r="U545" i="1"/>
  <c r="X545" i="1"/>
  <c r="AD545" i="1" s="1"/>
  <c r="Y545" i="1"/>
  <c r="Z545" i="1"/>
  <c r="AC545" i="1"/>
  <c r="S520" i="1"/>
  <c r="T520" i="1" s="1"/>
  <c r="S499" i="1"/>
  <c r="S503" i="1"/>
  <c r="T503" i="1" s="1"/>
  <c r="U520" i="1"/>
  <c r="U499" i="1"/>
  <c r="U503" i="1"/>
  <c r="X520" i="1"/>
  <c r="AD520" i="1" s="1"/>
  <c r="X499" i="1"/>
  <c r="AD499" i="1" s="1"/>
  <c r="X503" i="1"/>
  <c r="AD503" i="1" s="1"/>
  <c r="Y520" i="1"/>
  <c r="Y499" i="1"/>
  <c r="Y503" i="1"/>
  <c r="Z520" i="1"/>
  <c r="Z499" i="1"/>
  <c r="Z503" i="1"/>
  <c r="AC520" i="1"/>
  <c r="AC499" i="1"/>
  <c r="AC503" i="1"/>
  <c r="S510" i="1"/>
  <c r="U510" i="1"/>
  <c r="X510" i="1"/>
  <c r="AD510" i="1" s="1"/>
  <c r="Y510" i="1"/>
  <c r="Z510" i="1"/>
  <c r="AC510" i="1"/>
  <c r="S465" i="1"/>
  <c r="U465" i="1"/>
  <c r="X465" i="1"/>
  <c r="AD465" i="1" s="1"/>
  <c r="Y465" i="1"/>
  <c r="Z465" i="1"/>
  <c r="AC465" i="1"/>
  <c r="S469" i="1"/>
  <c r="S470" i="1"/>
  <c r="S479" i="1"/>
  <c r="S472" i="1"/>
  <c r="S475" i="1"/>
  <c r="S554" i="1"/>
  <c r="S574" i="1"/>
  <c r="S588" i="1"/>
  <c r="U469" i="1"/>
  <c r="U470" i="1"/>
  <c r="U479" i="1"/>
  <c r="U472" i="1"/>
  <c r="U475" i="1"/>
  <c r="U554" i="1"/>
  <c r="U574" i="1"/>
  <c r="U588" i="1"/>
  <c r="X469" i="1"/>
  <c r="AD469" i="1" s="1"/>
  <c r="X470" i="1"/>
  <c r="AD470" i="1" s="1"/>
  <c r="X479" i="1"/>
  <c r="AD479" i="1" s="1"/>
  <c r="X472" i="1"/>
  <c r="AD472" i="1" s="1"/>
  <c r="X475" i="1"/>
  <c r="AD475" i="1" s="1"/>
  <c r="X554" i="1"/>
  <c r="AD554" i="1" s="1"/>
  <c r="X574" i="1"/>
  <c r="AD574" i="1" s="1"/>
  <c r="X588" i="1"/>
  <c r="AD588" i="1" s="1"/>
  <c r="Y469" i="1"/>
  <c r="Y470" i="1"/>
  <c r="Y479" i="1"/>
  <c r="Y472" i="1"/>
  <c r="Y475" i="1"/>
  <c r="Y554" i="1"/>
  <c r="Y574" i="1"/>
  <c r="Y588" i="1"/>
  <c r="Z469" i="1"/>
  <c r="Z470" i="1"/>
  <c r="Z479" i="1"/>
  <c r="Z472" i="1"/>
  <c r="Z475" i="1"/>
  <c r="Z554" i="1"/>
  <c r="Z574" i="1"/>
  <c r="Z588" i="1"/>
  <c r="AC469" i="1"/>
  <c r="AC470" i="1"/>
  <c r="AC479" i="1"/>
  <c r="AC472" i="1"/>
  <c r="AC475" i="1"/>
  <c r="AC554" i="1"/>
  <c r="AC574" i="1"/>
  <c r="AC588" i="1"/>
  <c r="S448" i="1"/>
  <c r="U448" i="1"/>
  <c r="X448" i="1"/>
  <c r="AD448" i="1" s="1"/>
  <c r="Y448" i="1"/>
  <c r="Z448" i="1"/>
  <c r="AC448" i="1"/>
  <c r="S593" i="1"/>
  <c r="U593" i="1"/>
  <c r="X593" i="1"/>
  <c r="AD593" i="1" s="1"/>
  <c r="Y593" i="1"/>
  <c r="Z593" i="1"/>
  <c r="AC593" i="1"/>
  <c r="S594" i="1"/>
  <c r="U594" i="1"/>
  <c r="X594" i="1"/>
  <c r="AD594" i="1" s="1"/>
  <c r="Y594" i="1"/>
  <c r="Z594" i="1"/>
  <c r="AC594" i="1"/>
  <c r="S555" i="1"/>
  <c r="S558" i="1"/>
  <c r="S577" i="1"/>
  <c r="U555" i="1"/>
  <c r="U558" i="1"/>
  <c r="U577" i="1"/>
  <c r="X555" i="1"/>
  <c r="AD555" i="1" s="1"/>
  <c r="X558" i="1"/>
  <c r="AD558" i="1" s="1"/>
  <c r="X577" i="1"/>
  <c r="AD577" i="1" s="1"/>
  <c r="Y555" i="1"/>
  <c r="Y558" i="1"/>
  <c r="Y577" i="1"/>
  <c r="Z555" i="1"/>
  <c r="Z558" i="1"/>
  <c r="Z577" i="1"/>
  <c r="AC555" i="1"/>
  <c r="AC558" i="1"/>
  <c r="AC577" i="1"/>
  <c r="S546" i="1"/>
  <c r="U546" i="1"/>
  <c r="X546" i="1"/>
  <c r="AD546" i="1" s="1"/>
  <c r="Y546" i="1"/>
  <c r="Z546" i="1"/>
  <c r="AC546" i="1"/>
  <c r="S476" i="1"/>
  <c r="S526" i="1"/>
  <c r="U476" i="1"/>
  <c r="U526" i="1"/>
  <c r="X476" i="1"/>
  <c r="AD476" i="1" s="1"/>
  <c r="X526" i="1"/>
  <c r="AD526" i="1" s="1"/>
  <c r="Y476" i="1"/>
  <c r="Y526" i="1"/>
  <c r="Z476" i="1"/>
  <c r="Z526" i="1"/>
  <c r="AC476" i="1"/>
  <c r="AC526" i="1"/>
  <c r="S459" i="1"/>
  <c r="U459" i="1"/>
  <c r="X459" i="1"/>
  <c r="AD459" i="1" s="1"/>
  <c r="Y459" i="1"/>
  <c r="Z459" i="1"/>
  <c r="AC459" i="1"/>
  <c r="S444" i="1"/>
  <c r="U444" i="1"/>
  <c r="X444" i="1"/>
  <c r="AD444" i="1" s="1"/>
  <c r="Y444" i="1"/>
  <c r="Z444" i="1"/>
  <c r="AC444" i="1"/>
  <c r="S456" i="1"/>
  <c r="S522" i="1"/>
  <c r="S532" i="1"/>
  <c r="S543" i="1"/>
  <c r="S557" i="1"/>
  <c r="S570" i="1"/>
  <c r="S583" i="1"/>
  <c r="S584" i="1"/>
  <c r="S590" i="1"/>
  <c r="S598" i="1"/>
  <c r="U456" i="1"/>
  <c r="U522" i="1"/>
  <c r="U532" i="1"/>
  <c r="U543" i="1"/>
  <c r="U557" i="1"/>
  <c r="U570" i="1"/>
  <c r="U583" i="1"/>
  <c r="U584" i="1"/>
  <c r="U590" i="1"/>
  <c r="U598" i="1"/>
  <c r="X456" i="1"/>
  <c r="AD456" i="1" s="1"/>
  <c r="X522" i="1"/>
  <c r="AD522" i="1" s="1"/>
  <c r="X532" i="1"/>
  <c r="AD532" i="1" s="1"/>
  <c r="X543" i="1"/>
  <c r="AD543" i="1" s="1"/>
  <c r="X557" i="1"/>
  <c r="AD557" i="1" s="1"/>
  <c r="X570" i="1"/>
  <c r="AD570" i="1" s="1"/>
  <c r="X583" i="1"/>
  <c r="AD583" i="1" s="1"/>
  <c r="X584" i="1"/>
  <c r="AD584" i="1" s="1"/>
  <c r="X590" i="1"/>
  <c r="AD590" i="1" s="1"/>
  <c r="X598" i="1"/>
  <c r="AD598" i="1" s="1"/>
  <c r="Y456" i="1"/>
  <c r="Y522" i="1"/>
  <c r="Y532" i="1"/>
  <c r="Y543" i="1"/>
  <c r="Y557" i="1"/>
  <c r="Y570" i="1"/>
  <c r="Y583" i="1"/>
  <c r="Y584" i="1"/>
  <c r="Y590" i="1"/>
  <c r="Y598" i="1"/>
  <c r="Z456" i="1"/>
  <c r="Z522" i="1"/>
  <c r="Z532" i="1"/>
  <c r="Z543" i="1"/>
  <c r="Z557" i="1"/>
  <c r="Z570" i="1"/>
  <c r="Z583" i="1"/>
  <c r="Z584" i="1"/>
  <c r="Z590" i="1"/>
  <c r="Z598" i="1"/>
  <c r="AC456" i="1"/>
  <c r="AC522" i="1"/>
  <c r="AC532" i="1"/>
  <c r="AC543" i="1"/>
  <c r="AC557" i="1"/>
  <c r="AC570" i="1"/>
  <c r="AC583" i="1"/>
  <c r="AC584" i="1"/>
  <c r="AC590" i="1"/>
  <c r="AC598" i="1"/>
  <c r="S446" i="1"/>
  <c r="U446" i="1"/>
  <c r="X446" i="1"/>
  <c r="AD446" i="1" s="1"/>
  <c r="Y446" i="1"/>
  <c r="Z446" i="1"/>
  <c r="AC446" i="1"/>
  <c r="AB650" i="1" l="1"/>
  <c r="AB651" i="1"/>
  <c r="AB759" i="1"/>
  <c r="AB640" i="1"/>
  <c r="AB678" i="1"/>
  <c r="AB649" i="1"/>
  <c r="AB666" i="1"/>
  <c r="AB674" i="1"/>
  <c r="AB680" i="1"/>
  <c r="AB691" i="1"/>
  <c r="AB761" i="1"/>
  <c r="AB686" i="1"/>
  <c r="AB802" i="1"/>
  <c r="AB710" i="1"/>
  <c r="AB653" i="1"/>
  <c r="AB671" i="1"/>
  <c r="AE742" i="1"/>
  <c r="AE665" i="1"/>
  <c r="AE634" i="1"/>
  <c r="AB754" i="1"/>
  <c r="AB601" i="1"/>
  <c r="AE601" i="1"/>
  <c r="AB769" i="1"/>
  <c r="AE769" i="1"/>
  <c r="AB797" i="1"/>
  <c r="AE797" i="1"/>
  <c r="AB799" i="1"/>
  <c r="AE799" i="1"/>
  <c r="AB697" i="1"/>
  <c r="AE697" i="1"/>
  <c r="AB608" i="1"/>
  <c r="AE608" i="1"/>
  <c r="AB670" i="1"/>
  <c r="AE670" i="1"/>
  <c r="AB617" i="1"/>
  <c r="AE617" i="1"/>
  <c r="AB791" i="1"/>
  <c r="AE791" i="1"/>
  <c r="AB542" i="1"/>
  <c r="AE542" i="1"/>
  <c r="AB675" i="1"/>
  <c r="AE675" i="1"/>
  <c r="AB645" i="1"/>
  <c r="AE645" i="1"/>
  <c r="AB655" i="1"/>
  <c r="AE655" i="1"/>
  <c r="AB610" i="1"/>
  <c r="AE610" i="1"/>
  <c r="AB663" i="1"/>
  <c r="AE663" i="1"/>
  <c r="AB722" i="1"/>
  <c r="AE722" i="1"/>
  <c r="AB636" i="1"/>
  <c r="AE636" i="1"/>
  <c r="AB643" i="1"/>
  <c r="AE643" i="1"/>
  <c r="AB738" i="1"/>
  <c r="AE738" i="1"/>
  <c r="AB725" i="1"/>
  <c r="AE725" i="1"/>
  <c r="AB612" i="1"/>
  <c r="AE612" i="1"/>
  <c r="AB704" i="1"/>
  <c r="AE704" i="1"/>
  <c r="AB695" i="1"/>
  <c r="AE695" i="1"/>
  <c r="AB661" i="1"/>
  <c r="AE661" i="1"/>
  <c r="AB801" i="1"/>
  <c r="AE801" i="1"/>
  <c r="AB611" i="1"/>
  <c r="AE611" i="1"/>
  <c r="AB694" i="1"/>
  <c r="AE694" i="1"/>
  <c r="AB683" i="1"/>
  <c r="AE683" i="1"/>
  <c r="AB677" i="1"/>
  <c r="AE677" i="1"/>
  <c r="AB763" i="1"/>
  <c r="AE763" i="1"/>
  <c r="AB659" i="1"/>
  <c r="AE659" i="1"/>
  <c r="AB633" i="1"/>
  <c r="AE633" i="1"/>
  <c r="AB614" i="1"/>
  <c r="AE614" i="1"/>
  <c r="AB559" i="1"/>
  <c r="AE559" i="1"/>
  <c r="AB609" i="1"/>
  <c r="AE609" i="1"/>
  <c r="AB664" i="1"/>
  <c r="AE664" i="1"/>
  <c r="AB681" i="1"/>
  <c r="AE681" i="1"/>
  <c r="AB737" i="1"/>
  <c r="AE737" i="1"/>
  <c r="AB772" i="1"/>
  <c r="AE772" i="1"/>
  <c r="AB619" i="1"/>
  <c r="AE619" i="1"/>
  <c r="AB747" i="1"/>
  <c r="AE747" i="1"/>
  <c r="AB632" i="1"/>
  <c r="AE632" i="1"/>
  <c r="AB646" i="1"/>
  <c r="AE646" i="1"/>
  <c r="AB776" i="1"/>
  <c r="AE776" i="1"/>
  <c r="AB765" i="1"/>
  <c r="AE765" i="1"/>
  <c r="AB679" i="1"/>
  <c r="AE679" i="1"/>
  <c r="AB751" i="1"/>
  <c r="AE751" i="1"/>
  <c r="AB607" i="1"/>
  <c r="AE607" i="1"/>
  <c r="AB767" i="1"/>
  <c r="AE767" i="1"/>
  <c r="AB726" i="1"/>
  <c r="AE726" i="1"/>
  <c r="AB536" i="1"/>
  <c r="AE536" i="1"/>
  <c r="AB784" i="1"/>
  <c r="AE784" i="1"/>
  <c r="AB698" i="1"/>
  <c r="AE698" i="1"/>
  <c r="AB778" i="1"/>
  <c r="AE778" i="1"/>
  <c r="AB712" i="1"/>
  <c r="AE712" i="1"/>
  <c r="AB783" i="1"/>
  <c r="AE783" i="1"/>
  <c r="AB685" i="1"/>
  <c r="AE685" i="1"/>
  <c r="AB628" i="1"/>
  <c r="AE628" i="1"/>
  <c r="AB790" i="1"/>
  <c r="AE790" i="1"/>
  <c r="AB682" i="1"/>
  <c r="AE682" i="1"/>
  <c r="AB743" i="1"/>
  <c r="AE743" i="1"/>
  <c r="AB711" i="1"/>
  <c r="AE711" i="1"/>
  <c r="AB699" i="1"/>
  <c r="AE699" i="1"/>
  <c r="AB635" i="1"/>
  <c r="AE635" i="1"/>
  <c r="AB707" i="1"/>
  <c r="AE707" i="1"/>
  <c r="AB656" i="1"/>
  <c r="AE656" i="1"/>
  <c r="AB662" i="1"/>
  <c r="AE662" i="1"/>
  <c r="AB701" i="1"/>
  <c r="AE701" i="1"/>
  <c r="AB744" i="1"/>
  <c r="AE744" i="1"/>
  <c r="AB616" i="1"/>
  <c r="AE616" i="1"/>
  <c r="AB621" i="1"/>
  <c r="AE621" i="1"/>
  <c r="AB703" i="1"/>
  <c r="AE703" i="1"/>
  <c r="AB669" i="1"/>
  <c r="AE669" i="1"/>
  <c r="AB450" i="1"/>
  <c r="AE450" i="1"/>
  <c r="AB766" i="1"/>
  <c r="AE766" i="1"/>
  <c r="AB652" i="1"/>
  <c r="AE652" i="1"/>
  <c r="AB605" i="1"/>
  <c r="AE605" i="1"/>
  <c r="AB622" i="1"/>
  <c r="AE622" i="1"/>
  <c r="AB748" i="1"/>
  <c r="AE748" i="1"/>
  <c r="AB689" i="1"/>
  <c r="AE689" i="1"/>
  <c r="AB713" i="1"/>
  <c r="AE713" i="1"/>
  <c r="AB648" i="1"/>
  <c r="AE648" i="1"/>
  <c r="AB641" i="1"/>
  <c r="AE641" i="1"/>
  <c r="AB796" i="1"/>
  <c r="AE796" i="1"/>
  <c r="AB629" i="1"/>
  <c r="AE629" i="1"/>
  <c r="AB789" i="1"/>
  <c r="AE789" i="1"/>
  <c r="AB721" i="1"/>
  <c r="AE721" i="1"/>
  <c r="AB548" i="1"/>
  <c r="AE548" i="1"/>
  <c r="AB672" i="1"/>
  <c r="AE672" i="1"/>
  <c r="AB642" i="1"/>
  <c r="AE642" i="1"/>
  <c r="AB727" i="1"/>
  <c r="AE727" i="1"/>
  <c r="AB626" i="1"/>
  <c r="AE626" i="1"/>
  <c r="AB693" i="1"/>
  <c r="AE693" i="1"/>
  <c r="AB803" i="1"/>
  <c r="AE803" i="1"/>
  <c r="AB764" i="1"/>
  <c r="AE764" i="1"/>
  <c r="AB793" i="1"/>
  <c r="AE793" i="1"/>
  <c r="AB717" i="1"/>
  <c r="AE717" i="1"/>
  <c r="AB804" i="1"/>
  <c r="AE804" i="1"/>
  <c r="AB618" i="1"/>
  <c r="AE618" i="1"/>
  <c r="AB708" i="1"/>
  <c r="AE708" i="1"/>
  <c r="AB692" i="1"/>
  <c r="AE692" i="1"/>
  <c r="AB800" i="1"/>
  <c r="AE800" i="1"/>
  <c r="AB720" i="1"/>
  <c r="AE720" i="1"/>
  <c r="AB785" i="1"/>
  <c r="AE785" i="1"/>
  <c r="AB719" i="1"/>
  <c r="AE719" i="1"/>
  <c r="AB599" i="1"/>
  <c r="AE599" i="1"/>
  <c r="AB749" i="1"/>
  <c r="AE749" i="1"/>
  <c r="AB771" i="1"/>
  <c r="AE771" i="1"/>
  <c r="AB786" i="1"/>
  <c r="AE786" i="1"/>
  <c r="AB745" i="1"/>
  <c r="AE745" i="1"/>
  <c r="AB731" i="1"/>
  <c r="AE731" i="1"/>
  <c r="AB644" i="1"/>
  <c r="AE644" i="1"/>
  <c r="AB794" i="1"/>
  <c r="AE794" i="1"/>
  <c r="AB729" i="1"/>
  <c r="AE729" i="1"/>
  <c r="AB673" i="1"/>
  <c r="AE673" i="1"/>
  <c r="AB688" i="1"/>
  <c r="AE688" i="1"/>
  <c r="AB627" i="1"/>
  <c r="AE627" i="1"/>
  <c r="AB750" i="1"/>
  <c r="AE750" i="1"/>
  <c r="AB782" i="1"/>
  <c r="AE782" i="1"/>
  <c r="AB795" i="1"/>
  <c r="AE795" i="1"/>
  <c r="AB705" i="1"/>
  <c r="AE705" i="1"/>
  <c r="AB753" i="1"/>
  <c r="AE753" i="1"/>
  <c r="AB739" i="1"/>
  <c r="AE739" i="1"/>
  <c r="AB755" i="1"/>
  <c r="AE755" i="1"/>
  <c r="AB734" i="1"/>
  <c r="AE734" i="1"/>
  <c r="AB615" i="1"/>
  <c r="AE615" i="1"/>
  <c r="AB533" i="1"/>
  <c r="AE533" i="1"/>
  <c r="AB687" i="1"/>
  <c r="AE687" i="1"/>
  <c r="AB716" i="1"/>
  <c r="AE716" i="1"/>
  <c r="AB762" i="1"/>
  <c r="AE762" i="1"/>
  <c r="AB752" i="1"/>
  <c r="AE752" i="1"/>
  <c r="AB658" i="1"/>
  <c r="AE658" i="1"/>
  <c r="AB724" i="1"/>
  <c r="AE724" i="1"/>
  <c r="AB779" i="1"/>
  <c r="AE779" i="1"/>
  <c r="AB768" i="1"/>
  <c r="AE768" i="1"/>
  <c r="AB757" i="1"/>
  <c r="AE757" i="1"/>
  <c r="AB715" i="1"/>
  <c r="AE715" i="1"/>
  <c r="AB770" i="1"/>
  <c r="AE770" i="1"/>
  <c r="AB667" i="1"/>
  <c r="AE667" i="1"/>
  <c r="AB780" i="1"/>
  <c r="AE780" i="1"/>
  <c r="AB613" i="1"/>
  <c r="AE613" i="1"/>
  <c r="AB690" i="1"/>
  <c r="AE690" i="1"/>
  <c r="AB706" i="1"/>
  <c r="AE706" i="1"/>
  <c r="AB758" i="1"/>
  <c r="AE758" i="1"/>
  <c r="AB576" i="1"/>
  <c r="AE576" i="1"/>
  <c r="AB606" i="1"/>
  <c r="AE606" i="1"/>
  <c r="AB638" i="1"/>
  <c r="AE638" i="1"/>
  <c r="AB624" i="1"/>
  <c r="AE624" i="1"/>
  <c r="AB718" i="1"/>
  <c r="AE718" i="1"/>
  <c r="AB637" i="1"/>
  <c r="AE637" i="1"/>
  <c r="AB777" i="1"/>
  <c r="AE777" i="1"/>
  <c r="AB654" i="1"/>
  <c r="AE654" i="1"/>
  <c r="AB773" i="1"/>
  <c r="AE773" i="1"/>
  <c r="AB736" i="1"/>
  <c r="AE736" i="1"/>
  <c r="AB602" i="1"/>
  <c r="AE602" i="1"/>
  <c r="AB676" i="1"/>
  <c r="AE676" i="1"/>
  <c r="AB668" i="1"/>
  <c r="AE668" i="1"/>
  <c r="AB702" i="1"/>
  <c r="AE702" i="1"/>
  <c r="AB756" i="1"/>
  <c r="AE756" i="1"/>
  <c r="AB639" i="1"/>
  <c r="AE639" i="1"/>
  <c r="AB623" i="1"/>
  <c r="AE623" i="1"/>
  <c r="AB774" i="1"/>
  <c r="AE774" i="1"/>
  <c r="AB647" i="1"/>
  <c r="AE647" i="1"/>
  <c r="AB630" i="1"/>
  <c r="AE630" i="1"/>
  <c r="AB730" i="1"/>
  <c r="AE730" i="1"/>
  <c r="AB746" i="1"/>
  <c r="AE746" i="1"/>
  <c r="AB604" i="1"/>
  <c r="AE604" i="1"/>
  <c r="AB714" i="1"/>
  <c r="AE714" i="1"/>
  <c r="AB684" i="1"/>
  <c r="AE684" i="1"/>
  <c r="AB700" i="1"/>
  <c r="AE700" i="1"/>
  <c r="AB787" i="1"/>
  <c r="AE787" i="1"/>
  <c r="AB732" i="1"/>
  <c r="AE732" i="1"/>
  <c r="AB620" i="1"/>
  <c r="AE620" i="1"/>
  <c r="AB735" i="1"/>
  <c r="AE735" i="1"/>
  <c r="AB625" i="1"/>
  <c r="AE625" i="1"/>
  <c r="AB788" i="1"/>
  <c r="AE788" i="1"/>
  <c r="AB723" i="1"/>
  <c r="AE723" i="1"/>
  <c r="AB798" i="1"/>
  <c r="AE798" i="1"/>
  <c r="AB741" i="1"/>
  <c r="AE741" i="1"/>
  <c r="AB696" i="1"/>
  <c r="AE696" i="1"/>
  <c r="AB733" i="1"/>
  <c r="AE733" i="1"/>
  <c r="AB740" i="1"/>
  <c r="AE740" i="1"/>
  <c r="AB792" i="1"/>
  <c r="AE792" i="1"/>
  <c r="AB775" i="1"/>
  <c r="AE775" i="1"/>
  <c r="AB631" i="1"/>
  <c r="AE631" i="1"/>
  <c r="AB657" i="1"/>
  <c r="AE657" i="1"/>
  <c r="AB728" i="1"/>
  <c r="AE728" i="1"/>
  <c r="AA510" i="1"/>
  <c r="AA499" i="1"/>
  <c r="AA520" i="1"/>
  <c r="T448" i="1"/>
  <c r="T578" i="1"/>
  <c r="AA562" i="1"/>
  <c r="AA564" i="1"/>
  <c r="T565" i="1"/>
  <c r="AA565" i="1"/>
  <c r="AA545" i="1"/>
  <c r="AA503" i="1"/>
  <c r="T499" i="1"/>
  <c r="T510" i="1"/>
  <c r="T465" i="1"/>
  <c r="AA578" i="1"/>
  <c r="T594" i="1"/>
  <c r="T554" i="1"/>
  <c r="T479" i="1"/>
  <c r="AA465" i="1"/>
  <c r="T470" i="1"/>
  <c r="T475" i="1"/>
  <c r="T472" i="1"/>
  <c r="T588" i="1"/>
  <c r="T526" i="1"/>
  <c r="AA588" i="1"/>
  <c r="T574" i="1"/>
  <c r="AA574" i="1"/>
  <c r="AA554" i="1"/>
  <c r="AA475" i="1"/>
  <c r="AA472" i="1"/>
  <c r="AA479" i="1"/>
  <c r="AA470" i="1"/>
  <c r="AA469" i="1"/>
  <c r="T469" i="1"/>
  <c r="AA448" i="1"/>
  <c r="T459" i="1"/>
  <c r="T558" i="1"/>
  <c r="T444" i="1"/>
  <c r="T476" i="1"/>
  <c r="T555" i="1"/>
  <c r="T543" i="1"/>
  <c r="T532" i="1"/>
  <c r="AA476" i="1"/>
  <c r="T522" i="1"/>
  <c r="AA590" i="1"/>
  <c r="T456" i="1"/>
  <c r="T577" i="1"/>
  <c r="AA598" i="1"/>
  <c r="AA459" i="1"/>
  <c r="AA558" i="1"/>
  <c r="T557" i="1"/>
  <c r="T593" i="1"/>
  <c r="AA593" i="1"/>
  <c r="AA594" i="1"/>
  <c r="AA577" i="1"/>
  <c r="AA555" i="1"/>
  <c r="AA546" i="1"/>
  <c r="T546" i="1"/>
  <c r="AA526" i="1"/>
  <c r="AA444" i="1"/>
  <c r="T598" i="1"/>
  <c r="T590" i="1"/>
  <c r="AA584" i="1"/>
  <c r="AA557" i="1"/>
  <c r="T584" i="1"/>
  <c r="T583" i="1"/>
  <c r="AA583" i="1"/>
  <c r="AA570" i="1"/>
  <c r="T570" i="1"/>
  <c r="AA543" i="1"/>
  <c r="AA532" i="1"/>
  <c r="AA522" i="1"/>
  <c r="AA456" i="1"/>
  <c r="T446" i="1"/>
  <c r="AA446" i="1"/>
  <c r="S474" i="1"/>
  <c r="T474" i="1" s="1"/>
  <c r="S523" i="1"/>
  <c r="T523" i="1" s="1"/>
  <c r="S531" i="1"/>
  <c r="T531" i="1" s="1"/>
  <c r="S541" i="1"/>
  <c r="T541" i="1" s="1"/>
  <c r="S556" i="1"/>
  <c r="T556" i="1" s="1"/>
  <c r="S568" i="1"/>
  <c r="T568" i="1" s="1"/>
  <c r="S582" i="1"/>
  <c r="T582" i="1" s="1"/>
  <c r="S591" i="1"/>
  <c r="T591" i="1" s="1"/>
  <c r="S597" i="1"/>
  <c r="T597" i="1" s="1"/>
  <c r="U474" i="1"/>
  <c r="U523" i="1"/>
  <c r="U531" i="1"/>
  <c r="U541" i="1"/>
  <c r="U556" i="1"/>
  <c r="U568" i="1"/>
  <c r="U582" i="1"/>
  <c r="U591" i="1"/>
  <c r="U597" i="1"/>
  <c r="X474" i="1"/>
  <c r="AD474" i="1" s="1"/>
  <c r="X523" i="1"/>
  <c r="AD523" i="1" s="1"/>
  <c r="X531" i="1"/>
  <c r="AD531" i="1" s="1"/>
  <c r="X541" i="1"/>
  <c r="AD541" i="1" s="1"/>
  <c r="X556" i="1"/>
  <c r="AD556" i="1" s="1"/>
  <c r="X568" i="1"/>
  <c r="AD568" i="1" s="1"/>
  <c r="X582" i="1"/>
  <c r="AD582" i="1" s="1"/>
  <c r="X591" i="1"/>
  <c r="AD591" i="1" s="1"/>
  <c r="X597" i="1"/>
  <c r="AD597" i="1" s="1"/>
  <c r="Y474" i="1"/>
  <c r="Y523" i="1"/>
  <c r="Y531" i="1"/>
  <c r="Y541" i="1"/>
  <c r="Y556" i="1"/>
  <c r="Y568" i="1"/>
  <c r="Y582" i="1"/>
  <c r="Y591" i="1"/>
  <c r="Y597" i="1"/>
  <c r="Z474" i="1"/>
  <c r="Z523" i="1"/>
  <c r="Z531" i="1"/>
  <c r="Z541" i="1"/>
  <c r="Z556" i="1"/>
  <c r="Z568" i="1"/>
  <c r="Z582" i="1"/>
  <c r="Z591" i="1"/>
  <c r="Z597" i="1"/>
  <c r="AC474" i="1"/>
  <c r="AC523" i="1"/>
  <c r="AC531" i="1"/>
  <c r="AC541" i="1"/>
  <c r="AC556" i="1"/>
  <c r="AC568" i="1"/>
  <c r="AC582" i="1"/>
  <c r="AC591" i="1"/>
  <c r="AC597" i="1"/>
  <c r="S457" i="1"/>
  <c r="T457" i="1" s="1"/>
  <c r="U457" i="1"/>
  <c r="X457" i="1"/>
  <c r="AD457" i="1" s="1"/>
  <c r="Y457" i="1"/>
  <c r="Z457" i="1"/>
  <c r="AC457" i="1"/>
  <c r="S461" i="1"/>
  <c r="S460" i="1"/>
  <c r="S483" i="1"/>
  <c r="S525" i="1"/>
  <c r="S534" i="1"/>
  <c r="S547" i="1"/>
  <c r="S561" i="1"/>
  <c r="S573" i="1"/>
  <c r="U461" i="1"/>
  <c r="U460" i="1"/>
  <c r="U483" i="1"/>
  <c r="U525" i="1"/>
  <c r="U534" i="1"/>
  <c r="U547" i="1"/>
  <c r="U561" i="1"/>
  <c r="U573" i="1"/>
  <c r="X461" i="1"/>
  <c r="AD461" i="1" s="1"/>
  <c r="X460" i="1"/>
  <c r="AD460" i="1" s="1"/>
  <c r="X483" i="1"/>
  <c r="AD483" i="1" s="1"/>
  <c r="X525" i="1"/>
  <c r="AD525" i="1" s="1"/>
  <c r="X534" i="1"/>
  <c r="AD534" i="1" s="1"/>
  <c r="X547" i="1"/>
  <c r="AD547" i="1" s="1"/>
  <c r="X561" i="1"/>
  <c r="AD561" i="1" s="1"/>
  <c r="X573" i="1"/>
  <c r="AD573" i="1" s="1"/>
  <c r="Y461" i="1"/>
  <c r="Y460" i="1"/>
  <c r="Y483" i="1"/>
  <c r="Y525" i="1"/>
  <c r="Y534" i="1"/>
  <c r="Y547" i="1"/>
  <c r="Y561" i="1"/>
  <c r="Y573" i="1"/>
  <c r="Z461" i="1"/>
  <c r="Z460" i="1"/>
  <c r="Z483" i="1"/>
  <c r="Z525" i="1"/>
  <c r="Z534" i="1"/>
  <c r="Z547" i="1"/>
  <c r="Z561" i="1"/>
  <c r="Z573" i="1"/>
  <c r="AC461" i="1"/>
  <c r="AC460" i="1"/>
  <c r="AC483" i="1"/>
  <c r="AC525" i="1"/>
  <c r="AC534" i="1"/>
  <c r="AC547" i="1"/>
  <c r="AC561" i="1"/>
  <c r="AC573" i="1"/>
  <c r="S458" i="1"/>
  <c r="U458" i="1"/>
  <c r="X458" i="1"/>
  <c r="AD458" i="1" s="1"/>
  <c r="Y458" i="1"/>
  <c r="Z458" i="1"/>
  <c r="AC458" i="1"/>
  <c r="S524" i="1"/>
  <c r="S535" i="1"/>
  <c r="T535" i="1" s="1"/>
  <c r="S544" i="1"/>
  <c r="S575" i="1"/>
  <c r="S586" i="1"/>
  <c r="S592" i="1"/>
  <c r="S600" i="1"/>
  <c r="U524" i="1"/>
  <c r="U535" i="1"/>
  <c r="U544" i="1"/>
  <c r="U575" i="1"/>
  <c r="U586" i="1"/>
  <c r="U592" i="1"/>
  <c r="U600" i="1"/>
  <c r="X524" i="1"/>
  <c r="AD524" i="1" s="1"/>
  <c r="X535" i="1"/>
  <c r="AD535" i="1" s="1"/>
  <c r="X544" i="1"/>
  <c r="AD544" i="1" s="1"/>
  <c r="X575" i="1"/>
  <c r="AD575" i="1" s="1"/>
  <c r="X586" i="1"/>
  <c r="AD586" i="1" s="1"/>
  <c r="X592" i="1"/>
  <c r="AD592" i="1" s="1"/>
  <c r="X600" i="1"/>
  <c r="AD600" i="1" s="1"/>
  <c r="Y524" i="1"/>
  <c r="Y535" i="1"/>
  <c r="Y544" i="1"/>
  <c r="Y575" i="1"/>
  <c r="Y586" i="1"/>
  <c r="Y592" i="1"/>
  <c r="Y600" i="1"/>
  <c r="Z524" i="1"/>
  <c r="Z535" i="1"/>
  <c r="Z544" i="1"/>
  <c r="Z575" i="1"/>
  <c r="Z586" i="1"/>
  <c r="Z592" i="1"/>
  <c r="Z600" i="1"/>
  <c r="AC524" i="1"/>
  <c r="AC535" i="1"/>
  <c r="AC544" i="1"/>
  <c r="AC575" i="1"/>
  <c r="AC586" i="1"/>
  <c r="AC592" i="1"/>
  <c r="AC600" i="1"/>
  <c r="S449" i="1"/>
  <c r="U449" i="1"/>
  <c r="X449" i="1"/>
  <c r="AD449" i="1" s="1"/>
  <c r="Y449" i="1"/>
  <c r="Z449" i="1"/>
  <c r="AC449" i="1"/>
  <c r="S442" i="1"/>
  <c r="U442" i="1"/>
  <c r="X442" i="1"/>
  <c r="AD442" i="1" s="1"/>
  <c r="Y442" i="1"/>
  <c r="Z442" i="1"/>
  <c r="AC442" i="1"/>
  <c r="S421" i="1"/>
  <c r="U421" i="1"/>
  <c r="X421" i="1"/>
  <c r="AD421" i="1" s="1"/>
  <c r="Y421" i="1"/>
  <c r="Z421" i="1"/>
  <c r="AC421" i="1"/>
  <c r="S420" i="1"/>
  <c r="U420" i="1"/>
  <c r="X420" i="1"/>
  <c r="AD420" i="1" s="1"/>
  <c r="Y420" i="1"/>
  <c r="Z420" i="1"/>
  <c r="AC420" i="1"/>
  <c r="S587" i="1"/>
  <c r="U587" i="1"/>
  <c r="X587" i="1"/>
  <c r="AD587" i="1" s="1"/>
  <c r="Y587" i="1"/>
  <c r="Z587" i="1"/>
  <c r="AC587" i="1"/>
  <c r="S585" i="1"/>
  <c r="T585" i="1" s="1"/>
  <c r="U585" i="1"/>
  <c r="X585" i="1"/>
  <c r="AD585" i="1" s="1"/>
  <c r="Y585" i="1"/>
  <c r="Z585" i="1"/>
  <c r="AC585" i="1"/>
  <c r="S567" i="1"/>
  <c r="T567" i="1" s="1"/>
  <c r="U567" i="1"/>
  <c r="X567" i="1"/>
  <c r="AD567" i="1" s="1"/>
  <c r="Y567" i="1"/>
  <c r="Z567" i="1"/>
  <c r="AC567" i="1"/>
  <c r="S551" i="1"/>
  <c r="T551" i="1" s="1"/>
  <c r="U551" i="1"/>
  <c r="X551" i="1"/>
  <c r="AD551" i="1" s="1"/>
  <c r="Y551" i="1"/>
  <c r="Z551" i="1"/>
  <c r="AC551" i="1"/>
  <c r="S539" i="1"/>
  <c r="U539" i="1"/>
  <c r="X539" i="1"/>
  <c r="AD539" i="1" s="1"/>
  <c r="Y539" i="1"/>
  <c r="Z539" i="1"/>
  <c r="AC539" i="1"/>
  <c r="S529" i="1"/>
  <c r="T529" i="1" s="1"/>
  <c r="U529" i="1"/>
  <c r="X529" i="1"/>
  <c r="AD529" i="1" s="1"/>
  <c r="Y529" i="1"/>
  <c r="Z529" i="1"/>
  <c r="AC529" i="1"/>
  <c r="S509" i="1"/>
  <c r="U509" i="1"/>
  <c r="X509" i="1"/>
  <c r="AD509" i="1" s="1"/>
  <c r="Y509" i="1"/>
  <c r="Z509" i="1"/>
  <c r="AC509" i="1"/>
  <c r="S453" i="1"/>
  <c r="U453" i="1"/>
  <c r="X453" i="1"/>
  <c r="AD453" i="1" s="1"/>
  <c r="Y453" i="1"/>
  <c r="Z453" i="1"/>
  <c r="AC453" i="1"/>
  <c r="S485" i="1"/>
  <c r="S484" i="1"/>
  <c r="S487" i="1"/>
  <c r="S486" i="1"/>
  <c r="S530" i="1"/>
  <c r="S566" i="1"/>
  <c r="S579" i="1"/>
  <c r="U485" i="1"/>
  <c r="U484" i="1"/>
  <c r="U487" i="1"/>
  <c r="U486" i="1"/>
  <c r="U530" i="1"/>
  <c r="U566" i="1"/>
  <c r="U579" i="1"/>
  <c r="X485" i="1"/>
  <c r="AD485" i="1" s="1"/>
  <c r="X484" i="1"/>
  <c r="AD484" i="1" s="1"/>
  <c r="X487" i="1"/>
  <c r="AD487" i="1" s="1"/>
  <c r="X486" i="1"/>
  <c r="AD486" i="1" s="1"/>
  <c r="X530" i="1"/>
  <c r="AD530" i="1" s="1"/>
  <c r="X566" i="1"/>
  <c r="AD566" i="1" s="1"/>
  <c r="X579" i="1"/>
  <c r="AD579" i="1" s="1"/>
  <c r="Y485" i="1"/>
  <c r="Y484" i="1"/>
  <c r="Y487" i="1"/>
  <c r="Y486" i="1"/>
  <c r="Y530" i="1"/>
  <c r="Y566" i="1"/>
  <c r="Y579" i="1"/>
  <c r="Z485" i="1"/>
  <c r="Z484" i="1"/>
  <c r="Z487" i="1"/>
  <c r="Z486" i="1"/>
  <c r="Z530" i="1"/>
  <c r="Z566" i="1"/>
  <c r="Z579" i="1"/>
  <c r="AC485" i="1"/>
  <c r="AC484" i="1"/>
  <c r="AC487" i="1"/>
  <c r="AC486" i="1"/>
  <c r="AC530" i="1"/>
  <c r="AC566" i="1"/>
  <c r="AC579" i="1"/>
  <c r="S488" i="1"/>
  <c r="U488" i="1"/>
  <c r="X488" i="1"/>
  <c r="AD488" i="1" s="1"/>
  <c r="Y488" i="1"/>
  <c r="Z488" i="1"/>
  <c r="AC488" i="1"/>
  <c r="S451" i="1"/>
  <c r="U451" i="1"/>
  <c r="X451" i="1"/>
  <c r="AD451" i="1" s="1"/>
  <c r="Y451" i="1"/>
  <c r="Z451" i="1"/>
  <c r="AC451" i="1"/>
  <c r="S439" i="1"/>
  <c r="U439" i="1"/>
  <c r="X439" i="1"/>
  <c r="AD439" i="1" s="1"/>
  <c r="Y439" i="1"/>
  <c r="Z439" i="1"/>
  <c r="AC439" i="1"/>
  <c r="S596" i="1"/>
  <c r="U596" i="1"/>
  <c r="X596" i="1"/>
  <c r="AD596" i="1" s="1"/>
  <c r="Y596" i="1"/>
  <c r="Z596" i="1"/>
  <c r="AC596" i="1"/>
  <c r="S595" i="1"/>
  <c r="U595" i="1"/>
  <c r="X595" i="1"/>
  <c r="AD595" i="1" s="1"/>
  <c r="Y595" i="1"/>
  <c r="Z595" i="1"/>
  <c r="AC595" i="1"/>
  <c r="S589" i="1"/>
  <c r="U589" i="1"/>
  <c r="X589" i="1"/>
  <c r="AD589" i="1" s="1"/>
  <c r="Y589" i="1"/>
  <c r="Z589" i="1"/>
  <c r="AC589" i="1"/>
  <c r="S581" i="1"/>
  <c r="U581" i="1"/>
  <c r="X581" i="1"/>
  <c r="AD581" i="1" s="1"/>
  <c r="Y581" i="1"/>
  <c r="Z581" i="1"/>
  <c r="AC581" i="1"/>
  <c r="S563" i="1"/>
  <c r="U563" i="1"/>
  <c r="X563" i="1"/>
  <c r="AD563" i="1" s="1"/>
  <c r="Y563" i="1"/>
  <c r="Z563" i="1"/>
  <c r="AC563" i="1"/>
  <c r="S549" i="1"/>
  <c r="U549" i="1"/>
  <c r="X549" i="1"/>
  <c r="AD549" i="1" s="1"/>
  <c r="Y549" i="1"/>
  <c r="Z549" i="1"/>
  <c r="AC549" i="1"/>
  <c r="S540" i="1"/>
  <c r="U540" i="1"/>
  <c r="X540" i="1"/>
  <c r="AD540" i="1" s="1"/>
  <c r="Y540" i="1"/>
  <c r="Z540" i="1"/>
  <c r="AC540" i="1"/>
  <c r="S528" i="1"/>
  <c r="U528" i="1"/>
  <c r="X528" i="1"/>
  <c r="AD528" i="1" s="1"/>
  <c r="Y528" i="1"/>
  <c r="Z528" i="1"/>
  <c r="AC528" i="1"/>
  <c r="S481" i="1"/>
  <c r="U481" i="1"/>
  <c r="X481" i="1"/>
  <c r="AD481" i="1" s="1"/>
  <c r="Y481" i="1"/>
  <c r="Z481" i="1"/>
  <c r="AC481" i="1"/>
  <c r="S454" i="1"/>
  <c r="U454" i="1"/>
  <c r="X454" i="1"/>
  <c r="AD454" i="1" s="1"/>
  <c r="Y454" i="1"/>
  <c r="Z454" i="1"/>
  <c r="AC454" i="1"/>
  <c r="S441" i="1"/>
  <c r="U441" i="1"/>
  <c r="X441" i="1"/>
  <c r="AD441" i="1" s="1"/>
  <c r="Y441" i="1"/>
  <c r="Z441" i="1"/>
  <c r="AC441" i="1"/>
  <c r="S440" i="1"/>
  <c r="U440" i="1"/>
  <c r="X440" i="1"/>
  <c r="AD440" i="1" s="1"/>
  <c r="Y440" i="1"/>
  <c r="Z440" i="1"/>
  <c r="AC440" i="1"/>
  <c r="S427" i="1"/>
  <c r="U427" i="1"/>
  <c r="X427" i="1"/>
  <c r="AD427" i="1" s="1"/>
  <c r="Y427" i="1"/>
  <c r="Z427" i="1"/>
  <c r="AC427" i="1"/>
  <c r="S428" i="1"/>
  <c r="U428" i="1"/>
  <c r="X428" i="1"/>
  <c r="AD428" i="1" s="1"/>
  <c r="Y428" i="1"/>
  <c r="Z428" i="1"/>
  <c r="AC428" i="1"/>
  <c r="S423" i="1"/>
  <c r="S422" i="1"/>
  <c r="S424" i="1"/>
  <c r="U423" i="1"/>
  <c r="U422" i="1"/>
  <c r="U424" i="1"/>
  <c r="X423" i="1"/>
  <c r="AD423" i="1" s="1"/>
  <c r="X422" i="1"/>
  <c r="AD422" i="1" s="1"/>
  <c r="X424" i="1"/>
  <c r="AD424" i="1" s="1"/>
  <c r="Y423" i="1"/>
  <c r="Y422" i="1"/>
  <c r="Y424" i="1"/>
  <c r="Z423" i="1"/>
  <c r="Z422" i="1"/>
  <c r="Z424" i="1"/>
  <c r="AC423" i="1"/>
  <c r="AC422" i="1"/>
  <c r="AC424" i="1"/>
  <c r="S425" i="1"/>
  <c r="U425" i="1"/>
  <c r="X425" i="1"/>
  <c r="AD425" i="1" s="1"/>
  <c r="Y425" i="1"/>
  <c r="Z425" i="1"/>
  <c r="AC425" i="1"/>
  <c r="X2" i="1"/>
  <c r="AD2" i="1" s="1"/>
  <c r="X398" i="1"/>
  <c r="AD398" i="1" s="1"/>
  <c r="X399" i="1"/>
  <c r="AD399" i="1" s="1"/>
  <c r="X401" i="1"/>
  <c r="AD401" i="1" s="1"/>
  <c r="X400" i="1"/>
  <c r="AD400" i="1" s="1"/>
  <c r="X402" i="1"/>
  <c r="AD402" i="1" s="1"/>
  <c r="X403" i="1"/>
  <c r="AD403" i="1" s="1"/>
  <c r="X404" i="1"/>
  <c r="AD404" i="1" s="1"/>
  <c r="X405" i="1"/>
  <c r="AD405" i="1" s="1"/>
  <c r="X406" i="1"/>
  <c r="AD406" i="1" s="1"/>
  <c r="X407" i="1"/>
  <c r="AD407" i="1" s="1"/>
  <c r="X408" i="1"/>
  <c r="AD408" i="1" s="1"/>
  <c r="X409" i="1"/>
  <c r="AD409" i="1" s="1"/>
  <c r="X413" i="1"/>
  <c r="AD413" i="1" s="1"/>
  <c r="X417" i="1"/>
  <c r="AD417" i="1" s="1"/>
  <c r="X415" i="1"/>
  <c r="AD415" i="1" s="1"/>
  <c r="X416" i="1"/>
  <c r="AD416" i="1" s="1"/>
  <c r="X414" i="1"/>
  <c r="AD414" i="1" s="1"/>
  <c r="X412" i="1"/>
  <c r="AD412" i="1" s="1"/>
  <c r="X410" i="1"/>
  <c r="AD410" i="1" s="1"/>
  <c r="X411" i="1"/>
  <c r="AD411" i="1" s="1"/>
  <c r="X418" i="1"/>
  <c r="AD418" i="1" s="1"/>
  <c r="X419" i="1"/>
  <c r="AD419" i="1" s="1"/>
  <c r="X426" i="1"/>
  <c r="AD426" i="1" s="1"/>
  <c r="X429" i="1"/>
  <c r="AD429" i="1" s="1"/>
  <c r="X433" i="1"/>
  <c r="AD433" i="1" s="1"/>
  <c r="X436" i="1"/>
  <c r="AD436" i="1" s="1"/>
  <c r="X438" i="1"/>
  <c r="AD438" i="1" s="1"/>
  <c r="X437" i="1"/>
  <c r="AD437" i="1" s="1"/>
  <c r="X434" i="1"/>
  <c r="AD434" i="1" s="1"/>
  <c r="X430" i="1"/>
  <c r="AD430" i="1" s="1"/>
  <c r="X431" i="1"/>
  <c r="AD431" i="1" s="1"/>
  <c r="X432" i="1"/>
  <c r="AD432" i="1" s="1"/>
  <c r="X435" i="1"/>
  <c r="AD435" i="1" s="1"/>
  <c r="X443" i="1"/>
  <c r="AD443" i="1" s="1"/>
  <c r="X452" i="1"/>
  <c r="AD452" i="1" s="1"/>
  <c r="X455" i="1"/>
  <c r="AD455" i="1" s="1"/>
  <c r="X467" i="1"/>
  <c r="AD467" i="1" s="1"/>
  <c r="X466" i="1"/>
  <c r="AD466" i="1" s="1"/>
  <c r="X478" i="1"/>
  <c r="AD478" i="1" s="1"/>
  <c r="X480" i="1"/>
  <c r="AD480" i="1" s="1"/>
  <c r="X473" i="1"/>
  <c r="AD473" i="1" s="1"/>
  <c r="X477" i="1"/>
  <c r="AD477" i="1" s="1"/>
  <c r="X471" i="1"/>
  <c r="AD471" i="1" s="1"/>
  <c r="X468" i="1"/>
  <c r="AD468" i="1" s="1"/>
  <c r="X482" i="1"/>
  <c r="AD482" i="1" s="1"/>
  <c r="X495" i="1"/>
  <c r="AD495" i="1" s="1"/>
  <c r="X512" i="1"/>
  <c r="AD512" i="1" s="1"/>
  <c r="X508" i="1"/>
  <c r="AD508" i="1" s="1"/>
  <c r="X497" i="1"/>
  <c r="AD497" i="1" s="1"/>
  <c r="X519" i="1"/>
  <c r="AD519" i="1" s="1"/>
  <c r="X511" i="1"/>
  <c r="AD511" i="1" s="1"/>
  <c r="X502" i="1"/>
  <c r="AD502" i="1" s="1"/>
  <c r="X514" i="1"/>
  <c r="AD514" i="1" s="1"/>
  <c r="X504" i="1"/>
  <c r="AD504" i="1" s="1"/>
  <c r="X505" i="1"/>
  <c r="AD505" i="1" s="1"/>
  <c r="X518" i="1"/>
  <c r="AD518" i="1" s="1"/>
  <c r="X506" i="1"/>
  <c r="AD506" i="1" s="1"/>
  <c r="X496" i="1"/>
  <c r="AD496" i="1" s="1"/>
  <c r="X517" i="1"/>
  <c r="AD517" i="1" s="1"/>
  <c r="X492" i="1"/>
  <c r="AD492" i="1" s="1"/>
  <c r="X501" i="1"/>
  <c r="AD501" i="1" s="1"/>
  <c r="X516" i="1"/>
  <c r="AD516" i="1" s="1"/>
  <c r="X494" i="1"/>
  <c r="AD494" i="1" s="1"/>
  <c r="X515" i="1"/>
  <c r="AD515" i="1" s="1"/>
  <c r="X507" i="1"/>
  <c r="AD507" i="1" s="1"/>
  <c r="X491" i="1"/>
  <c r="AD491" i="1" s="1"/>
  <c r="X489" i="1"/>
  <c r="AD489" i="1" s="1"/>
  <c r="X498" i="1"/>
  <c r="AD498" i="1" s="1"/>
  <c r="X513" i="1"/>
  <c r="AD513" i="1" s="1"/>
  <c r="X500" i="1"/>
  <c r="AD500" i="1" s="1"/>
  <c r="X490" i="1"/>
  <c r="AD490" i="1" s="1"/>
  <c r="X493" i="1"/>
  <c r="AD493" i="1" s="1"/>
  <c r="X521" i="1"/>
  <c r="AD521" i="1" s="1"/>
  <c r="X527" i="1"/>
  <c r="AD527" i="1" s="1"/>
  <c r="X537" i="1"/>
  <c r="AD537" i="1" s="1"/>
  <c r="X560" i="1"/>
  <c r="AD560" i="1" s="1"/>
  <c r="X572" i="1"/>
  <c r="AD572" i="1" s="1"/>
  <c r="X571" i="1"/>
  <c r="AD571" i="1" s="1"/>
  <c r="X569" i="1"/>
  <c r="AD569" i="1" s="1"/>
  <c r="X580" i="1"/>
  <c r="AD580" i="1" s="1"/>
  <c r="X445" i="1"/>
  <c r="AD445" i="1" s="1"/>
  <c r="X447" i="1"/>
  <c r="AD447" i="1" s="1"/>
  <c r="X464" i="1"/>
  <c r="AD464" i="1" s="1"/>
  <c r="X463" i="1"/>
  <c r="AD463" i="1" s="1"/>
  <c r="X462" i="1"/>
  <c r="AD462" i="1" s="1"/>
  <c r="X538" i="1"/>
  <c r="AD538" i="1" s="1"/>
  <c r="X553" i="1"/>
  <c r="AD553" i="1" s="1"/>
  <c r="X552" i="1"/>
  <c r="AD552" i="1" s="1"/>
  <c r="X550" i="1"/>
  <c r="AD550" i="1" s="1"/>
  <c r="U464" i="1"/>
  <c r="U463" i="1"/>
  <c r="U462" i="1"/>
  <c r="U538" i="1"/>
  <c r="U553" i="1"/>
  <c r="U552" i="1"/>
  <c r="U550" i="1"/>
  <c r="U445" i="1"/>
  <c r="U447" i="1"/>
  <c r="S550" i="1"/>
  <c r="T550" i="1" s="1"/>
  <c r="Y550" i="1"/>
  <c r="Z550" i="1"/>
  <c r="AC550" i="1"/>
  <c r="S552" i="1"/>
  <c r="Y552" i="1"/>
  <c r="Z552" i="1"/>
  <c r="AC552" i="1"/>
  <c r="S553" i="1"/>
  <c r="Y553" i="1"/>
  <c r="Z553" i="1"/>
  <c r="AC553" i="1"/>
  <c r="S538" i="1"/>
  <c r="Y538" i="1"/>
  <c r="Z538" i="1"/>
  <c r="AC538" i="1"/>
  <c r="S462" i="1"/>
  <c r="Y462" i="1"/>
  <c r="Z462" i="1"/>
  <c r="AC462" i="1"/>
  <c r="S463" i="1"/>
  <c r="Y463" i="1"/>
  <c r="Z463" i="1"/>
  <c r="AC463" i="1"/>
  <c r="S464" i="1"/>
  <c r="Y464" i="1"/>
  <c r="Z464" i="1"/>
  <c r="AC464" i="1"/>
  <c r="S447" i="1"/>
  <c r="Y447" i="1"/>
  <c r="Z447" i="1"/>
  <c r="AC447" i="1"/>
  <c r="S445" i="1"/>
  <c r="Y445" i="1"/>
  <c r="Z445" i="1"/>
  <c r="AC445" i="1"/>
  <c r="U408" i="1"/>
  <c r="U418" i="1"/>
  <c r="U400" i="1"/>
  <c r="U402" i="1"/>
  <c r="U403" i="1"/>
  <c r="U404" i="1"/>
  <c r="U405" i="1"/>
  <c r="U406" i="1"/>
  <c r="U407" i="1"/>
  <c r="U455" i="1"/>
  <c r="U467" i="1"/>
  <c r="U466" i="1"/>
  <c r="U508" i="1"/>
  <c r="U497" i="1"/>
  <c r="U519" i="1"/>
  <c r="U506" i="1"/>
  <c r="U517" i="1"/>
  <c r="U491" i="1"/>
  <c r="U513" i="1"/>
  <c r="U500" i="1"/>
  <c r="U493" i="1"/>
  <c r="U399" i="1"/>
  <c r="U401" i="1"/>
  <c r="U398" i="1"/>
  <c r="U412" i="1"/>
  <c r="U411" i="1"/>
  <c r="U416" i="1"/>
  <c r="U417" i="1"/>
  <c r="U410" i="1"/>
  <c r="U409" i="1"/>
  <c r="U414" i="1"/>
  <c r="U419" i="1"/>
  <c r="U415" i="1"/>
  <c r="U413" i="1"/>
  <c r="S415" i="1"/>
  <c r="S412" i="1"/>
  <c r="S411" i="1"/>
  <c r="S416" i="1"/>
  <c r="S417" i="1"/>
  <c r="S410" i="1"/>
  <c r="S409" i="1"/>
  <c r="S414" i="1"/>
  <c r="S419" i="1"/>
  <c r="Y415" i="1"/>
  <c r="Y412" i="1"/>
  <c r="Y411" i="1"/>
  <c r="Y416" i="1"/>
  <c r="Y417" i="1"/>
  <c r="Y410" i="1"/>
  <c r="Y409" i="1"/>
  <c r="Y414" i="1"/>
  <c r="Y419" i="1"/>
  <c r="Z415" i="1"/>
  <c r="Z412" i="1"/>
  <c r="Z411" i="1"/>
  <c r="Z416" i="1"/>
  <c r="Z417" i="1"/>
  <c r="Z410" i="1"/>
  <c r="Z409" i="1"/>
  <c r="Z414" i="1"/>
  <c r="Z419" i="1"/>
  <c r="AC415" i="1"/>
  <c r="AC412" i="1"/>
  <c r="AC411" i="1"/>
  <c r="AC416" i="1"/>
  <c r="AC417" i="1"/>
  <c r="AC410" i="1"/>
  <c r="AC409" i="1"/>
  <c r="AC414" i="1"/>
  <c r="AC419" i="1"/>
  <c r="S413" i="1"/>
  <c r="Y413" i="1"/>
  <c r="Z413" i="1"/>
  <c r="AC413" i="1"/>
  <c r="AB545" i="1" l="1"/>
  <c r="AE545" i="1"/>
  <c r="AB543" i="1"/>
  <c r="AE543" i="1"/>
  <c r="AB594" i="1"/>
  <c r="AE594" i="1"/>
  <c r="AB562" i="1"/>
  <c r="AE562" i="1"/>
  <c r="AB583" i="1"/>
  <c r="AE583" i="1"/>
  <c r="AB448" i="1"/>
  <c r="AE448" i="1"/>
  <c r="AB465" i="1"/>
  <c r="AE465" i="1"/>
  <c r="AB520" i="1"/>
  <c r="AE520" i="1"/>
  <c r="AB558" i="1"/>
  <c r="AE558" i="1"/>
  <c r="AB499" i="1"/>
  <c r="AE499" i="1"/>
  <c r="AB459" i="1"/>
  <c r="AE459" i="1"/>
  <c r="AB469" i="1"/>
  <c r="AE469" i="1"/>
  <c r="AB510" i="1"/>
  <c r="AE510" i="1"/>
  <c r="AB456" i="1"/>
  <c r="AE456" i="1"/>
  <c r="AB546" i="1"/>
  <c r="AE546" i="1"/>
  <c r="AB588" i="1"/>
  <c r="AE588" i="1"/>
  <c r="AB555" i="1"/>
  <c r="AE555" i="1"/>
  <c r="AB570" i="1"/>
  <c r="AE570" i="1"/>
  <c r="AB475" i="1"/>
  <c r="AE475" i="1"/>
  <c r="AB554" i="1"/>
  <c r="AE554" i="1"/>
  <c r="AB565" i="1"/>
  <c r="AE565" i="1"/>
  <c r="AB522" i="1"/>
  <c r="AE522" i="1"/>
  <c r="AB532" i="1"/>
  <c r="AE532" i="1"/>
  <c r="AB577" i="1"/>
  <c r="AE577" i="1"/>
  <c r="AB564" i="1"/>
  <c r="AE564" i="1"/>
  <c r="AB593" i="1"/>
  <c r="AE593" i="1"/>
  <c r="AB557" i="1"/>
  <c r="AE557" i="1"/>
  <c r="AB598" i="1"/>
  <c r="AE598" i="1"/>
  <c r="AB470" i="1"/>
  <c r="AE470" i="1"/>
  <c r="AB584" i="1"/>
  <c r="AE584" i="1"/>
  <c r="AB479" i="1"/>
  <c r="AE479" i="1"/>
  <c r="AB578" i="1"/>
  <c r="AE578" i="1"/>
  <c r="AB472" i="1"/>
  <c r="AE472" i="1"/>
  <c r="AB590" i="1"/>
  <c r="AE590" i="1"/>
  <c r="AB444" i="1"/>
  <c r="AE444" i="1"/>
  <c r="AB446" i="1"/>
  <c r="AE446" i="1"/>
  <c r="AB526" i="1"/>
  <c r="AE526" i="1"/>
  <c r="AB476" i="1"/>
  <c r="AE476" i="1"/>
  <c r="AB574" i="1"/>
  <c r="AE574" i="1"/>
  <c r="AB503" i="1"/>
  <c r="AE503" i="1"/>
  <c r="AA587" i="1"/>
  <c r="AA529" i="1"/>
  <c r="AA530" i="1"/>
  <c r="T463" i="1"/>
  <c r="AA523" i="1"/>
  <c r="AA474" i="1"/>
  <c r="T539" i="1"/>
  <c r="AA457" i="1"/>
  <c r="AA597" i="1"/>
  <c r="AA591" i="1"/>
  <c r="AA582" i="1"/>
  <c r="AA568" i="1"/>
  <c r="AA556" i="1"/>
  <c r="AA541" i="1"/>
  <c r="AA531" i="1"/>
  <c r="T483" i="1"/>
  <c r="T460" i="1"/>
  <c r="T563" i="1"/>
  <c r="T454" i="1"/>
  <c r="T561" i="1"/>
  <c r="T481" i="1"/>
  <c r="T440" i="1"/>
  <c r="T464" i="1"/>
  <c r="T461" i="1"/>
  <c r="AA524" i="1"/>
  <c r="T581" i="1"/>
  <c r="T447" i="1"/>
  <c r="T540" i="1"/>
  <c r="AA535" i="1"/>
  <c r="T549" i="1"/>
  <c r="T453" i="1"/>
  <c r="AA573" i="1"/>
  <c r="T573" i="1"/>
  <c r="AA561" i="1"/>
  <c r="AA547" i="1"/>
  <c r="T547" i="1"/>
  <c r="AA534" i="1"/>
  <c r="T534" i="1"/>
  <c r="AA525" i="1"/>
  <c r="T525" i="1"/>
  <c r="AA483" i="1"/>
  <c r="AA460" i="1"/>
  <c r="AA461" i="1"/>
  <c r="T458" i="1"/>
  <c r="AA458" i="1"/>
  <c r="T600" i="1"/>
  <c r="AA600" i="1"/>
  <c r="T592" i="1"/>
  <c r="AA592" i="1"/>
  <c r="AA586" i="1"/>
  <c r="T586" i="1"/>
  <c r="T575" i="1"/>
  <c r="AA575" i="1"/>
  <c r="AA544" i="1"/>
  <c r="T544" i="1"/>
  <c r="T524" i="1"/>
  <c r="AA449" i="1"/>
  <c r="T449" i="1"/>
  <c r="AA442" i="1"/>
  <c r="T442" i="1"/>
  <c r="AA486" i="1"/>
  <c r="T484" i="1"/>
  <c r="T423" i="1"/>
  <c r="T595" i="1"/>
  <c r="T485" i="1"/>
  <c r="AA421" i="1"/>
  <c r="T421" i="1"/>
  <c r="AA420" i="1"/>
  <c r="T420" i="1"/>
  <c r="AA485" i="1"/>
  <c r="T579" i="1"/>
  <c r="AA484" i="1"/>
  <c r="T587" i="1"/>
  <c r="AA585" i="1"/>
  <c r="AA567" i="1"/>
  <c r="AA551" i="1"/>
  <c r="AA539" i="1"/>
  <c r="AA509" i="1"/>
  <c r="T509" i="1"/>
  <c r="AA453" i="1"/>
  <c r="AA538" i="1"/>
  <c r="T528" i="1"/>
  <c r="AA579" i="1"/>
  <c r="T566" i="1"/>
  <c r="AA566" i="1"/>
  <c r="T530" i="1"/>
  <c r="T486" i="1"/>
  <c r="T487" i="1"/>
  <c r="AA487" i="1"/>
  <c r="AA488" i="1"/>
  <c r="T488" i="1"/>
  <c r="T451" i="1"/>
  <c r="AA451" i="1"/>
  <c r="T439" i="1"/>
  <c r="AA439" i="1"/>
  <c r="AA423" i="1"/>
  <c r="AA596" i="1"/>
  <c r="T596" i="1"/>
  <c r="AA595" i="1"/>
  <c r="AA589" i="1"/>
  <c r="T589" i="1"/>
  <c r="AA581" i="1"/>
  <c r="AA563" i="1"/>
  <c r="AA549" i="1"/>
  <c r="AA540" i="1"/>
  <c r="AA528" i="1"/>
  <c r="AA481" i="1"/>
  <c r="AA454" i="1"/>
  <c r="AA441" i="1"/>
  <c r="T441" i="1"/>
  <c r="AA440" i="1"/>
  <c r="AA427" i="1"/>
  <c r="T427" i="1"/>
  <c r="T428" i="1"/>
  <c r="AA428" i="1"/>
  <c r="T424" i="1"/>
  <c r="AA424" i="1"/>
  <c r="AA422" i="1"/>
  <c r="T422" i="1"/>
  <c r="AA425" i="1"/>
  <c r="T425" i="1"/>
  <c r="AA550" i="1"/>
  <c r="AA552" i="1"/>
  <c r="T552" i="1"/>
  <c r="AA553" i="1"/>
  <c r="T553" i="1"/>
  <c r="T538" i="1"/>
  <c r="AA462" i="1"/>
  <c r="T462" i="1"/>
  <c r="AA463" i="1"/>
  <c r="AA464" i="1"/>
  <c r="AA447" i="1"/>
  <c r="AA445" i="1"/>
  <c r="T445" i="1"/>
  <c r="T416" i="1"/>
  <c r="T415" i="1"/>
  <c r="T410" i="1"/>
  <c r="T411" i="1"/>
  <c r="AA414" i="1"/>
  <c r="AA410" i="1"/>
  <c r="AA416" i="1"/>
  <c r="T414" i="1"/>
  <c r="AA419" i="1"/>
  <c r="T419" i="1"/>
  <c r="AA409" i="1"/>
  <c r="T409" i="1"/>
  <c r="T417" i="1"/>
  <c r="AA417" i="1"/>
  <c r="AA411" i="1"/>
  <c r="T412" i="1"/>
  <c r="AA412" i="1"/>
  <c r="AA415" i="1"/>
  <c r="AA413" i="1"/>
  <c r="T413" i="1"/>
  <c r="U2" i="1"/>
  <c r="U3" i="1"/>
  <c r="U4" i="1"/>
  <c r="U5" i="1"/>
  <c r="U6" i="1"/>
  <c r="U7" i="1"/>
  <c r="U9" i="1"/>
  <c r="U8" i="1"/>
  <c r="U10" i="1"/>
  <c r="U11" i="1"/>
  <c r="U12" i="1"/>
  <c r="U13" i="1"/>
  <c r="U14" i="1"/>
  <c r="U15" i="1"/>
  <c r="U16" i="1"/>
  <c r="U17" i="1"/>
  <c r="U18" i="1"/>
  <c r="U20" i="1"/>
  <c r="U19" i="1"/>
  <c r="U21" i="1"/>
  <c r="U23" i="1"/>
  <c r="U22" i="1"/>
  <c r="U24" i="1"/>
  <c r="U25" i="1"/>
  <c r="U26" i="1"/>
  <c r="U27" i="1"/>
  <c r="U28" i="1"/>
  <c r="U29" i="1"/>
  <c r="U30" i="1"/>
  <c r="U31" i="1"/>
  <c r="U32" i="1"/>
  <c r="U34" i="1"/>
  <c r="U33" i="1"/>
  <c r="U35" i="1"/>
  <c r="U37" i="1"/>
  <c r="U36" i="1"/>
  <c r="U38" i="1"/>
  <c r="U41" i="1"/>
  <c r="U39" i="1"/>
  <c r="U40" i="1"/>
  <c r="U42" i="1"/>
  <c r="U46" i="1"/>
  <c r="U47" i="1"/>
  <c r="U48" i="1"/>
  <c r="U44" i="1"/>
  <c r="U43" i="1"/>
  <c r="U45" i="1"/>
  <c r="U49" i="1"/>
  <c r="U52" i="1"/>
  <c r="U51" i="1"/>
  <c r="U50" i="1"/>
  <c r="U53" i="1"/>
  <c r="U59" i="1"/>
  <c r="U56" i="1"/>
  <c r="U62" i="1"/>
  <c r="U61" i="1"/>
  <c r="U57" i="1"/>
  <c r="U55" i="1"/>
  <c r="U58" i="1"/>
  <c r="U60" i="1"/>
  <c r="U54" i="1"/>
  <c r="U64" i="1"/>
  <c r="U63" i="1"/>
  <c r="U69" i="1"/>
  <c r="U68" i="1"/>
  <c r="U66" i="1"/>
  <c r="U67" i="1"/>
  <c r="U65" i="1"/>
  <c r="U80" i="1"/>
  <c r="U79" i="1"/>
  <c r="U77" i="1"/>
  <c r="U75" i="1"/>
  <c r="U84" i="1"/>
  <c r="U82" i="1"/>
  <c r="U83" i="1"/>
  <c r="U81" i="1"/>
  <c r="U85" i="1"/>
  <c r="U73" i="1"/>
  <c r="U71" i="1"/>
  <c r="U78" i="1"/>
  <c r="U72" i="1"/>
  <c r="U76" i="1"/>
  <c r="U70" i="1"/>
  <c r="U74" i="1"/>
  <c r="U86" i="1"/>
  <c r="U87" i="1"/>
  <c r="U89" i="1"/>
  <c r="U88" i="1"/>
  <c r="U91" i="1"/>
  <c r="U90" i="1"/>
  <c r="U92" i="1"/>
  <c r="U93" i="1"/>
  <c r="U95" i="1"/>
  <c r="U97" i="1"/>
  <c r="U96" i="1"/>
  <c r="U94" i="1"/>
  <c r="U99" i="1"/>
  <c r="U98" i="1"/>
  <c r="U102" i="1"/>
  <c r="U105" i="1"/>
  <c r="U103" i="1"/>
  <c r="U104" i="1"/>
  <c r="U100" i="1"/>
  <c r="U107" i="1"/>
  <c r="U106" i="1"/>
  <c r="U101" i="1"/>
  <c r="U108" i="1"/>
  <c r="U109" i="1"/>
  <c r="U110" i="1"/>
  <c r="U111" i="1"/>
  <c r="U115" i="1"/>
  <c r="U113" i="1"/>
  <c r="U112" i="1"/>
  <c r="U114" i="1"/>
  <c r="U116" i="1"/>
  <c r="U117" i="1"/>
  <c r="U118" i="1"/>
  <c r="U119" i="1"/>
  <c r="U120" i="1"/>
  <c r="U123" i="1"/>
  <c r="U122" i="1"/>
  <c r="U121" i="1"/>
  <c r="U127" i="1"/>
  <c r="U125" i="1"/>
  <c r="U124" i="1"/>
  <c r="U126" i="1"/>
  <c r="U129" i="1"/>
  <c r="U128" i="1"/>
  <c r="U134" i="1"/>
  <c r="U136" i="1"/>
  <c r="U133" i="1"/>
  <c r="U132" i="1"/>
  <c r="U131" i="1"/>
  <c r="U130" i="1"/>
  <c r="U135" i="1"/>
  <c r="U137" i="1"/>
  <c r="U138" i="1"/>
  <c r="U140" i="1"/>
  <c r="U139" i="1"/>
  <c r="U142" i="1"/>
  <c r="U143" i="1"/>
  <c r="U141" i="1"/>
  <c r="U144" i="1"/>
  <c r="U146" i="1"/>
  <c r="U148" i="1"/>
  <c r="U151" i="1"/>
  <c r="U153" i="1"/>
  <c r="U152" i="1"/>
  <c r="U149" i="1"/>
  <c r="U145" i="1"/>
  <c r="U150" i="1"/>
  <c r="U147" i="1"/>
  <c r="U154" i="1"/>
  <c r="U155" i="1"/>
  <c r="U156" i="1"/>
  <c r="U158" i="1"/>
  <c r="U157" i="1"/>
  <c r="U161" i="1"/>
  <c r="U160" i="1"/>
  <c r="U159" i="1"/>
  <c r="U162" i="1"/>
  <c r="U164" i="1"/>
  <c r="U163" i="1"/>
  <c r="U165" i="1"/>
  <c r="U167" i="1"/>
  <c r="U166" i="1"/>
  <c r="U168" i="1"/>
  <c r="U169" i="1"/>
  <c r="U170" i="1"/>
  <c r="U171" i="1"/>
  <c r="U173" i="1"/>
  <c r="U172" i="1"/>
  <c r="U174" i="1"/>
  <c r="U175" i="1"/>
  <c r="U176" i="1"/>
  <c r="U180" i="1"/>
  <c r="U196" i="1"/>
  <c r="U188" i="1"/>
  <c r="U197" i="1"/>
  <c r="U199" i="1"/>
  <c r="U189" i="1"/>
  <c r="U200" i="1"/>
  <c r="U198" i="1"/>
  <c r="U185" i="1"/>
  <c r="U201" i="1"/>
  <c r="U193" i="1"/>
  <c r="U204" i="1"/>
  <c r="U205" i="1"/>
  <c r="U195" i="1"/>
  <c r="U186" i="1"/>
  <c r="U203" i="1"/>
  <c r="U202" i="1"/>
  <c r="U194" i="1"/>
  <c r="U190" i="1"/>
  <c r="U182" i="1"/>
  <c r="U184" i="1"/>
  <c r="U191" i="1"/>
  <c r="U192" i="1"/>
  <c r="U181" i="1"/>
  <c r="U179" i="1"/>
  <c r="U183" i="1"/>
  <c r="U187" i="1"/>
  <c r="U178" i="1"/>
  <c r="U177" i="1"/>
  <c r="U206" i="1"/>
  <c r="U207" i="1"/>
  <c r="U212" i="1"/>
  <c r="U210" i="1"/>
  <c r="U209" i="1"/>
  <c r="U211" i="1"/>
  <c r="U208" i="1"/>
  <c r="U214" i="1"/>
  <c r="U213" i="1"/>
  <c r="U215" i="1"/>
  <c r="U216" i="1"/>
  <c r="U217" i="1"/>
  <c r="U218" i="1"/>
  <c r="U219" i="1"/>
  <c r="U220" i="1"/>
  <c r="U221" i="1"/>
  <c r="U222" i="1"/>
  <c r="U225" i="1"/>
  <c r="U224" i="1"/>
  <c r="U223" i="1"/>
  <c r="U227" i="1"/>
  <c r="U226" i="1"/>
  <c r="U229" i="1"/>
  <c r="U230" i="1"/>
  <c r="U228" i="1"/>
  <c r="U231" i="1"/>
  <c r="U232" i="1"/>
  <c r="U233" i="1"/>
  <c r="U235" i="1"/>
  <c r="U234" i="1"/>
  <c r="U236" i="1"/>
  <c r="U241" i="1"/>
  <c r="U239" i="1"/>
  <c r="U242" i="1"/>
  <c r="U243" i="1"/>
  <c r="U240" i="1"/>
  <c r="U238" i="1"/>
  <c r="U237" i="1"/>
  <c r="U246" i="1"/>
  <c r="U244" i="1"/>
  <c r="U245" i="1"/>
  <c r="U249" i="1"/>
  <c r="U248" i="1"/>
  <c r="U247" i="1"/>
  <c r="U252" i="1"/>
  <c r="U259" i="1"/>
  <c r="U263" i="1"/>
  <c r="U262" i="1"/>
  <c r="U264" i="1"/>
  <c r="U258" i="1"/>
  <c r="U261" i="1"/>
  <c r="U256" i="1"/>
  <c r="U260" i="1"/>
  <c r="U251" i="1"/>
  <c r="U253" i="1"/>
  <c r="U254" i="1"/>
  <c r="U257" i="1"/>
  <c r="U255" i="1"/>
  <c r="U250" i="1"/>
  <c r="U267" i="1"/>
  <c r="U268" i="1"/>
  <c r="U265" i="1"/>
  <c r="U266" i="1"/>
  <c r="U271" i="1"/>
  <c r="U270" i="1"/>
  <c r="U269" i="1"/>
  <c r="U274" i="1"/>
  <c r="U272" i="1"/>
  <c r="U273" i="1"/>
  <c r="U275" i="1"/>
  <c r="U276" i="1"/>
  <c r="U277" i="1"/>
  <c r="U279" i="1"/>
  <c r="U280" i="1"/>
  <c r="U281" i="1"/>
  <c r="U278" i="1"/>
  <c r="U282" i="1"/>
  <c r="U287" i="1"/>
  <c r="U292" i="1"/>
  <c r="U285" i="1"/>
  <c r="U293" i="1"/>
  <c r="U290" i="1"/>
  <c r="U286" i="1"/>
  <c r="U283" i="1"/>
  <c r="U288" i="1"/>
  <c r="U291" i="1"/>
  <c r="U289" i="1"/>
  <c r="U284" i="1"/>
  <c r="U295" i="1"/>
  <c r="U296" i="1"/>
  <c r="U294" i="1"/>
  <c r="U297" i="1"/>
  <c r="U298" i="1"/>
  <c r="U299" i="1"/>
  <c r="U300" i="1"/>
  <c r="U303" i="1"/>
  <c r="U302" i="1"/>
  <c r="U301" i="1"/>
  <c r="U305" i="1"/>
  <c r="U304" i="1"/>
  <c r="U306" i="1"/>
  <c r="U307" i="1"/>
  <c r="U317" i="1"/>
  <c r="U310" i="1"/>
  <c r="U309" i="1"/>
  <c r="U318" i="1"/>
  <c r="U312" i="1"/>
  <c r="U313" i="1"/>
  <c r="U314" i="1"/>
  <c r="U316" i="1"/>
  <c r="U315" i="1"/>
  <c r="U311" i="1"/>
  <c r="U319" i="1"/>
  <c r="U308" i="1"/>
  <c r="U320" i="1"/>
  <c r="U321" i="1"/>
  <c r="U322" i="1"/>
  <c r="U324" i="1"/>
  <c r="U323" i="1"/>
  <c r="U325" i="1"/>
  <c r="U327" i="1"/>
  <c r="U329" i="1"/>
  <c r="U328" i="1"/>
  <c r="U326" i="1"/>
  <c r="U334" i="1"/>
  <c r="U332" i="1"/>
  <c r="U333" i="1"/>
  <c r="U331" i="1"/>
  <c r="U330" i="1"/>
  <c r="U336" i="1"/>
  <c r="U337" i="1"/>
  <c r="U335" i="1"/>
  <c r="U344" i="1"/>
  <c r="U340" i="1"/>
  <c r="U342" i="1"/>
  <c r="U339" i="1"/>
  <c r="U346" i="1"/>
  <c r="U348" i="1"/>
  <c r="U338" i="1"/>
  <c r="U341" i="1"/>
  <c r="U345" i="1"/>
  <c r="U343" i="1"/>
  <c r="U347" i="1"/>
  <c r="U350" i="1"/>
  <c r="U349" i="1"/>
  <c r="U351" i="1"/>
  <c r="U352" i="1"/>
  <c r="U356" i="1"/>
  <c r="U354" i="1"/>
  <c r="U357" i="1"/>
  <c r="U355" i="1"/>
  <c r="U353" i="1"/>
  <c r="U359" i="1"/>
  <c r="U360" i="1"/>
  <c r="U358" i="1"/>
  <c r="U361" i="1"/>
  <c r="U368" i="1"/>
  <c r="U366" i="1"/>
  <c r="U365" i="1"/>
  <c r="U369" i="1"/>
  <c r="U370" i="1"/>
  <c r="U362" i="1"/>
  <c r="U367" i="1"/>
  <c r="U364" i="1"/>
  <c r="U363" i="1"/>
  <c r="U371" i="1"/>
  <c r="U373" i="1"/>
  <c r="U372" i="1"/>
  <c r="U374" i="1"/>
  <c r="U376" i="1"/>
  <c r="U375" i="1"/>
  <c r="U377" i="1"/>
  <c r="U380" i="1"/>
  <c r="U378" i="1"/>
  <c r="U381" i="1"/>
  <c r="U379" i="1"/>
  <c r="U382" i="1"/>
  <c r="U383" i="1"/>
  <c r="U384" i="1"/>
  <c r="U385" i="1"/>
  <c r="U386" i="1"/>
  <c r="U388" i="1"/>
  <c r="U387" i="1"/>
  <c r="U390" i="1"/>
  <c r="U389" i="1"/>
  <c r="U391" i="1"/>
  <c r="U397" i="1"/>
  <c r="U394" i="1"/>
  <c r="U393" i="1"/>
  <c r="U395" i="1"/>
  <c r="U396" i="1"/>
  <c r="U392" i="1"/>
  <c r="U505" i="1"/>
  <c r="U512" i="1"/>
  <c r="U489" i="1"/>
  <c r="U511" i="1"/>
  <c r="U490" i="1"/>
  <c r="U494" i="1"/>
  <c r="U516" i="1"/>
  <c r="U518" i="1"/>
  <c r="U507" i="1"/>
  <c r="U514" i="1"/>
  <c r="U492" i="1"/>
  <c r="U495" i="1"/>
  <c r="U504" i="1"/>
  <c r="U498" i="1"/>
  <c r="U501" i="1"/>
  <c r="U496" i="1"/>
  <c r="U502" i="1"/>
  <c r="U515" i="1"/>
  <c r="U429" i="1"/>
  <c r="U430" i="1"/>
  <c r="U435" i="1"/>
  <c r="U436" i="1"/>
  <c r="U434" i="1"/>
  <c r="U438" i="1"/>
  <c r="U437" i="1"/>
  <c r="U432" i="1"/>
  <c r="U433" i="1"/>
  <c r="U431" i="1"/>
  <c r="U443" i="1"/>
  <c r="U452" i="1"/>
  <c r="U482" i="1"/>
  <c r="U527" i="1"/>
  <c r="U537" i="1"/>
  <c r="U560" i="1"/>
  <c r="U580" i="1"/>
  <c r="U468" i="1"/>
  <c r="U473" i="1"/>
  <c r="U478" i="1"/>
  <c r="U480" i="1"/>
  <c r="U477" i="1"/>
  <c r="U471" i="1"/>
  <c r="U521" i="1"/>
  <c r="U572" i="1"/>
  <c r="U571" i="1"/>
  <c r="U569" i="1"/>
  <c r="U426" i="1"/>
  <c r="AC537" i="1"/>
  <c r="AC2" i="1"/>
  <c r="AC3" i="1"/>
  <c r="AC4" i="1"/>
  <c r="AC5" i="1"/>
  <c r="AC6" i="1"/>
  <c r="AC7" i="1"/>
  <c r="AC9" i="1"/>
  <c r="AC8" i="1"/>
  <c r="AC10" i="1"/>
  <c r="AC11" i="1"/>
  <c r="AC12" i="1"/>
  <c r="AC13" i="1"/>
  <c r="AC14" i="1"/>
  <c r="AC15" i="1"/>
  <c r="AC16" i="1"/>
  <c r="AC17" i="1"/>
  <c r="AC18" i="1"/>
  <c r="AC20" i="1"/>
  <c r="AC19" i="1"/>
  <c r="AC21" i="1"/>
  <c r="AC23" i="1"/>
  <c r="AC22" i="1"/>
  <c r="AC24" i="1"/>
  <c r="AC25" i="1"/>
  <c r="AC26" i="1"/>
  <c r="AC27" i="1"/>
  <c r="AC28" i="1"/>
  <c r="AC29" i="1"/>
  <c r="AC30" i="1"/>
  <c r="AC31" i="1"/>
  <c r="AC32" i="1"/>
  <c r="AC34" i="1"/>
  <c r="AC33" i="1"/>
  <c r="AC35" i="1"/>
  <c r="AC37" i="1"/>
  <c r="AC36" i="1"/>
  <c r="AC38" i="1"/>
  <c r="AC41" i="1"/>
  <c r="AC39" i="1"/>
  <c r="AC40" i="1"/>
  <c r="AC42" i="1"/>
  <c r="AC46" i="1"/>
  <c r="AC47" i="1"/>
  <c r="AC48" i="1"/>
  <c r="AC44" i="1"/>
  <c r="AC43" i="1"/>
  <c r="AC45" i="1"/>
  <c r="AC49" i="1"/>
  <c r="AC52" i="1"/>
  <c r="AC51" i="1"/>
  <c r="AC50" i="1"/>
  <c r="AC53" i="1"/>
  <c r="AC59" i="1"/>
  <c r="AC56" i="1"/>
  <c r="AC62" i="1"/>
  <c r="AC61" i="1"/>
  <c r="AC57" i="1"/>
  <c r="AC55" i="1"/>
  <c r="AC58" i="1"/>
  <c r="AC60" i="1"/>
  <c r="AC54" i="1"/>
  <c r="AC64" i="1"/>
  <c r="AC63" i="1"/>
  <c r="AC69" i="1"/>
  <c r="AC68" i="1"/>
  <c r="AC66" i="1"/>
  <c r="AC67" i="1"/>
  <c r="AC65" i="1"/>
  <c r="AC80" i="1"/>
  <c r="AC79" i="1"/>
  <c r="AC77" i="1"/>
  <c r="AC75" i="1"/>
  <c r="AC84" i="1"/>
  <c r="AC82" i="1"/>
  <c r="AC83" i="1"/>
  <c r="AC81" i="1"/>
  <c r="AC85" i="1"/>
  <c r="AC73" i="1"/>
  <c r="AC71" i="1"/>
  <c r="AC78" i="1"/>
  <c r="AC72" i="1"/>
  <c r="AC76" i="1"/>
  <c r="AC70" i="1"/>
  <c r="AC74" i="1"/>
  <c r="AC86" i="1"/>
  <c r="AC87" i="1"/>
  <c r="AC89" i="1"/>
  <c r="AC88" i="1"/>
  <c r="AC91" i="1"/>
  <c r="AC90" i="1"/>
  <c r="AC92" i="1"/>
  <c r="AC93" i="1"/>
  <c r="AC95" i="1"/>
  <c r="AC97" i="1"/>
  <c r="AC96" i="1"/>
  <c r="AC94" i="1"/>
  <c r="AC99" i="1"/>
  <c r="AC98" i="1"/>
  <c r="AC102" i="1"/>
  <c r="AC105" i="1"/>
  <c r="AC103" i="1"/>
  <c r="AC104" i="1"/>
  <c r="AC100" i="1"/>
  <c r="AC107" i="1"/>
  <c r="AC106" i="1"/>
  <c r="AC101" i="1"/>
  <c r="AC108" i="1"/>
  <c r="AC109" i="1"/>
  <c r="AC110" i="1"/>
  <c r="AC111" i="1"/>
  <c r="AC115" i="1"/>
  <c r="AC113" i="1"/>
  <c r="AC112" i="1"/>
  <c r="AC114" i="1"/>
  <c r="AC116" i="1"/>
  <c r="AC117" i="1"/>
  <c r="AC118" i="1"/>
  <c r="AC119" i="1"/>
  <c r="AC120" i="1"/>
  <c r="AC123" i="1"/>
  <c r="AC122" i="1"/>
  <c r="AC121" i="1"/>
  <c r="AC127" i="1"/>
  <c r="AC125" i="1"/>
  <c r="AC124" i="1"/>
  <c r="AC126" i="1"/>
  <c r="AC129" i="1"/>
  <c r="AC128" i="1"/>
  <c r="AC134" i="1"/>
  <c r="AC136" i="1"/>
  <c r="AC133" i="1"/>
  <c r="AC132" i="1"/>
  <c r="AC131" i="1"/>
  <c r="AC130" i="1"/>
  <c r="AC135" i="1"/>
  <c r="AC137" i="1"/>
  <c r="AC138" i="1"/>
  <c r="AC140" i="1"/>
  <c r="AC139" i="1"/>
  <c r="AC142" i="1"/>
  <c r="AC143" i="1"/>
  <c r="AC141" i="1"/>
  <c r="AC144" i="1"/>
  <c r="AC146" i="1"/>
  <c r="AC148" i="1"/>
  <c r="AC151" i="1"/>
  <c r="AC153" i="1"/>
  <c r="AC152" i="1"/>
  <c r="AC149" i="1"/>
  <c r="AC145" i="1"/>
  <c r="AC150" i="1"/>
  <c r="AC147" i="1"/>
  <c r="AC154" i="1"/>
  <c r="AC155" i="1"/>
  <c r="AC156" i="1"/>
  <c r="AC158" i="1"/>
  <c r="AC157" i="1"/>
  <c r="AC161" i="1"/>
  <c r="AC160" i="1"/>
  <c r="AC159" i="1"/>
  <c r="AC162" i="1"/>
  <c r="AC164" i="1"/>
  <c r="AC163" i="1"/>
  <c r="AC165" i="1"/>
  <c r="AC167" i="1"/>
  <c r="AC166" i="1"/>
  <c r="AC168" i="1"/>
  <c r="AC169" i="1"/>
  <c r="AC170" i="1"/>
  <c r="AC171" i="1"/>
  <c r="AC173" i="1"/>
  <c r="AC172" i="1"/>
  <c r="AC174" i="1"/>
  <c r="AC175" i="1"/>
  <c r="AC176" i="1"/>
  <c r="AC180" i="1"/>
  <c r="AC196" i="1"/>
  <c r="AC188" i="1"/>
  <c r="AC197" i="1"/>
  <c r="AC199" i="1"/>
  <c r="AC189" i="1"/>
  <c r="AC200" i="1"/>
  <c r="AC198" i="1"/>
  <c r="AC185" i="1"/>
  <c r="AC201" i="1"/>
  <c r="AC193" i="1"/>
  <c r="AC204" i="1"/>
  <c r="AC205" i="1"/>
  <c r="AC195" i="1"/>
  <c r="AC186" i="1"/>
  <c r="AC203" i="1"/>
  <c r="AC202" i="1"/>
  <c r="AC194" i="1"/>
  <c r="AC190" i="1"/>
  <c r="AC182" i="1"/>
  <c r="AC184" i="1"/>
  <c r="AC191" i="1"/>
  <c r="AC192" i="1"/>
  <c r="AC181" i="1"/>
  <c r="AC179" i="1"/>
  <c r="AC183" i="1"/>
  <c r="AC187" i="1"/>
  <c r="AC178" i="1"/>
  <c r="AC177" i="1"/>
  <c r="AC206" i="1"/>
  <c r="AC207" i="1"/>
  <c r="AC212" i="1"/>
  <c r="AC210" i="1"/>
  <c r="AC209" i="1"/>
  <c r="AC211" i="1"/>
  <c r="AC208" i="1"/>
  <c r="AC214" i="1"/>
  <c r="AC213" i="1"/>
  <c r="AC215" i="1"/>
  <c r="AC216" i="1"/>
  <c r="AC217" i="1"/>
  <c r="AC218" i="1"/>
  <c r="AC219" i="1"/>
  <c r="AC220" i="1"/>
  <c r="AC221" i="1"/>
  <c r="AC222" i="1"/>
  <c r="AC225" i="1"/>
  <c r="AC224" i="1"/>
  <c r="AC223" i="1"/>
  <c r="AC227" i="1"/>
  <c r="AC226" i="1"/>
  <c r="AC229" i="1"/>
  <c r="AC230" i="1"/>
  <c r="AC228" i="1"/>
  <c r="AC231" i="1"/>
  <c r="AC232" i="1"/>
  <c r="AC233" i="1"/>
  <c r="AC235" i="1"/>
  <c r="AC234" i="1"/>
  <c r="AC236" i="1"/>
  <c r="AC241" i="1"/>
  <c r="AC239" i="1"/>
  <c r="AC242" i="1"/>
  <c r="AC243" i="1"/>
  <c r="AC240" i="1"/>
  <c r="AC238" i="1"/>
  <c r="AC237" i="1"/>
  <c r="AC246" i="1"/>
  <c r="AC244" i="1"/>
  <c r="AC245" i="1"/>
  <c r="AC249" i="1"/>
  <c r="AC248" i="1"/>
  <c r="AC247" i="1"/>
  <c r="AC252" i="1"/>
  <c r="AC259" i="1"/>
  <c r="AC263" i="1"/>
  <c r="AC262" i="1"/>
  <c r="AC264" i="1"/>
  <c r="AC258" i="1"/>
  <c r="AC261" i="1"/>
  <c r="AC256" i="1"/>
  <c r="AC260" i="1"/>
  <c r="AC251" i="1"/>
  <c r="AC253" i="1"/>
  <c r="AC254" i="1"/>
  <c r="AC257" i="1"/>
  <c r="AC255" i="1"/>
  <c r="AC250" i="1"/>
  <c r="AC267" i="1"/>
  <c r="AC268" i="1"/>
  <c r="AC265" i="1"/>
  <c r="AC266" i="1"/>
  <c r="AC271" i="1"/>
  <c r="AC270" i="1"/>
  <c r="AC269" i="1"/>
  <c r="AC274" i="1"/>
  <c r="AC272" i="1"/>
  <c r="AC273" i="1"/>
  <c r="AC275" i="1"/>
  <c r="AC276" i="1"/>
  <c r="AC277" i="1"/>
  <c r="AC279" i="1"/>
  <c r="AC280" i="1"/>
  <c r="AC281" i="1"/>
  <c r="AC278" i="1"/>
  <c r="AC282" i="1"/>
  <c r="AC287" i="1"/>
  <c r="AC292" i="1"/>
  <c r="AC285" i="1"/>
  <c r="AC293" i="1"/>
  <c r="AC290" i="1"/>
  <c r="AC286" i="1"/>
  <c r="AC283" i="1"/>
  <c r="AC288" i="1"/>
  <c r="AC291" i="1"/>
  <c r="AC289" i="1"/>
  <c r="AC284" i="1"/>
  <c r="AC295" i="1"/>
  <c r="AC296" i="1"/>
  <c r="AC294" i="1"/>
  <c r="AC297" i="1"/>
  <c r="AC298" i="1"/>
  <c r="AC299" i="1"/>
  <c r="AC300" i="1"/>
  <c r="AC303" i="1"/>
  <c r="AC302" i="1"/>
  <c r="AC301" i="1"/>
  <c r="AC305" i="1"/>
  <c r="AC304" i="1"/>
  <c r="AC306" i="1"/>
  <c r="AC307" i="1"/>
  <c r="AC317" i="1"/>
  <c r="AC310" i="1"/>
  <c r="AC309" i="1"/>
  <c r="AC318" i="1"/>
  <c r="AC312" i="1"/>
  <c r="AC313" i="1"/>
  <c r="AC314" i="1"/>
  <c r="AC316" i="1"/>
  <c r="AC315" i="1"/>
  <c r="AC311" i="1"/>
  <c r="AC319" i="1"/>
  <c r="AC308" i="1"/>
  <c r="AC320" i="1"/>
  <c r="AC321" i="1"/>
  <c r="AC322" i="1"/>
  <c r="AC324" i="1"/>
  <c r="AC323" i="1"/>
  <c r="AC325" i="1"/>
  <c r="AC327" i="1"/>
  <c r="AC329" i="1"/>
  <c r="AC328" i="1"/>
  <c r="AC326" i="1"/>
  <c r="AC334" i="1"/>
  <c r="AC332" i="1"/>
  <c r="AC333" i="1"/>
  <c r="AC331" i="1"/>
  <c r="AC330" i="1"/>
  <c r="AC336" i="1"/>
  <c r="AC337" i="1"/>
  <c r="AC335" i="1"/>
  <c r="AC344" i="1"/>
  <c r="AC340" i="1"/>
  <c r="AC342" i="1"/>
  <c r="AC339" i="1"/>
  <c r="AC346" i="1"/>
  <c r="AC348" i="1"/>
  <c r="AC338" i="1"/>
  <c r="AC341" i="1"/>
  <c r="AC345" i="1"/>
  <c r="AC343" i="1"/>
  <c r="AC347" i="1"/>
  <c r="AC350" i="1"/>
  <c r="AC349" i="1"/>
  <c r="AC351" i="1"/>
  <c r="AC352" i="1"/>
  <c r="AC356" i="1"/>
  <c r="AC354" i="1"/>
  <c r="AC357" i="1"/>
  <c r="AC355" i="1"/>
  <c r="AC353" i="1"/>
  <c r="AC359" i="1"/>
  <c r="AC360" i="1"/>
  <c r="AC358" i="1"/>
  <c r="AC361" i="1"/>
  <c r="AC368" i="1"/>
  <c r="AC366" i="1"/>
  <c r="AC365" i="1"/>
  <c r="AC369" i="1"/>
  <c r="AC370" i="1"/>
  <c r="AC362" i="1"/>
  <c r="AC367" i="1"/>
  <c r="AC364" i="1"/>
  <c r="AC363" i="1"/>
  <c r="AC371" i="1"/>
  <c r="AC373" i="1"/>
  <c r="AC372" i="1"/>
  <c r="AC374" i="1"/>
  <c r="AC376" i="1"/>
  <c r="AC375" i="1"/>
  <c r="AC377" i="1"/>
  <c r="AC380" i="1"/>
  <c r="AC378" i="1"/>
  <c r="AC381" i="1"/>
  <c r="AC379" i="1"/>
  <c r="AC382" i="1"/>
  <c r="AC383" i="1"/>
  <c r="AC384" i="1"/>
  <c r="AC385" i="1"/>
  <c r="AC386" i="1"/>
  <c r="AC388" i="1"/>
  <c r="AC387" i="1"/>
  <c r="AC390" i="1"/>
  <c r="AC389" i="1"/>
  <c r="AC391" i="1"/>
  <c r="AC397" i="1"/>
  <c r="AC394" i="1"/>
  <c r="AC393" i="1"/>
  <c r="AC395" i="1"/>
  <c r="AC396" i="1"/>
  <c r="AC392" i="1"/>
  <c r="AC398" i="1"/>
  <c r="AC399" i="1"/>
  <c r="AC401" i="1"/>
  <c r="AC400" i="1"/>
  <c r="AC402" i="1"/>
  <c r="AC403" i="1"/>
  <c r="AC404" i="1"/>
  <c r="AC405" i="1"/>
  <c r="AC406" i="1"/>
  <c r="AC407" i="1"/>
  <c r="AC455" i="1"/>
  <c r="AC467" i="1"/>
  <c r="AC466" i="1"/>
  <c r="AC508" i="1"/>
  <c r="AC497" i="1"/>
  <c r="AC519" i="1"/>
  <c r="AC506" i="1"/>
  <c r="AC517" i="1"/>
  <c r="AC491" i="1"/>
  <c r="AC513" i="1"/>
  <c r="AC500" i="1"/>
  <c r="AC493" i="1"/>
  <c r="AC408" i="1"/>
  <c r="AC418" i="1"/>
  <c r="AC505" i="1"/>
  <c r="AC512" i="1"/>
  <c r="AC489" i="1"/>
  <c r="AC511" i="1"/>
  <c r="AC490" i="1"/>
  <c r="AC494" i="1"/>
  <c r="AC516" i="1"/>
  <c r="AC518" i="1"/>
  <c r="AC507" i="1"/>
  <c r="AC514" i="1"/>
  <c r="AC492" i="1"/>
  <c r="AC495" i="1"/>
  <c r="AC504" i="1"/>
  <c r="AC498" i="1"/>
  <c r="AC501" i="1"/>
  <c r="AC496" i="1"/>
  <c r="AC502" i="1"/>
  <c r="AC515" i="1"/>
  <c r="AC429" i="1"/>
  <c r="AC430" i="1"/>
  <c r="AC435" i="1"/>
  <c r="AC436" i="1"/>
  <c r="AC434" i="1"/>
  <c r="AC438" i="1"/>
  <c r="AC437" i="1"/>
  <c r="AC432" i="1"/>
  <c r="AC433" i="1"/>
  <c r="AC431" i="1"/>
  <c r="AC443" i="1"/>
  <c r="AC452" i="1"/>
  <c r="AC482" i="1"/>
  <c r="AC527" i="1"/>
  <c r="AC560" i="1"/>
  <c r="AC580" i="1"/>
  <c r="AC468" i="1"/>
  <c r="AC473" i="1"/>
  <c r="AC478" i="1"/>
  <c r="AC480" i="1"/>
  <c r="AC477" i="1"/>
  <c r="AC471" i="1"/>
  <c r="AC521" i="1"/>
  <c r="AC572" i="1"/>
  <c r="AC571" i="1"/>
  <c r="AC569" i="1"/>
  <c r="AC426" i="1"/>
  <c r="S426" i="1"/>
  <c r="Y426" i="1"/>
  <c r="Z426" i="1"/>
  <c r="S571" i="1"/>
  <c r="S569" i="1"/>
  <c r="Y571" i="1"/>
  <c r="Y569" i="1"/>
  <c r="Z571" i="1"/>
  <c r="Z569" i="1"/>
  <c r="S572" i="1"/>
  <c r="Y572" i="1"/>
  <c r="Z572" i="1"/>
  <c r="S473" i="1"/>
  <c r="S478" i="1"/>
  <c r="S480" i="1"/>
  <c r="S477" i="1"/>
  <c r="S471" i="1"/>
  <c r="S521" i="1"/>
  <c r="Y473" i="1"/>
  <c r="Y478" i="1"/>
  <c r="Y480" i="1"/>
  <c r="Y477" i="1"/>
  <c r="Y471" i="1"/>
  <c r="Y521" i="1"/>
  <c r="Z473" i="1"/>
  <c r="Z478" i="1"/>
  <c r="Z480" i="1"/>
  <c r="Z477" i="1"/>
  <c r="Z471" i="1"/>
  <c r="Z521" i="1"/>
  <c r="S468" i="1"/>
  <c r="Y468" i="1"/>
  <c r="Z468" i="1"/>
  <c r="S452" i="1"/>
  <c r="S482" i="1"/>
  <c r="S527" i="1"/>
  <c r="S537" i="1"/>
  <c r="S560" i="1"/>
  <c r="S580" i="1"/>
  <c r="Y452" i="1"/>
  <c r="Y482" i="1"/>
  <c r="Y527" i="1"/>
  <c r="Y537" i="1"/>
  <c r="Y560" i="1"/>
  <c r="Y580" i="1"/>
  <c r="Z452" i="1"/>
  <c r="Z482" i="1"/>
  <c r="Z527" i="1"/>
  <c r="Z537" i="1"/>
  <c r="Z560" i="1"/>
  <c r="Z580" i="1"/>
  <c r="S443" i="1"/>
  <c r="Y443" i="1"/>
  <c r="Z443" i="1"/>
  <c r="S430" i="1"/>
  <c r="S435" i="1"/>
  <c r="S436" i="1"/>
  <c r="S434" i="1"/>
  <c r="S438" i="1"/>
  <c r="S437" i="1"/>
  <c r="S432" i="1"/>
  <c r="S433" i="1"/>
  <c r="S431" i="1"/>
  <c r="Y430" i="1"/>
  <c r="Y435" i="1"/>
  <c r="Y436" i="1"/>
  <c r="Y434" i="1"/>
  <c r="Y438" i="1"/>
  <c r="Y437" i="1"/>
  <c r="Y432" i="1"/>
  <c r="Y433" i="1"/>
  <c r="Y431" i="1"/>
  <c r="Z430" i="1"/>
  <c r="Z435" i="1"/>
  <c r="Z436" i="1"/>
  <c r="Z434" i="1"/>
  <c r="Z438" i="1"/>
  <c r="Z437" i="1"/>
  <c r="Z432" i="1"/>
  <c r="Z433" i="1"/>
  <c r="Z431" i="1"/>
  <c r="S429" i="1"/>
  <c r="Y429" i="1"/>
  <c r="Z429" i="1"/>
  <c r="S495" i="1"/>
  <c r="S504" i="1"/>
  <c r="S498" i="1"/>
  <c r="S501" i="1"/>
  <c r="S496" i="1"/>
  <c r="S502" i="1"/>
  <c r="S515" i="1"/>
  <c r="Y495" i="1"/>
  <c r="Y504" i="1"/>
  <c r="Y498" i="1"/>
  <c r="Y501" i="1"/>
  <c r="Y496" i="1"/>
  <c r="Y502" i="1"/>
  <c r="Y515" i="1"/>
  <c r="Z495" i="1"/>
  <c r="Z504" i="1"/>
  <c r="Z498" i="1"/>
  <c r="Z501" i="1"/>
  <c r="Z496" i="1"/>
  <c r="Z502" i="1"/>
  <c r="Z515" i="1"/>
  <c r="S512" i="1"/>
  <c r="S489" i="1"/>
  <c r="S511" i="1"/>
  <c r="S490" i="1"/>
  <c r="S494" i="1"/>
  <c r="S516" i="1"/>
  <c r="S518" i="1"/>
  <c r="S507" i="1"/>
  <c r="S514" i="1"/>
  <c r="S492" i="1"/>
  <c r="Y512" i="1"/>
  <c r="Y489" i="1"/>
  <c r="Y511" i="1"/>
  <c r="Y490" i="1"/>
  <c r="Y494" i="1"/>
  <c r="Y516" i="1"/>
  <c r="Y518" i="1"/>
  <c r="Y507" i="1"/>
  <c r="Y514" i="1"/>
  <c r="Y492" i="1"/>
  <c r="Z512" i="1"/>
  <c r="Z489" i="1"/>
  <c r="Z511" i="1"/>
  <c r="Z490" i="1"/>
  <c r="Z494" i="1"/>
  <c r="Z516" i="1"/>
  <c r="Z518" i="1"/>
  <c r="Z507" i="1"/>
  <c r="Z514" i="1"/>
  <c r="Z492" i="1"/>
  <c r="S505" i="1"/>
  <c r="Y505" i="1"/>
  <c r="Z505" i="1"/>
  <c r="S418" i="1"/>
  <c r="Y418" i="1"/>
  <c r="Z418" i="1"/>
  <c r="S408" i="1"/>
  <c r="Y408" i="1"/>
  <c r="Z408" i="1"/>
  <c r="X356" i="1"/>
  <c r="AD356" i="1" s="1"/>
  <c r="X354" i="1"/>
  <c r="AD354" i="1" s="1"/>
  <c r="X357" i="1"/>
  <c r="AD357" i="1" s="1"/>
  <c r="X355" i="1"/>
  <c r="AD355" i="1" s="1"/>
  <c r="X353" i="1"/>
  <c r="AD353" i="1" s="1"/>
  <c r="X359" i="1"/>
  <c r="AD359" i="1" s="1"/>
  <c r="X360" i="1"/>
  <c r="AD360" i="1" s="1"/>
  <c r="X358" i="1"/>
  <c r="AD358" i="1" s="1"/>
  <c r="X361" i="1"/>
  <c r="AD361" i="1" s="1"/>
  <c r="X368" i="1"/>
  <c r="AD368" i="1" s="1"/>
  <c r="X366" i="1"/>
  <c r="AD366" i="1" s="1"/>
  <c r="X365" i="1"/>
  <c r="AD365" i="1" s="1"/>
  <c r="X369" i="1"/>
  <c r="AD369" i="1" s="1"/>
  <c r="X370" i="1"/>
  <c r="AD370" i="1" s="1"/>
  <c r="X362" i="1"/>
  <c r="AD362" i="1" s="1"/>
  <c r="X367" i="1"/>
  <c r="AD367" i="1" s="1"/>
  <c r="X364" i="1"/>
  <c r="AD364" i="1" s="1"/>
  <c r="X363" i="1"/>
  <c r="AD363" i="1" s="1"/>
  <c r="X371" i="1"/>
  <c r="AD371" i="1" s="1"/>
  <c r="X373" i="1"/>
  <c r="AD373" i="1" s="1"/>
  <c r="X372" i="1"/>
  <c r="AD372" i="1" s="1"/>
  <c r="X374" i="1"/>
  <c r="AD374" i="1" s="1"/>
  <c r="X376" i="1"/>
  <c r="AD376" i="1" s="1"/>
  <c r="X375" i="1"/>
  <c r="AD375" i="1" s="1"/>
  <c r="X377" i="1"/>
  <c r="AD377" i="1" s="1"/>
  <c r="X380" i="1"/>
  <c r="AD380" i="1" s="1"/>
  <c r="X378" i="1"/>
  <c r="AD378" i="1" s="1"/>
  <c r="X381" i="1"/>
  <c r="AD381" i="1" s="1"/>
  <c r="X379" i="1"/>
  <c r="AD379" i="1" s="1"/>
  <c r="X382" i="1"/>
  <c r="AD382" i="1" s="1"/>
  <c r="X383" i="1"/>
  <c r="AD383" i="1" s="1"/>
  <c r="X384" i="1"/>
  <c r="AD384" i="1" s="1"/>
  <c r="X385" i="1"/>
  <c r="AD385" i="1" s="1"/>
  <c r="X386" i="1"/>
  <c r="AD386" i="1" s="1"/>
  <c r="X388" i="1"/>
  <c r="AD388" i="1" s="1"/>
  <c r="X387" i="1"/>
  <c r="AD387" i="1" s="1"/>
  <c r="X390" i="1"/>
  <c r="AD390" i="1" s="1"/>
  <c r="X389" i="1"/>
  <c r="AD389" i="1" s="1"/>
  <c r="X391" i="1"/>
  <c r="AD391" i="1" s="1"/>
  <c r="X397" i="1"/>
  <c r="AD397" i="1" s="1"/>
  <c r="X394" i="1"/>
  <c r="AD394" i="1" s="1"/>
  <c r="X393" i="1"/>
  <c r="AD393" i="1" s="1"/>
  <c r="X395" i="1"/>
  <c r="AD395" i="1" s="1"/>
  <c r="X396" i="1"/>
  <c r="AD396" i="1" s="1"/>
  <c r="X392" i="1"/>
  <c r="AD392" i="1" s="1"/>
  <c r="X352" i="1"/>
  <c r="AD352" i="1" s="1"/>
  <c r="X351" i="1"/>
  <c r="AD351" i="1" s="1"/>
  <c r="S407" i="1"/>
  <c r="Y407" i="1"/>
  <c r="Z407" i="1"/>
  <c r="S384" i="1"/>
  <c r="Y384" i="1"/>
  <c r="Z384" i="1"/>
  <c r="S500" i="1"/>
  <c r="S506" i="1"/>
  <c r="S508" i="1"/>
  <c r="S517" i="1"/>
  <c r="S513" i="1"/>
  <c r="S493" i="1"/>
  <c r="S491" i="1"/>
  <c r="S519" i="1"/>
  <c r="Y500" i="1"/>
  <c r="Y506" i="1"/>
  <c r="Y508" i="1"/>
  <c r="Y517" i="1"/>
  <c r="Y513" i="1"/>
  <c r="Y493" i="1"/>
  <c r="Y491" i="1"/>
  <c r="Y519" i="1"/>
  <c r="Z500" i="1"/>
  <c r="Z506" i="1"/>
  <c r="Z508" i="1"/>
  <c r="Z517" i="1"/>
  <c r="Z513" i="1"/>
  <c r="Z493" i="1"/>
  <c r="Z491" i="1"/>
  <c r="Z519" i="1"/>
  <c r="S497" i="1"/>
  <c r="Y497" i="1"/>
  <c r="Z497" i="1"/>
  <c r="S466" i="1"/>
  <c r="Y466" i="1"/>
  <c r="Z466" i="1"/>
  <c r="S467" i="1"/>
  <c r="Y467" i="1"/>
  <c r="Z467" i="1"/>
  <c r="S455" i="1"/>
  <c r="Y455" i="1"/>
  <c r="Z455" i="1"/>
  <c r="X86" i="1"/>
  <c r="AD86" i="1" s="1"/>
  <c r="S400" i="1"/>
  <c r="Y400" i="1"/>
  <c r="Z400" i="1"/>
  <c r="S359" i="1"/>
  <c r="Y359" i="1"/>
  <c r="Z359" i="1"/>
  <c r="S345" i="1"/>
  <c r="X345" i="1"/>
  <c r="AD345" i="1" s="1"/>
  <c r="Y345" i="1"/>
  <c r="Z345" i="1"/>
  <c r="S321" i="1"/>
  <c r="X321" i="1"/>
  <c r="AD321" i="1" s="1"/>
  <c r="Y321" i="1"/>
  <c r="Z321" i="1"/>
  <c r="S305" i="1"/>
  <c r="X305" i="1"/>
  <c r="AD305" i="1" s="1"/>
  <c r="Y305" i="1"/>
  <c r="Z305" i="1"/>
  <c r="S246" i="1"/>
  <c r="X246" i="1"/>
  <c r="AD246" i="1" s="1"/>
  <c r="Y246" i="1"/>
  <c r="Z246" i="1"/>
  <c r="S233" i="1"/>
  <c r="X233" i="1"/>
  <c r="AD233" i="1" s="1"/>
  <c r="Y233" i="1"/>
  <c r="Z233" i="1"/>
  <c r="S318" i="1"/>
  <c r="S312" i="1"/>
  <c r="X318" i="1"/>
  <c r="AD318" i="1" s="1"/>
  <c r="X312" i="1"/>
  <c r="AD312" i="1" s="1"/>
  <c r="Y318" i="1"/>
  <c r="Y312" i="1"/>
  <c r="Z318" i="1"/>
  <c r="Z312" i="1"/>
  <c r="S317" i="1"/>
  <c r="X317" i="1"/>
  <c r="AD317" i="1" s="1"/>
  <c r="Y317" i="1"/>
  <c r="Z317" i="1"/>
  <c r="S373" i="1"/>
  <c r="Y373" i="1"/>
  <c r="Z373" i="1"/>
  <c r="S225" i="1"/>
  <c r="S268" i="1"/>
  <c r="S266" i="1"/>
  <c r="S278" i="1"/>
  <c r="S300" i="1"/>
  <c r="S333" i="1"/>
  <c r="S355" i="1"/>
  <c r="S380" i="1"/>
  <c r="S379" i="1"/>
  <c r="S389" i="1"/>
  <c r="S403" i="1"/>
  <c r="S226" i="1"/>
  <c r="S257" i="1"/>
  <c r="S277" i="1"/>
  <c r="S299" i="1"/>
  <c r="S329" i="1"/>
  <c r="S352" i="1"/>
  <c r="S378" i="1"/>
  <c r="S383" i="1"/>
  <c r="S316" i="1"/>
  <c r="S315" i="1"/>
  <c r="S308" i="1"/>
  <c r="S314" i="1"/>
  <c r="S309" i="1"/>
  <c r="S311" i="1"/>
  <c r="S310" i="1"/>
  <c r="S313" i="1"/>
  <c r="S319" i="1"/>
  <c r="S215" i="1"/>
  <c r="S216" i="1"/>
  <c r="S217" i="1"/>
  <c r="S269" i="1"/>
  <c r="S289" i="1"/>
  <c r="S350" i="1"/>
  <c r="S358" i="1"/>
  <c r="S381" i="1"/>
  <c r="S398" i="1"/>
  <c r="S402" i="1"/>
  <c r="S369" i="1"/>
  <c r="S364" i="1"/>
  <c r="S365" i="1"/>
  <c r="S362" i="1"/>
  <c r="S367" i="1"/>
  <c r="S370" i="1"/>
  <c r="S363" i="1"/>
  <c r="S366" i="1"/>
  <c r="S306" i="1"/>
  <c r="S307" i="1"/>
  <c r="S385" i="1"/>
  <c r="S386" i="1"/>
  <c r="S392" i="1"/>
  <c r="S394" i="1"/>
  <c r="S395" i="1"/>
  <c r="S393" i="1"/>
  <c r="S396" i="1"/>
  <c r="S397" i="1"/>
  <c r="S330" i="1"/>
  <c r="S332" i="1"/>
  <c r="S351" i="1"/>
  <c r="S376" i="1"/>
  <c r="S401" i="1"/>
  <c r="S275" i="1"/>
  <c r="S295" i="1"/>
  <c r="S323" i="1"/>
  <c r="S341" i="1"/>
  <c r="X225" i="1"/>
  <c r="AD225" i="1" s="1"/>
  <c r="X268" i="1"/>
  <c r="AD268" i="1" s="1"/>
  <c r="X266" i="1"/>
  <c r="AD266" i="1" s="1"/>
  <c r="X278" i="1"/>
  <c r="AD278" i="1" s="1"/>
  <c r="X300" i="1"/>
  <c r="AD300" i="1" s="1"/>
  <c r="X333" i="1"/>
  <c r="AD333" i="1" s="1"/>
  <c r="X226" i="1"/>
  <c r="AD226" i="1" s="1"/>
  <c r="X257" i="1"/>
  <c r="AD257" i="1" s="1"/>
  <c r="X277" i="1"/>
  <c r="AD277" i="1" s="1"/>
  <c r="X299" i="1"/>
  <c r="AD299" i="1" s="1"/>
  <c r="X329" i="1"/>
  <c r="AD329" i="1" s="1"/>
  <c r="X316" i="1"/>
  <c r="AD316" i="1" s="1"/>
  <c r="X315" i="1"/>
  <c r="AD315" i="1" s="1"/>
  <c r="X308" i="1"/>
  <c r="AD308" i="1" s="1"/>
  <c r="X314" i="1"/>
  <c r="AD314" i="1" s="1"/>
  <c r="X309" i="1"/>
  <c r="AD309" i="1" s="1"/>
  <c r="X311" i="1"/>
  <c r="AD311" i="1" s="1"/>
  <c r="X310" i="1"/>
  <c r="AD310" i="1" s="1"/>
  <c r="X313" i="1"/>
  <c r="AD313" i="1" s="1"/>
  <c r="X319" i="1"/>
  <c r="AD319" i="1" s="1"/>
  <c r="X215" i="1"/>
  <c r="AD215" i="1" s="1"/>
  <c r="X216" i="1"/>
  <c r="AD216" i="1" s="1"/>
  <c r="X217" i="1"/>
  <c r="AD217" i="1" s="1"/>
  <c r="X269" i="1"/>
  <c r="AD269" i="1" s="1"/>
  <c r="X289" i="1"/>
  <c r="AD289" i="1" s="1"/>
  <c r="X350" i="1"/>
  <c r="AD350" i="1" s="1"/>
  <c r="X306" i="1"/>
  <c r="AD306" i="1" s="1"/>
  <c r="X307" i="1"/>
  <c r="AD307" i="1" s="1"/>
  <c r="X330" i="1"/>
  <c r="AD330" i="1" s="1"/>
  <c r="X332" i="1"/>
  <c r="AD332" i="1" s="1"/>
  <c r="X275" i="1"/>
  <c r="AD275" i="1" s="1"/>
  <c r="X295" i="1"/>
  <c r="AD295" i="1" s="1"/>
  <c r="X323" i="1"/>
  <c r="AD323" i="1" s="1"/>
  <c r="X341" i="1"/>
  <c r="AD341" i="1" s="1"/>
  <c r="Y225" i="1"/>
  <c r="Y268" i="1"/>
  <c r="Y266" i="1"/>
  <c r="Y278" i="1"/>
  <c r="Y300" i="1"/>
  <c r="Y333" i="1"/>
  <c r="Y355" i="1"/>
  <c r="Y380" i="1"/>
  <c r="Y379" i="1"/>
  <c r="Y389" i="1"/>
  <c r="Y403" i="1"/>
  <c r="Y226" i="1"/>
  <c r="Y257" i="1"/>
  <c r="Y277" i="1"/>
  <c r="Y299" i="1"/>
  <c r="Y329" i="1"/>
  <c r="Y352" i="1"/>
  <c r="Y378" i="1"/>
  <c r="Y383" i="1"/>
  <c r="Y316" i="1"/>
  <c r="Y315" i="1"/>
  <c r="Y308" i="1"/>
  <c r="Y314" i="1"/>
  <c r="Y309" i="1"/>
  <c r="Y311" i="1"/>
  <c r="Y310" i="1"/>
  <c r="Y313" i="1"/>
  <c r="Y319" i="1"/>
  <c r="Y215" i="1"/>
  <c r="Y216" i="1"/>
  <c r="Y217" i="1"/>
  <c r="Y269" i="1"/>
  <c r="Y289" i="1"/>
  <c r="Y350" i="1"/>
  <c r="Y358" i="1"/>
  <c r="Y381" i="1"/>
  <c r="Y398" i="1"/>
  <c r="Y402" i="1"/>
  <c r="Y369" i="1"/>
  <c r="Y364" i="1"/>
  <c r="Y365" i="1"/>
  <c r="Y362" i="1"/>
  <c r="Y367" i="1"/>
  <c r="Y370" i="1"/>
  <c r="Y363" i="1"/>
  <c r="Y366" i="1"/>
  <c r="Y306" i="1"/>
  <c r="Y307" i="1"/>
  <c r="Y385" i="1"/>
  <c r="Y386" i="1"/>
  <c r="Y392" i="1"/>
  <c r="Y394" i="1"/>
  <c r="Y395" i="1"/>
  <c r="Y393" i="1"/>
  <c r="Y396" i="1"/>
  <c r="Y397" i="1"/>
  <c r="Y330" i="1"/>
  <c r="Y332" i="1"/>
  <c r="Y351" i="1"/>
  <c r="Y376" i="1"/>
  <c r="Y401" i="1"/>
  <c r="Y275" i="1"/>
  <c r="Y295" i="1"/>
  <c r="Y323" i="1"/>
  <c r="Y341" i="1"/>
  <c r="Z225" i="1"/>
  <c r="Z268" i="1"/>
  <c r="Z266" i="1"/>
  <c r="Z278" i="1"/>
  <c r="Z300" i="1"/>
  <c r="Z333" i="1"/>
  <c r="Z355" i="1"/>
  <c r="Z380" i="1"/>
  <c r="Z379" i="1"/>
  <c r="Z389" i="1"/>
  <c r="Z403" i="1"/>
  <c r="Z226" i="1"/>
  <c r="Z257" i="1"/>
  <c r="Z277" i="1"/>
  <c r="Z299" i="1"/>
  <c r="Z329" i="1"/>
  <c r="Z352" i="1"/>
  <c r="Z378" i="1"/>
  <c r="Z383" i="1"/>
  <c r="Z316" i="1"/>
  <c r="Z315" i="1"/>
  <c r="Z308" i="1"/>
  <c r="Z314" i="1"/>
  <c r="Z309" i="1"/>
  <c r="Z311" i="1"/>
  <c r="Z310" i="1"/>
  <c r="Z313" i="1"/>
  <c r="Z319" i="1"/>
  <c r="Z215" i="1"/>
  <c r="Z216" i="1"/>
  <c r="Z217" i="1"/>
  <c r="Z269" i="1"/>
  <c r="Z289" i="1"/>
  <c r="Z350" i="1"/>
  <c r="Z358" i="1"/>
  <c r="Z381" i="1"/>
  <c r="Z398" i="1"/>
  <c r="Z402" i="1"/>
  <c r="Z369" i="1"/>
  <c r="Z364" i="1"/>
  <c r="Z365" i="1"/>
  <c r="Z362" i="1"/>
  <c r="Z367" i="1"/>
  <c r="Z370" i="1"/>
  <c r="Z363" i="1"/>
  <c r="Z366" i="1"/>
  <c r="Z306" i="1"/>
  <c r="Z307" i="1"/>
  <c r="Z385" i="1"/>
  <c r="Z386" i="1"/>
  <c r="Z392" i="1"/>
  <c r="Z394" i="1"/>
  <c r="Z395" i="1"/>
  <c r="Z393" i="1"/>
  <c r="Z396" i="1"/>
  <c r="Z397" i="1"/>
  <c r="Z330" i="1"/>
  <c r="Z332" i="1"/>
  <c r="Z351" i="1"/>
  <c r="Z376" i="1"/>
  <c r="Z401" i="1"/>
  <c r="Z275" i="1"/>
  <c r="Z295" i="1"/>
  <c r="Z323" i="1"/>
  <c r="Z341" i="1"/>
  <c r="S243" i="1"/>
  <c r="S267" i="1"/>
  <c r="S281" i="1"/>
  <c r="S302" i="1"/>
  <c r="S331" i="1"/>
  <c r="S353" i="1"/>
  <c r="S377" i="1"/>
  <c r="S390" i="1"/>
  <c r="S405" i="1"/>
  <c r="X243" i="1"/>
  <c r="AD243" i="1" s="1"/>
  <c r="X267" i="1"/>
  <c r="AD267" i="1" s="1"/>
  <c r="X281" i="1"/>
  <c r="AD281" i="1" s="1"/>
  <c r="X302" i="1"/>
  <c r="AD302" i="1" s="1"/>
  <c r="X331" i="1"/>
  <c r="AD331" i="1" s="1"/>
  <c r="Y243" i="1"/>
  <c r="Y267" i="1"/>
  <c r="Y281" i="1"/>
  <c r="Y302" i="1"/>
  <c r="Y331" i="1"/>
  <c r="Y353" i="1"/>
  <c r="Y377" i="1"/>
  <c r="Y390" i="1"/>
  <c r="Y405" i="1"/>
  <c r="Z243" i="1"/>
  <c r="Z267" i="1"/>
  <c r="Z281" i="1"/>
  <c r="Z302" i="1"/>
  <c r="Z331" i="1"/>
  <c r="Z353" i="1"/>
  <c r="Z377" i="1"/>
  <c r="Z390" i="1"/>
  <c r="Z405" i="1"/>
  <c r="S230" i="1"/>
  <c r="X230" i="1"/>
  <c r="AD230" i="1" s="1"/>
  <c r="Y230" i="1"/>
  <c r="Z230" i="1"/>
  <c r="S292" i="1"/>
  <c r="S288" i="1"/>
  <c r="S286" i="1"/>
  <c r="S283" i="1"/>
  <c r="S291" i="1"/>
  <c r="S290" i="1"/>
  <c r="S293" i="1"/>
  <c r="S285" i="1"/>
  <c r="S284" i="1"/>
  <c r="X292" i="1"/>
  <c r="AD292" i="1" s="1"/>
  <c r="X288" i="1"/>
  <c r="AD288" i="1" s="1"/>
  <c r="X286" i="1"/>
  <c r="AD286" i="1" s="1"/>
  <c r="X283" i="1"/>
  <c r="AD283" i="1" s="1"/>
  <c r="X291" i="1"/>
  <c r="AD291" i="1" s="1"/>
  <c r="X290" i="1"/>
  <c r="AD290" i="1" s="1"/>
  <c r="X293" i="1"/>
  <c r="AD293" i="1" s="1"/>
  <c r="X285" i="1"/>
  <c r="AD285" i="1" s="1"/>
  <c r="X284" i="1"/>
  <c r="AD284" i="1" s="1"/>
  <c r="Y292" i="1"/>
  <c r="Y288" i="1"/>
  <c r="Y286" i="1"/>
  <c r="Y283" i="1"/>
  <c r="Y291" i="1"/>
  <c r="Y290" i="1"/>
  <c r="Y293" i="1"/>
  <c r="Y285" i="1"/>
  <c r="Y284" i="1"/>
  <c r="Z292" i="1"/>
  <c r="Z288" i="1"/>
  <c r="Z286" i="1"/>
  <c r="Z283" i="1"/>
  <c r="Z291" i="1"/>
  <c r="Z290" i="1"/>
  <c r="Z293" i="1"/>
  <c r="Z285" i="1"/>
  <c r="Z284" i="1"/>
  <c r="S245" i="1"/>
  <c r="X245" i="1"/>
  <c r="AD245" i="1" s="1"/>
  <c r="Y245" i="1"/>
  <c r="Z245" i="1"/>
  <c r="S274" i="1"/>
  <c r="S303" i="1"/>
  <c r="S325" i="1"/>
  <c r="S340" i="1"/>
  <c r="S346" i="1"/>
  <c r="S338" i="1"/>
  <c r="S371" i="1"/>
  <c r="S387" i="1"/>
  <c r="X274" i="1"/>
  <c r="AD274" i="1" s="1"/>
  <c r="X303" i="1"/>
  <c r="AD303" i="1" s="1"/>
  <c r="X325" i="1"/>
  <c r="AD325" i="1" s="1"/>
  <c r="X340" i="1"/>
  <c r="AD340" i="1" s="1"/>
  <c r="X346" i="1"/>
  <c r="AD346" i="1" s="1"/>
  <c r="X338" i="1"/>
  <c r="AD338" i="1" s="1"/>
  <c r="Y274" i="1"/>
  <c r="Y303" i="1"/>
  <c r="Y325" i="1"/>
  <c r="Y340" i="1"/>
  <c r="Y346" i="1"/>
  <c r="Y338" i="1"/>
  <c r="Y371" i="1"/>
  <c r="Y387" i="1"/>
  <c r="Z274" i="1"/>
  <c r="Z303" i="1"/>
  <c r="Z325" i="1"/>
  <c r="Z340" i="1"/>
  <c r="Z346" i="1"/>
  <c r="Z338" i="1"/>
  <c r="Z371" i="1"/>
  <c r="Z387" i="1"/>
  <c r="S229" i="1"/>
  <c r="X229" i="1"/>
  <c r="AD229" i="1" s="1"/>
  <c r="Y229" i="1"/>
  <c r="Z229" i="1"/>
  <c r="S301" i="1"/>
  <c r="S322" i="1"/>
  <c r="S337" i="1"/>
  <c r="S335" i="1"/>
  <c r="S361" i="1"/>
  <c r="X301" i="1"/>
  <c r="AD301" i="1" s="1"/>
  <c r="X322" i="1"/>
  <c r="AD322" i="1" s="1"/>
  <c r="X337" i="1"/>
  <c r="AD337" i="1" s="1"/>
  <c r="X335" i="1"/>
  <c r="AD335" i="1" s="1"/>
  <c r="Y301" i="1"/>
  <c r="Y322" i="1"/>
  <c r="Y337" i="1"/>
  <c r="Y335" i="1"/>
  <c r="Y361" i="1"/>
  <c r="Z301" i="1"/>
  <c r="Z322" i="1"/>
  <c r="Z337" i="1"/>
  <c r="Z335" i="1"/>
  <c r="Z361" i="1"/>
  <c r="S382" i="1"/>
  <c r="S360" i="1"/>
  <c r="S228" i="1"/>
  <c r="S236" i="1"/>
  <c r="S251" i="1"/>
  <c r="S262" i="1"/>
  <c r="S258" i="1"/>
  <c r="S264" i="1"/>
  <c r="S253" i="1"/>
  <c r="S252" i="1"/>
  <c r="S255" i="1"/>
  <c r="S263" i="1"/>
  <c r="S256" i="1"/>
  <c r="S336" i="1"/>
  <c r="S224" i="1"/>
  <c r="S239" i="1"/>
  <c r="S237" i="1"/>
  <c r="S241" i="1"/>
  <c r="S240" i="1"/>
  <c r="S242" i="1"/>
  <c r="S265" i="1"/>
  <c r="S354" i="1"/>
  <c r="S357" i="1"/>
  <c r="S356" i="1"/>
  <c r="S222" i="1"/>
  <c r="S282" i="1"/>
  <c r="S294" i="1"/>
  <c r="S296" i="1"/>
  <c r="X228" i="1"/>
  <c r="AD228" i="1" s="1"/>
  <c r="X236" i="1"/>
  <c r="AD236" i="1" s="1"/>
  <c r="X251" i="1"/>
  <c r="AD251" i="1" s="1"/>
  <c r="X262" i="1"/>
  <c r="AD262" i="1" s="1"/>
  <c r="X258" i="1"/>
  <c r="AD258" i="1" s="1"/>
  <c r="X264" i="1"/>
  <c r="AD264" i="1" s="1"/>
  <c r="X253" i="1"/>
  <c r="AD253" i="1" s="1"/>
  <c r="X252" i="1"/>
  <c r="AD252" i="1" s="1"/>
  <c r="X255" i="1"/>
  <c r="AD255" i="1" s="1"/>
  <c r="X263" i="1"/>
  <c r="AD263" i="1" s="1"/>
  <c r="X256" i="1"/>
  <c r="AD256" i="1" s="1"/>
  <c r="X336" i="1"/>
  <c r="AD336" i="1" s="1"/>
  <c r="X224" i="1"/>
  <c r="AD224" i="1" s="1"/>
  <c r="X239" i="1"/>
  <c r="AD239" i="1" s="1"/>
  <c r="X237" i="1"/>
  <c r="AD237" i="1" s="1"/>
  <c r="X241" i="1"/>
  <c r="AD241" i="1" s="1"/>
  <c r="X240" i="1"/>
  <c r="AD240" i="1" s="1"/>
  <c r="X242" i="1"/>
  <c r="AD242" i="1" s="1"/>
  <c r="X265" i="1"/>
  <c r="AD265" i="1" s="1"/>
  <c r="X222" i="1"/>
  <c r="AD222" i="1" s="1"/>
  <c r="X282" i="1"/>
  <c r="AD282" i="1" s="1"/>
  <c r="X294" i="1"/>
  <c r="AD294" i="1" s="1"/>
  <c r="X296" i="1"/>
  <c r="AD296" i="1" s="1"/>
  <c r="Y382" i="1"/>
  <c r="Y360" i="1"/>
  <c r="Y228" i="1"/>
  <c r="Y236" i="1"/>
  <c r="Y251" i="1"/>
  <c r="Y262" i="1"/>
  <c r="Y258" i="1"/>
  <c r="Y264" i="1"/>
  <c r="Y253" i="1"/>
  <c r="Y252" i="1"/>
  <c r="Y255" i="1"/>
  <c r="Y263" i="1"/>
  <c r="Y256" i="1"/>
  <c r="Y336" i="1"/>
  <c r="Y224" i="1"/>
  <c r="Y239" i="1"/>
  <c r="Y237" i="1"/>
  <c r="Y241" i="1"/>
  <c r="Y240" i="1"/>
  <c r="Y242" i="1"/>
  <c r="Y265" i="1"/>
  <c r="Y354" i="1"/>
  <c r="Y357" i="1"/>
  <c r="Y356" i="1"/>
  <c r="Y222" i="1"/>
  <c r="Y282" i="1"/>
  <c r="Y294" i="1"/>
  <c r="Y296" i="1"/>
  <c r="Z382" i="1"/>
  <c r="Z360" i="1"/>
  <c r="Z228" i="1"/>
  <c r="Z236" i="1"/>
  <c r="Z251" i="1"/>
  <c r="Z262" i="1"/>
  <c r="Z258" i="1"/>
  <c r="Z264" i="1"/>
  <c r="Z253" i="1"/>
  <c r="Z252" i="1"/>
  <c r="Z255" i="1"/>
  <c r="Z263" i="1"/>
  <c r="Z256" i="1"/>
  <c r="Z336" i="1"/>
  <c r="Z224" i="1"/>
  <c r="Z239" i="1"/>
  <c r="Z237" i="1"/>
  <c r="Z241" i="1"/>
  <c r="Z240" i="1"/>
  <c r="Z242" i="1"/>
  <c r="Z265" i="1"/>
  <c r="Z354" i="1"/>
  <c r="Z357" i="1"/>
  <c r="Z356" i="1"/>
  <c r="Z222" i="1"/>
  <c r="Z282" i="1"/>
  <c r="Z294" i="1"/>
  <c r="Z296" i="1"/>
  <c r="S213" i="1"/>
  <c r="X213" i="1"/>
  <c r="AD213" i="1" s="1"/>
  <c r="Y213" i="1"/>
  <c r="Z213" i="1"/>
  <c r="S260" i="1"/>
  <c r="X260" i="1"/>
  <c r="AD260" i="1" s="1"/>
  <c r="Y260" i="1"/>
  <c r="Z260" i="1"/>
  <c r="S176" i="1"/>
  <c r="X176" i="1"/>
  <c r="AD176" i="1" s="1"/>
  <c r="Y176" i="1"/>
  <c r="Z176" i="1"/>
  <c r="S174" i="1"/>
  <c r="X174" i="1"/>
  <c r="AD174" i="1" s="1"/>
  <c r="Y174" i="1"/>
  <c r="Z174" i="1"/>
  <c r="S175" i="1"/>
  <c r="X175" i="1"/>
  <c r="AD175" i="1" s="1"/>
  <c r="Y175" i="1"/>
  <c r="Z175" i="1"/>
  <c r="S404" i="1"/>
  <c r="Y404" i="1"/>
  <c r="Z404" i="1"/>
  <c r="S388" i="1"/>
  <c r="Y388" i="1"/>
  <c r="Z388" i="1"/>
  <c r="S375" i="1"/>
  <c r="Y375" i="1"/>
  <c r="Z375" i="1"/>
  <c r="S343" i="1"/>
  <c r="X343" i="1"/>
  <c r="AD343" i="1" s="1"/>
  <c r="Y343" i="1"/>
  <c r="Z343" i="1"/>
  <c r="S339" i="1"/>
  <c r="X339" i="1"/>
  <c r="AD339" i="1" s="1"/>
  <c r="Y339" i="1"/>
  <c r="Z339" i="1"/>
  <c r="S324" i="1"/>
  <c r="X324" i="1"/>
  <c r="AD324" i="1" s="1"/>
  <c r="Y324" i="1"/>
  <c r="Z324" i="1"/>
  <c r="S298" i="1"/>
  <c r="X298" i="1"/>
  <c r="AD298" i="1" s="1"/>
  <c r="Y298" i="1"/>
  <c r="Z298" i="1"/>
  <c r="S276" i="1"/>
  <c r="X276" i="1"/>
  <c r="AD276" i="1" s="1"/>
  <c r="Y276" i="1"/>
  <c r="Z276" i="1"/>
  <c r="S244" i="1"/>
  <c r="X244" i="1"/>
  <c r="AD244" i="1" s="1"/>
  <c r="Y244" i="1"/>
  <c r="Z244" i="1"/>
  <c r="S227" i="1"/>
  <c r="X227" i="1"/>
  <c r="AD227" i="1" s="1"/>
  <c r="Y227" i="1"/>
  <c r="Z227" i="1"/>
  <c r="S342" i="1"/>
  <c r="S348" i="1"/>
  <c r="S344" i="1"/>
  <c r="S372" i="1"/>
  <c r="X342" i="1"/>
  <c r="AD342" i="1" s="1"/>
  <c r="X348" i="1"/>
  <c r="AD348" i="1" s="1"/>
  <c r="X344" i="1"/>
  <c r="AD344" i="1" s="1"/>
  <c r="Y342" i="1"/>
  <c r="Y348" i="1"/>
  <c r="Y344" i="1"/>
  <c r="Y372" i="1"/>
  <c r="Z342" i="1"/>
  <c r="Z348" i="1"/>
  <c r="Z344" i="1"/>
  <c r="Z372" i="1"/>
  <c r="S347" i="1"/>
  <c r="X347" i="1"/>
  <c r="AD347" i="1" s="1"/>
  <c r="Y347" i="1"/>
  <c r="Z347" i="1"/>
  <c r="S259" i="1"/>
  <c r="S250" i="1"/>
  <c r="S254" i="1"/>
  <c r="S280" i="1"/>
  <c r="X259" i="1"/>
  <c r="AD259" i="1" s="1"/>
  <c r="X250" i="1"/>
  <c r="AD250" i="1" s="1"/>
  <c r="X254" i="1"/>
  <c r="AD254" i="1" s="1"/>
  <c r="X280" i="1"/>
  <c r="AD280" i="1" s="1"/>
  <c r="Y259" i="1"/>
  <c r="Y250" i="1"/>
  <c r="Y254" i="1"/>
  <c r="Y280" i="1"/>
  <c r="Z259" i="1"/>
  <c r="Z250" i="1"/>
  <c r="Z254" i="1"/>
  <c r="Z280" i="1"/>
  <c r="S261" i="1"/>
  <c r="X261" i="1"/>
  <c r="AD261" i="1" s="1"/>
  <c r="Y261" i="1"/>
  <c r="Z261" i="1"/>
  <c r="S218" i="1"/>
  <c r="S232" i="1"/>
  <c r="S238" i="1"/>
  <c r="S272" i="1"/>
  <c r="S273" i="1"/>
  <c r="S320" i="1"/>
  <c r="S334" i="1"/>
  <c r="S368" i="1"/>
  <c r="S399" i="1"/>
  <c r="X218" i="1"/>
  <c r="AD218" i="1" s="1"/>
  <c r="X232" i="1"/>
  <c r="AD232" i="1" s="1"/>
  <c r="X238" i="1"/>
  <c r="AD238" i="1" s="1"/>
  <c r="X272" i="1"/>
  <c r="AD272" i="1" s="1"/>
  <c r="X273" i="1"/>
  <c r="AD273" i="1" s="1"/>
  <c r="X320" i="1"/>
  <c r="AD320" i="1" s="1"/>
  <c r="X334" i="1"/>
  <c r="AD334" i="1" s="1"/>
  <c r="Y218" i="1"/>
  <c r="Y232" i="1"/>
  <c r="Y238" i="1"/>
  <c r="Y272" i="1"/>
  <c r="Y273" i="1"/>
  <c r="Y320" i="1"/>
  <c r="Y334" i="1"/>
  <c r="Y368" i="1"/>
  <c r="Y399" i="1"/>
  <c r="Z218" i="1"/>
  <c r="Z232" i="1"/>
  <c r="Z238" i="1"/>
  <c r="Z272" i="1"/>
  <c r="Z273" i="1"/>
  <c r="Z320" i="1"/>
  <c r="Z334" i="1"/>
  <c r="Z368" i="1"/>
  <c r="Z399" i="1"/>
  <c r="S219" i="1"/>
  <c r="X219" i="1"/>
  <c r="AD219" i="1" s="1"/>
  <c r="Y219" i="1"/>
  <c r="Z219" i="1"/>
  <c r="S221" i="1"/>
  <c r="S234" i="1"/>
  <c r="S235" i="1"/>
  <c r="S297" i="1"/>
  <c r="S327" i="1"/>
  <c r="S328" i="1"/>
  <c r="S326" i="1"/>
  <c r="X221" i="1"/>
  <c r="AD221" i="1" s="1"/>
  <c r="X234" i="1"/>
  <c r="AD234" i="1" s="1"/>
  <c r="X235" i="1"/>
  <c r="AD235" i="1" s="1"/>
  <c r="X297" i="1"/>
  <c r="AD297" i="1" s="1"/>
  <c r="X327" i="1"/>
  <c r="AD327" i="1" s="1"/>
  <c r="X328" i="1"/>
  <c r="AD328" i="1" s="1"/>
  <c r="X326" i="1"/>
  <c r="AD326" i="1" s="1"/>
  <c r="Y221" i="1"/>
  <c r="Y234" i="1"/>
  <c r="Y235" i="1"/>
  <c r="Y297" i="1"/>
  <c r="Y327" i="1"/>
  <c r="Y328" i="1"/>
  <c r="Y326" i="1"/>
  <c r="Z221" i="1"/>
  <c r="Z234" i="1"/>
  <c r="Z235" i="1"/>
  <c r="Z297" i="1"/>
  <c r="Z327" i="1"/>
  <c r="Z328" i="1"/>
  <c r="Z326" i="1"/>
  <c r="S220" i="1"/>
  <c r="X220" i="1"/>
  <c r="AD220" i="1" s="1"/>
  <c r="Y220" i="1"/>
  <c r="Z220" i="1"/>
  <c r="X3" i="1"/>
  <c r="AD3" i="1" s="1"/>
  <c r="X4" i="1"/>
  <c r="AD4" i="1" s="1"/>
  <c r="X5" i="1"/>
  <c r="AD5" i="1" s="1"/>
  <c r="X6" i="1"/>
  <c r="AD6" i="1" s="1"/>
  <c r="X7" i="1"/>
  <c r="AD7" i="1" s="1"/>
  <c r="X8" i="1"/>
  <c r="AD8" i="1" s="1"/>
  <c r="X9" i="1"/>
  <c r="AD9" i="1" s="1"/>
  <c r="X10" i="1"/>
  <c r="AD10" i="1" s="1"/>
  <c r="X11" i="1"/>
  <c r="AD11" i="1" s="1"/>
  <c r="X12" i="1"/>
  <c r="AD12" i="1" s="1"/>
  <c r="X13" i="1"/>
  <c r="AD13" i="1" s="1"/>
  <c r="X14" i="1"/>
  <c r="AD14" i="1" s="1"/>
  <c r="X15" i="1"/>
  <c r="AD15" i="1" s="1"/>
  <c r="X16" i="1"/>
  <c r="AD16" i="1" s="1"/>
  <c r="X17" i="1"/>
  <c r="AD17" i="1" s="1"/>
  <c r="X18" i="1"/>
  <c r="AD18" i="1" s="1"/>
  <c r="X19" i="1"/>
  <c r="AD19" i="1" s="1"/>
  <c r="X20" i="1"/>
  <c r="AD20" i="1" s="1"/>
  <c r="X21" i="1"/>
  <c r="AD21" i="1" s="1"/>
  <c r="X22" i="1"/>
  <c r="AD22" i="1" s="1"/>
  <c r="X23" i="1"/>
  <c r="AD23" i="1" s="1"/>
  <c r="X24" i="1"/>
  <c r="AD24" i="1" s="1"/>
  <c r="X25" i="1"/>
  <c r="AD25" i="1" s="1"/>
  <c r="X26" i="1"/>
  <c r="AD26" i="1" s="1"/>
  <c r="X27" i="1"/>
  <c r="AD27" i="1" s="1"/>
  <c r="X28" i="1"/>
  <c r="AD28" i="1" s="1"/>
  <c r="X29" i="1"/>
  <c r="AD29" i="1" s="1"/>
  <c r="X30" i="1"/>
  <c r="AD30" i="1" s="1"/>
  <c r="X31" i="1"/>
  <c r="AD31" i="1" s="1"/>
  <c r="X32" i="1"/>
  <c r="AD32" i="1" s="1"/>
  <c r="X33" i="1"/>
  <c r="AD33" i="1" s="1"/>
  <c r="X34" i="1"/>
  <c r="AD34" i="1" s="1"/>
  <c r="X35" i="1"/>
  <c r="AD35" i="1" s="1"/>
  <c r="X36" i="1"/>
  <c r="AD36" i="1" s="1"/>
  <c r="X37" i="1"/>
  <c r="AD37" i="1" s="1"/>
  <c r="X38" i="1"/>
  <c r="AD38" i="1" s="1"/>
  <c r="X39" i="1"/>
  <c r="AD39" i="1" s="1"/>
  <c r="X40" i="1"/>
  <c r="AD40" i="1" s="1"/>
  <c r="X41" i="1"/>
  <c r="AD41" i="1" s="1"/>
  <c r="X42" i="1"/>
  <c r="AD42" i="1" s="1"/>
  <c r="X43" i="1"/>
  <c r="AD43" i="1" s="1"/>
  <c r="X44" i="1"/>
  <c r="AD44" i="1" s="1"/>
  <c r="X45" i="1"/>
  <c r="AD45" i="1" s="1"/>
  <c r="X46" i="1"/>
  <c r="AD46" i="1" s="1"/>
  <c r="X47" i="1"/>
  <c r="AD47" i="1" s="1"/>
  <c r="X48" i="1"/>
  <c r="AD48" i="1" s="1"/>
  <c r="X49" i="1"/>
  <c r="AD49" i="1" s="1"/>
  <c r="X50" i="1"/>
  <c r="AD50" i="1" s="1"/>
  <c r="X51" i="1"/>
  <c r="AD51" i="1" s="1"/>
  <c r="X52" i="1"/>
  <c r="AD52" i="1" s="1"/>
  <c r="X53" i="1"/>
  <c r="AD53" i="1" s="1"/>
  <c r="X54" i="1"/>
  <c r="AD54" i="1" s="1"/>
  <c r="X55" i="1"/>
  <c r="AD55" i="1" s="1"/>
  <c r="X56" i="1"/>
  <c r="AD56" i="1" s="1"/>
  <c r="X57" i="1"/>
  <c r="AD57" i="1" s="1"/>
  <c r="X58" i="1"/>
  <c r="AD58" i="1" s="1"/>
  <c r="X59" i="1"/>
  <c r="AD59" i="1" s="1"/>
  <c r="X60" i="1"/>
  <c r="AD60" i="1" s="1"/>
  <c r="X61" i="1"/>
  <c r="AD61" i="1" s="1"/>
  <c r="X62" i="1"/>
  <c r="AD62" i="1" s="1"/>
  <c r="X63" i="1"/>
  <c r="AD63" i="1" s="1"/>
  <c r="X64" i="1"/>
  <c r="AD64" i="1" s="1"/>
  <c r="X65" i="1"/>
  <c r="AD65" i="1" s="1"/>
  <c r="X66" i="1"/>
  <c r="AD66" i="1" s="1"/>
  <c r="X67" i="1"/>
  <c r="AD67" i="1" s="1"/>
  <c r="X68" i="1"/>
  <c r="AD68" i="1" s="1"/>
  <c r="X69" i="1"/>
  <c r="AD69" i="1" s="1"/>
  <c r="X70" i="1"/>
  <c r="AD70" i="1" s="1"/>
  <c r="X71" i="1"/>
  <c r="AD71" i="1" s="1"/>
  <c r="X72" i="1"/>
  <c r="AD72" i="1" s="1"/>
  <c r="X73" i="1"/>
  <c r="AD73" i="1" s="1"/>
  <c r="X74" i="1"/>
  <c r="AD74" i="1" s="1"/>
  <c r="X75" i="1"/>
  <c r="AD75" i="1" s="1"/>
  <c r="X76" i="1"/>
  <c r="AD76" i="1" s="1"/>
  <c r="X77" i="1"/>
  <c r="AD77" i="1" s="1"/>
  <c r="X78" i="1"/>
  <c r="AD78" i="1" s="1"/>
  <c r="X79" i="1"/>
  <c r="AD79" i="1" s="1"/>
  <c r="X81" i="1"/>
  <c r="AD81" i="1" s="1"/>
  <c r="X82" i="1"/>
  <c r="AD82" i="1" s="1"/>
  <c r="X83" i="1"/>
  <c r="AD83" i="1" s="1"/>
  <c r="X84" i="1"/>
  <c r="AD84" i="1" s="1"/>
  <c r="X85" i="1"/>
  <c r="AD85" i="1" s="1"/>
  <c r="X87" i="1"/>
  <c r="AD87" i="1" s="1"/>
  <c r="X88" i="1"/>
  <c r="AD88" i="1" s="1"/>
  <c r="X89" i="1"/>
  <c r="AD89" i="1" s="1"/>
  <c r="X90" i="1"/>
  <c r="AD90" i="1" s="1"/>
  <c r="X91" i="1"/>
  <c r="AD91" i="1" s="1"/>
  <c r="X92" i="1"/>
  <c r="AD92" i="1" s="1"/>
  <c r="X93" i="1"/>
  <c r="AD93" i="1" s="1"/>
  <c r="X94" i="1"/>
  <c r="AD94" i="1" s="1"/>
  <c r="X95" i="1"/>
  <c r="AD95" i="1" s="1"/>
  <c r="X96" i="1"/>
  <c r="AD96" i="1" s="1"/>
  <c r="X97" i="1"/>
  <c r="AD97" i="1" s="1"/>
  <c r="X98" i="1"/>
  <c r="AD98" i="1" s="1"/>
  <c r="X99" i="1"/>
  <c r="AD99" i="1" s="1"/>
  <c r="X100" i="1"/>
  <c r="AD100" i="1" s="1"/>
  <c r="X101" i="1"/>
  <c r="AD101" i="1" s="1"/>
  <c r="X102" i="1"/>
  <c r="AD102" i="1" s="1"/>
  <c r="X103" i="1"/>
  <c r="AD103" i="1" s="1"/>
  <c r="X104" i="1"/>
  <c r="AD104" i="1" s="1"/>
  <c r="X105" i="1"/>
  <c r="AD105" i="1" s="1"/>
  <c r="X106" i="1"/>
  <c r="AD106" i="1" s="1"/>
  <c r="X107" i="1"/>
  <c r="AD107" i="1" s="1"/>
  <c r="X108" i="1"/>
  <c r="AD108" i="1" s="1"/>
  <c r="X109" i="1"/>
  <c r="AD109" i="1" s="1"/>
  <c r="X110" i="1"/>
  <c r="AD110" i="1" s="1"/>
  <c r="X111" i="1"/>
  <c r="AD111" i="1" s="1"/>
  <c r="X112" i="1"/>
  <c r="AD112" i="1" s="1"/>
  <c r="X113" i="1"/>
  <c r="AD113" i="1" s="1"/>
  <c r="X114" i="1"/>
  <c r="AD114" i="1" s="1"/>
  <c r="X115" i="1"/>
  <c r="AD115" i="1" s="1"/>
  <c r="X116" i="1"/>
  <c r="AD116" i="1" s="1"/>
  <c r="X117" i="1"/>
  <c r="AD117" i="1" s="1"/>
  <c r="X118" i="1"/>
  <c r="AD118" i="1" s="1"/>
  <c r="X119" i="1"/>
  <c r="AD119" i="1" s="1"/>
  <c r="X120" i="1"/>
  <c r="AD120" i="1" s="1"/>
  <c r="X121" i="1"/>
  <c r="AD121" i="1" s="1"/>
  <c r="X122" i="1"/>
  <c r="AD122" i="1" s="1"/>
  <c r="X123" i="1"/>
  <c r="AD123" i="1" s="1"/>
  <c r="X124" i="1"/>
  <c r="AD124" i="1" s="1"/>
  <c r="X125" i="1"/>
  <c r="AD125" i="1" s="1"/>
  <c r="X126" i="1"/>
  <c r="AD126" i="1" s="1"/>
  <c r="X127" i="1"/>
  <c r="AD127" i="1" s="1"/>
  <c r="X128" i="1"/>
  <c r="AD128" i="1" s="1"/>
  <c r="X129" i="1"/>
  <c r="AD129" i="1" s="1"/>
  <c r="X130" i="1"/>
  <c r="AD130" i="1" s="1"/>
  <c r="X131" i="1"/>
  <c r="AD131" i="1" s="1"/>
  <c r="X132" i="1"/>
  <c r="AD132" i="1" s="1"/>
  <c r="X133" i="1"/>
  <c r="AD133" i="1" s="1"/>
  <c r="X134" i="1"/>
  <c r="AD134" i="1" s="1"/>
  <c r="X135" i="1"/>
  <c r="AD135" i="1" s="1"/>
  <c r="X136" i="1"/>
  <c r="AD136" i="1" s="1"/>
  <c r="X137" i="1"/>
  <c r="AD137" i="1" s="1"/>
  <c r="X138" i="1"/>
  <c r="AD138" i="1" s="1"/>
  <c r="X139" i="1"/>
  <c r="AD139" i="1" s="1"/>
  <c r="X140" i="1"/>
  <c r="AD140" i="1" s="1"/>
  <c r="X141" i="1"/>
  <c r="AD141" i="1" s="1"/>
  <c r="X142" i="1"/>
  <c r="AD142" i="1" s="1"/>
  <c r="X143" i="1"/>
  <c r="AD143" i="1" s="1"/>
  <c r="X144" i="1"/>
  <c r="AD144" i="1" s="1"/>
  <c r="X145" i="1"/>
  <c r="AD145" i="1" s="1"/>
  <c r="X146" i="1"/>
  <c r="AD146" i="1" s="1"/>
  <c r="X147" i="1"/>
  <c r="AD147" i="1" s="1"/>
  <c r="X148" i="1"/>
  <c r="AD148" i="1" s="1"/>
  <c r="X149" i="1"/>
  <c r="AD149" i="1" s="1"/>
  <c r="X150" i="1"/>
  <c r="AD150" i="1" s="1"/>
  <c r="X151" i="1"/>
  <c r="AD151" i="1" s="1"/>
  <c r="X152" i="1"/>
  <c r="AD152" i="1" s="1"/>
  <c r="X153" i="1"/>
  <c r="AD153" i="1" s="1"/>
  <c r="X154" i="1"/>
  <c r="AD154" i="1" s="1"/>
  <c r="X155" i="1"/>
  <c r="AD155" i="1" s="1"/>
  <c r="X156" i="1"/>
  <c r="AD156" i="1" s="1"/>
  <c r="X157" i="1"/>
  <c r="AD157" i="1" s="1"/>
  <c r="X158" i="1"/>
  <c r="AD158" i="1" s="1"/>
  <c r="X159" i="1"/>
  <c r="AD159" i="1" s="1"/>
  <c r="X160" i="1"/>
  <c r="AD160" i="1" s="1"/>
  <c r="X161" i="1"/>
  <c r="AD161" i="1" s="1"/>
  <c r="X162" i="1"/>
  <c r="AD162" i="1" s="1"/>
  <c r="X163" i="1"/>
  <c r="AD163" i="1" s="1"/>
  <c r="X164" i="1"/>
  <c r="AD164" i="1" s="1"/>
  <c r="X165" i="1"/>
  <c r="AD165" i="1" s="1"/>
  <c r="X166" i="1"/>
  <c r="AD166" i="1" s="1"/>
  <c r="X167" i="1"/>
  <c r="AD167" i="1" s="1"/>
  <c r="X168" i="1"/>
  <c r="AD168" i="1" s="1"/>
  <c r="X169" i="1"/>
  <c r="AD169" i="1" s="1"/>
  <c r="X170" i="1"/>
  <c r="AD170" i="1" s="1"/>
  <c r="X171" i="1"/>
  <c r="AD171" i="1" s="1"/>
  <c r="X172" i="1"/>
  <c r="AD172" i="1" s="1"/>
  <c r="X173" i="1"/>
  <c r="AD173" i="1" s="1"/>
  <c r="X177" i="1"/>
  <c r="AD177" i="1" s="1"/>
  <c r="X178" i="1"/>
  <c r="AD178" i="1" s="1"/>
  <c r="X179" i="1"/>
  <c r="AD179" i="1" s="1"/>
  <c r="X180" i="1"/>
  <c r="AD180" i="1" s="1"/>
  <c r="X181" i="1"/>
  <c r="AD181" i="1" s="1"/>
  <c r="X182" i="1"/>
  <c r="AD182" i="1" s="1"/>
  <c r="X183" i="1"/>
  <c r="AD183" i="1" s="1"/>
  <c r="X184" i="1"/>
  <c r="AD184" i="1" s="1"/>
  <c r="X185" i="1"/>
  <c r="AD185" i="1" s="1"/>
  <c r="X186" i="1"/>
  <c r="AD186" i="1" s="1"/>
  <c r="X187" i="1"/>
  <c r="AD187" i="1" s="1"/>
  <c r="X188" i="1"/>
  <c r="AD188" i="1" s="1"/>
  <c r="X192" i="1"/>
  <c r="AD192" i="1" s="1"/>
  <c r="X189" i="1"/>
  <c r="AD189" i="1" s="1"/>
  <c r="X190" i="1"/>
  <c r="AD190" i="1" s="1"/>
  <c r="X191" i="1"/>
  <c r="AD191" i="1" s="1"/>
  <c r="X194" i="1"/>
  <c r="AD194" i="1" s="1"/>
  <c r="X193" i="1"/>
  <c r="AD193" i="1" s="1"/>
  <c r="X195" i="1"/>
  <c r="AD195" i="1" s="1"/>
  <c r="X196" i="1"/>
  <c r="AD196" i="1" s="1"/>
  <c r="X197" i="1"/>
  <c r="AD197" i="1" s="1"/>
  <c r="X198" i="1"/>
  <c r="AD198" i="1" s="1"/>
  <c r="X199" i="1"/>
  <c r="AD199" i="1" s="1"/>
  <c r="X200" i="1"/>
  <c r="AD200" i="1" s="1"/>
  <c r="X201" i="1"/>
  <c r="AD201" i="1" s="1"/>
  <c r="X202" i="1"/>
  <c r="AD202" i="1" s="1"/>
  <c r="X203" i="1"/>
  <c r="AD203" i="1" s="1"/>
  <c r="X204" i="1"/>
  <c r="AD204" i="1" s="1"/>
  <c r="X205" i="1"/>
  <c r="AD205" i="1" s="1"/>
  <c r="X206" i="1"/>
  <c r="AD206" i="1" s="1"/>
  <c r="X207" i="1"/>
  <c r="AD207" i="1" s="1"/>
  <c r="X208" i="1"/>
  <c r="AD208" i="1" s="1"/>
  <c r="X209" i="1"/>
  <c r="AD209" i="1" s="1"/>
  <c r="X210" i="1"/>
  <c r="AD210" i="1" s="1"/>
  <c r="X211" i="1"/>
  <c r="AD211" i="1" s="1"/>
  <c r="X212" i="1"/>
  <c r="AD212" i="1" s="1"/>
  <c r="X214" i="1"/>
  <c r="AD214" i="1" s="1"/>
  <c r="X223" i="1"/>
  <c r="AD223" i="1" s="1"/>
  <c r="X231" i="1"/>
  <c r="AD231" i="1" s="1"/>
  <c r="X247" i="1"/>
  <c r="AD247" i="1" s="1"/>
  <c r="X248" i="1"/>
  <c r="AD248" i="1" s="1"/>
  <c r="X249" i="1"/>
  <c r="AD249" i="1" s="1"/>
  <c r="X270" i="1"/>
  <c r="AD270" i="1" s="1"/>
  <c r="X271" i="1"/>
  <c r="AD271" i="1" s="1"/>
  <c r="X279" i="1"/>
  <c r="AD279" i="1" s="1"/>
  <c r="X287" i="1"/>
  <c r="AD287" i="1" s="1"/>
  <c r="X304" i="1"/>
  <c r="AD304" i="1" s="1"/>
  <c r="X349" i="1"/>
  <c r="AD349" i="1" s="1"/>
  <c r="S168" i="1"/>
  <c r="S70" i="1"/>
  <c r="S65" i="1"/>
  <c r="S71" i="1"/>
  <c r="S11" i="1"/>
  <c r="S13" i="1"/>
  <c r="S177" i="1"/>
  <c r="S54" i="1"/>
  <c r="S18" i="1"/>
  <c r="S154" i="1"/>
  <c r="S157" i="1"/>
  <c r="S304" i="1"/>
  <c r="S66" i="1"/>
  <c r="S159" i="1"/>
  <c r="S391" i="1"/>
  <c r="S50" i="1"/>
  <c r="S8" i="1"/>
  <c r="S22" i="1"/>
  <c r="S112" i="1"/>
  <c r="S72" i="1"/>
  <c r="S141" i="1"/>
  <c r="S223" i="1"/>
  <c r="S178" i="1"/>
  <c r="S63" i="1"/>
  <c r="S179" i="1"/>
  <c r="S138" i="1"/>
  <c r="S130" i="1"/>
  <c r="S139" i="1"/>
  <c r="S9" i="1"/>
  <c r="S88" i="1"/>
  <c r="S128" i="1"/>
  <c r="S73" i="1"/>
  <c r="S140" i="1"/>
  <c r="S26" i="1"/>
  <c r="S137" i="1"/>
  <c r="S23" i="1"/>
  <c r="S49" i="1"/>
  <c r="S35" i="1"/>
  <c r="S208" i="1"/>
  <c r="S124" i="1"/>
  <c r="S67" i="1"/>
  <c r="S42" i="1"/>
  <c r="S206" i="1"/>
  <c r="S162" i="1"/>
  <c r="S14" i="1"/>
  <c r="S270" i="1"/>
  <c r="S74" i="1"/>
  <c r="S207" i="1"/>
  <c r="S180" i="1"/>
  <c r="S120" i="1"/>
  <c r="S172" i="1"/>
  <c r="S181" i="1"/>
  <c r="S75" i="1"/>
  <c r="S100" i="1"/>
  <c r="S51" i="1"/>
  <c r="S5" i="1"/>
  <c r="S101" i="1"/>
  <c r="S182" i="1"/>
  <c r="S76" i="1"/>
  <c r="S77" i="1"/>
  <c r="S39" i="1"/>
  <c r="S7" i="1"/>
  <c r="S78" i="1"/>
  <c r="S183" i="1"/>
  <c r="S32" i="1"/>
  <c r="S27" i="1"/>
  <c r="S131" i="1"/>
  <c r="S43" i="1"/>
  <c r="S184" i="1"/>
  <c r="S102" i="1"/>
  <c r="S28" i="1"/>
  <c r="S110" i="1"/>
  <c r="S79" i="1"/>
  <c r="S163" i="1"/>
  <c r="S166" i="1"/>
  <c r="S121" i="1"/>
  <c r="S287" i="1"/>
  <c r="S38" i="1"/>
  <c r="S185" i="1"/>
  <c r="S103" i="1"/>
  <c r="S12" i="1"/>
  <c r="S40" i="1"/>
  <c r="S68" i="1"/>
  <c r="S36" i="1"/>
  <c r="S186" i="1"/>
  <c r="S104" i="1"/>
  <c r="S247" i="1"/>
  <c r="S349" i="1"/>
  <c r="S105" i="1"/>
  <c r="S145" i="1"/>
  <c r="S55" i="1"/>
  <c r="S187" i="1"/>
  <c r="S94" i="1"/>
  <c r="S146" i="1"/>
  <c r="S188" i="1"/>
  <c r="S147" i="1"/>
  <c r="S231" i="1"/>
  <c r="S132" i="1"/>
  <c r="S133" i="1"/>
  <c r="S192" i="1"/>
  <c r="S189" i="1"/>
  <c r="S190" i="1"/>
  <c r="S106" i="1"/>
  <c r="S191" i="1"/>
  <c r="S93" i="1"/>
  <c r="S142" i="1"/>
  <c r="S125" i="1"/>
  <c r="S86" i="1"/>
  <c r="S134" i="1"/>
  <c r="S113" i="1"/>
  <c r="S209" i="1"/>
  <c r="S56" i="1"/>
  <c r="S135" i="1"/>
  <c r="S143" i="1"/>
  <c r="S114" i="1"/>
  <c r="S3" i="1"/>
  <c r="S148" i="1"/>
  <c r="S98" i="1"/>
  <c r="S248" i="1"/>
  <c r="S44" i="1"/>
  <c r="S21" i="1"/>
  <c r="S144" i="1"/>
  <c r="S155" i="1"/>
  <c r="S10" i="1"/>
  <c r="S109" i="1"/>
  <c r="S57" i="1"/>
  <c r="S194" i="1"/>
  <c r="S193" i="1"/>
  <c r="S92" i="1"/>
  <c r="S25" i="1"/>
  <c r="S64" i="1"/>
  <c r="S69" i="1"/>
  <c r="S33" i="1"/>
  <c r="S118" i="1"/>
  <c r="S149" i="1"/>
  <c r="S126" i="1"/>
  <c r="S80" i="1"/>
  <c r="S45" i="1"/>
  <c r="S167" i="1"/>
  <c r="S111" i="1"/>
  <c r="S195" i="1"/>
  <c r="S46" i="1"/>
  <c r="S87" i="1"/>
  <c r="S196" i="1"/>
  <c r="S30" i="1"/>
  <c r="S34" i="1"/>
  <c r="S58" i="1"/>
  <c r="S108" i="1"/>
  <c r="S214" i="1"/>
  <c r="S197" i="1"/>
  <c r="S170" i="1"/>
  <c r="S47" i="1"/>
  <c r="S81" i="1"/>
  <c r="S107" i="1"/>
  <c r="S82" i="1"/>
  <c r="S198" i="1"/>
  <c r="S90" i="1"/>
  <c r="S6" i="1"/>
  <c r="S169" i="1"/>
  <c r="S122" i="1"/>
  <c r="S117" i="1"/>
  <c r="S24" i="1"/>
  <c r="S19" i="1"/>
  <c r="S165" i="1"/>
  <c r="S59" i="1"/>
  <c r="S99" i="1"/>
  <c r="S150" i="1"/>
  <c r="S89" i="1"/>
  <c r="S210" i="1"/>
  <c r="S249" i="1"/>
  <c r="S279" i="1"/>
  <c r="S127" i="1"/>
  <c r="S160" i="1"/>
  <c r="S60" i="1"/>
  <c r="S151" i="1"/>
  <c r="S61" i="1"/>
  <c r="S136" i="1"/>
  <c r="S95" i="1"/>
  <c r="S83" i="1"/>
  <c r="S15" i="1"/>
  <c r="S2" i="1"/>
  <c r="S171" i="1"/>
  <c r="S199" i="1"/>
  <c r="S37" i="1"/>
  <c r="S84" i="1"/>
  <c r="S129" i="1"/>
  <c r="S200" i="1"/>
  <c r="S211" i="1"/>
  <c r="S161" i="1"/>
  <c r="S158" i="1"/>
  <c r="S52" i="1"/>
  <c r="S16" i="1"/>
  <c r="S29" i="1"/>
  <c r="S152" i="1"/>
  <c r="S4" i="1"/>
  <c r="S271" i="1"/>
  <c r="S53" i="1"/>
  <c r="S96" i="1"/>
  <c r="S156" i="1"/>
  <c r="S201" i="1"/>
  <c r="S212" i="1"/>
  <c r="S20" i="1"/>
  <c r="S85" i="1"/>
  <c r="S97" i="1"/>
  <c r="S115" i="1"/>
  <c r="S91" i="1"/>
  <c r="S202" i="1"/>
  <c r="S406" i="1"/>
  <c r="S203" i="1"/>
  <c r="S116" i="1"/>
  <c r="S62" i="1"/>
  <c r="S31" i="1"/>
  <c r="S123" i="1"/>
  <c r="S119" i="1"/>
  <c r="S204" i="1"/>
  <c r="S48" i="1"/>
  <c r="S17" i="1"/>
  <c r="S205" i="1"/>
  <c r="S153" i="1"/>
  <c r="S374" i="1"/>
  <c r="S173" i="1"/>
  <c r="S41" i="1"/>
  <c r="S164" i="1"/>
  <c r="Y248" i="1"/>
  <c r="Y247" i="1"/>
  <c r="Y249" i="1"/>
  <c r="Y279" i="1"/>
  <c r="Y349" i="1"/>
  <c r="Y374" i="1"/>
  <c r="Z248" i="1"/>
  <c r="Z247" i="1"/>
  <c r="Z249" i="1"/>
  <c r="Z279" i="1"/>
  <c r="Z349" i="1"/>
  <c r="Z374" i="1"/>
  <c r="Y223" i="1"/>
  <c r="Z223" i="1"/>
  <c r="Y207" i="1"/>
  <c r="Z207" i="1"/>
  <c r="Y204" i="1"/>
  <c r="Y192" i="1"/>
  <c r="Y183" i="1"/>
  <c r="Y191" i="1"/>
  <c r="Y182" i="1"/>
  <c r="Y203" i="1"/>
  <c r="Y200" i="1"/>
  <c r="Y190" i="1"/>
  <c r="Y189" i="1"/>
  <c r="Y202" i="1"/>
  <c r="Y187" i="1"/>
  <c r="Z204" i="1"/>
  <c r="Z192" i="1"/>
  <c r="Z183" i="1"/>
  <c r="Z191" i="1"/>
  <c r="Z182" i="1"/>
  <c r="Z203" i="1"/>
  <c r="Z200" i="1"/>
  <c r="Z190" i="1"/>
  <c r="Z189" i="1"/>
  <c r="Z202" i="1"/>
  <c r="Z187" i="1"/>
  <c r="Y188" i="1"/>
  <c r="Z188" i="1"/>
  <c r="Y193" i="1"/>
  <c r="Y196" i="1"/>
  <c r="Y181" i="1"/>
  <c r="Y184" i="1"/>
  <c r="Y185" i="1"/>
  <c r="Y177" i="1"/>
  <c r="Y195" i="1"/>
  <c r="Y179" i="1"/>
  <c r="Y205" i="1"/>
  <c r="Y198" i="1"/>
  <c r="Y206" i="1"/>
  <c r="Z193" i="1"/>
  <c r="Z196" i="1"/>
  <c r="Z181" i="1"/>
  <c r="Z184" i="1"/>
  <c r="Z185" i="1"/>
  <c r="Z177" i="1"/>
  <c r="Z195" i="1"/>
  <c r="Z179" i="1"/>
  <c r="Z205" i="1"/>
  <c r="Z198" i="1"/>
  <c r="Z206" i="1"/>
  <c r="Y186" i="1"/>
  <c r="Z186" i="1"/>
  <c r="Y211" i="1"/>
  <c r="Y208" i="1"/>
  <c r="Y212" i="1"/>
  <c r="Y209" i="1"/>
  <c r="Y214" i="1"/>
  <c r="Z211" i="1"/>
  <c r="Z208" i="1"/>
  <c r="Z212" i="1"/>
  <c r="Z209" i="1"/>
  <c r="Z214" i="1"/>
  <c r="Y210" i="1"/>
  <c r="Z210" i="1"/>
  <c r="Y180" i="1"/>
  <c r="Y199" i="1"/>
  <c r="Y194" i="1"/>
  <c r="Y178" i="1"/>
  <c r="Y197" i="1"/>
  <c r="Z180" i="1"/>
  <c r="Z199" i="1"/>
  <c r="Z194" i="1"/>
  <c r="Z178" i="1"/>
  <c r="Z197" i="1"/>
  <c r="Y201" i="1"/>
  <c r="Z201" i="1"/>
  <c r="Z6" i="1"/>
  <c r="Z20" i="1"/>
  <c r="Z21" i="1"/>
  <c r="Z23" i="1"/>
  <c r="Z25" i="1"/>
  <c r="Z28" i="1"/>
  <c r="Z44" i="1"/>
  <c r="Z52" i="1"/>
  <c r="Z53" i="1"/>
  <c r="Z58" i="1"/>
  <c r="Z80" i="1"/>
  <c r="Z77" i="1"/>
  <c r="Z85" i="1"/>
  <c r="Z86" i="1"/>
  <c r="Z102" i="1"/>
  <c r="Z110" i="1"/>
  <c r="Z123" i="1"/>
  <c r="Z124" i="1"/>
  <c r="Z134" i="1"/>
  <c r="Z133" i="1"/>
  <c r="Z131" i="1"/>
  <c r="Z156" i="1"/>
  <c r="Z165" i="1"/>
  <c r="Z166" i="1"/>
  <c r="Z271" i="1"/>
  <c r="Z15" i="1"/>
  <c r="Z19" i="1"/>
  <c r="Z27" i="1"/>
  <c r="Z57" i="1"/>
  <c r="Z60" i="1"/>
  <c r="Z54" i="1"/>
  <c r="Z74" i="1"/>
  <c r="Z112" i="1"/>
  <c r="Z121" i="1"/>
  <c r="Z132" i="1"/>
  <c r="Z136" i="1"/>
  <c r="Z142" i="1"/>
  <c r="Z150" i="1"/>
  <c r="Z149" i="1"/>
  <c r="Z2" i="1"/>
  <c r="Z3" i="1"/>
  <c r="Z4" i="1"/>
  <c r="Z5" i="1"/>
  <c r="Z7" i="1"/>
  <c r="Z8" i="1"/>
  <c r="Z9" i="1"/>
  <c r="Z10" i="1"/>
  <c r="Z11" i="1"/>
  <c r="Z12" i="1"/>
  <c r="Z13" i="1"/>
  <c r="Z14" i="1"/>
  <c r="Z17" i="1"/>
  <c r="Z16" i="1"/>
  <c r="Z18" i="1"/>
  <c r="Z22" i="1"/>
  <c r="Z24" i="1"/>
  <c r="Z26" i="1"/>
  <c r="Z29" i="1"/>
  <c r="Z30" i="1"/>
  <c r="Z31" i="1"/>
  <c r="Z32" i="1"/>
  <c r="Z33" i="1"/>
  <c r="Z34" i="1"/>
  <c r="Z35" i="1"/>
  <c r="Z36" i="1"/>
  <c r="Z37" i="1"/>
  <c r="Z38" i="1"/>
  <c r="Z40" i="1"/>
  <c r="Z41" i="1"/>
  <c r="Z39" i="1"/>
  <c r="Z46" i="1"/>
  <c r="Z43" i="1"/>
  <c r="Z47" i="1"/>
  <c r="Z45" i="1"/>
  <c r="Z48" i="1"/>
  <c r="Z42" i="1"/>
  <c r="Z49" i="1"/>
  <c r="Z50" i="1"/>
  <c r="Z51" i="1"/>
  <c r="Z61" i="1"/>
  <c r="Z55" i="1"/>
  <c r="Z56" i="1"/>
  <c r="Z59" i="1"/>
  <c r="Z62" i="1"/>
  <c r="Z63" i="1"/>
  <c r="Z64" i="1"/>
  <c r="Z65" i="1"/>
  <c r="Z69" i="1"/>
  <c r="Z68" i="1"/>
  <c r="Z66" i="1"/>
  <c r="Z67" i="1"/>
  <c r="Z79" i="1"/>
  <c r="Z75" i="1"/>
  <c r="Z81" i="1"/>
  <c r="Z72" i="1"/>
  <c r="Z76" i="1"/>
  <c r="Z82" i="1"/>
  <c r="Z83" i="1"/>
  <c r="Z84" i="1"/>
  <c r="Z70" i="1"/>
  <c r="Z73" i="1"/>
  <c r="Z71" i="1"/>
  <c r="Z78" i="1"/>
  <c r="Z87" i="1"/>
  <c r="Z88" i="1"/>
  <c r="Z89" i="1"/>
  <c r="Z91" i="1"/>
  <c r="Z90" i="1"/>
  <c r="Z92" i="1"/>
  <c r="Z93" i="1"/>
  <c r="Z95" i="1"/>
  <c r="Z94" i="1"/>
  <c r="Z97" i="1"/>
  <c r="Z96" i="1"/>
  <c r="Z99" i="1"/>
  <c r="Z98" i="1"/>
  <c r="Z105" i="1"/>
  <c r="Z103" i="1"/>
  <c r="Z104" i="1"/>
  <c r="Z107" i="1"/>
  <c r="Z100" i="1"/>
  <c r="Z101" i="1"/>
  <c r="Z106" i="1"/>
  <c r="Z108" i="1"/>
  <c r="Z109" i="1"/>
  <c r="Z111" i="1"/>
  <c r="Z115" i="1"/>
  <c r="Z113" i="1"/>
  <c r="Z114" i="1"/>
  <c r="Z116" i="1"/>
  <c r="Z117" i="1"/>
  <c r="Z118" i="1"/>
  <c r="Z119" i="1"/>
  <c r="Z120" i="1"/>
  <c r="Z122" i="1"/>
  <c r="Z126" i="1"/>
  <c r="Z125" i="1"/>
  <c r="Z127" i="1"/>
  <c r="Z128" i="1"/>
  <c r="Z129" i="1"/>
  <c r="Z135" i="1"/>
  <c r="Z130" i="1"/>
  <c r="Z137" i="1"/>
  <c r="Z139" i="1"/>
  <c r="Z138" i="1"/>
  <c r="Z140" i="1"/>
  <c r="Z141" i="1"/>
  <c r="Z143" i="1"/>
  <c r="Z144" i="1"/>
  <c r="Z146" i="1"/>
  <c r="Z151" i="1"/>
  <c r="Z145" i="1"/>
  <c r="Z153" i="1"/>
  <c r="Z152" i="1"/>
  <c r="Z147" i="1"/>
  <c r="Z148" i="1"/>
  <c r="Z154" i="1"/>
  <c r="Z155" i="1"/>
  <c r="Z157" i="1"/>
  <c r="Z158" i="1"/>
  <c r="Z161" i="1"/>
  <c r="Z160" i="1"/>
  <c r="Z159" i="1"/>
  <c r="Z162" i="1"/>
  <c r="Z163" i="1"/>
  <c r="Z164" i="1"/>
  <c r="Z167" i="1"/>
  <c r="Z168" i="1"/>
  <c r="Z169" i="1"/>
  <c r="Z170" i="1"/>
  <c r="Z171" i="1"/>
  <c r="Z172" i="1"/>
  <c r="Z173" i="1"/>
  <c r="Z231" i="1"/>
  <c r="Z270" i="1"/>
  <c r="Z287" i="1"/>
  <c r="Z304" i="1"/>
  <c r="Z391" i="1"/>
  <c r="Z406" i="1"/>
  <c r="Y6" i="1"/>
  <c r="Y20" i="1"/>
  <c r="Y21" i="1"/>
  <c r="Y23" i="1"/>
  <c r="Y25" i="1"/>
  <c r="Y28" i="1"/>
  <c r="Y44" i="1"/>
  <c r="Y52" i="1"/>
  <c r="Y53" i="1"/>
  <c r="Y58" i="1"/>
  <c r="Y80" i="1"/>
  <c r="Y77" i="1"/>
  <c r="Y85" i="1"/>
  <c r="Y86" i="1"/>
  <c r="Y102" i="1"/>
  <c r="Y110" i="1"/>
  <c r="Y123" i="1"/>
  <c r="Y124" i="1"/>
  <c r="Y134" i="1"/>
  <c r="Y133" i="1"/>
  <c r="Y131" i="1"/>
  <c r="Y156" i="1"/>
  <c r="Y165" i="1"/>
  <c r="Y166" i="1"/>
  <c r="Y271" i="1"/>
  <c r="Y15" i="1"/>
  <c r="Y19" i="1"/>
  <c r="Y27" i="1"/>
  <c r="Y57" i="1"/>
  <c r="Y60" i="1"/>
  <c r="Y54" i="1"/>
  <c r="Y74" i="1"/>
  <c r="Y112" i="1"/>
  <c r="Y121" i="1"/>
  <c r="Y132" i="1"/>
  <c r="Y136" i="1"/>
  <c r="Y142" i="1"/>
  <c r="Y150" i="1"/>
  <c r="Y149" i="1"/>
  <c r="Y2" i="1"/>
  <c r="Y3" i="1"/>
  <c r="Y4" i="1"/>
  <c r="Y5" i="1"/>
  <c r="Y7" i="1"/>
  <c r="Y8" i="1"/>
  <c r="Y9" i="1"/>
  <c r="Y10" i="1"/>
  <c r="Y11" i="1"/>
  <c r="Y12" i="1"/>
  <c r="Y13" i="1"/>
  <c r="Y14" i="1"/>
  <c r="Y17" i="1"/>
  <c r="Y16" i="1"/>
  <c r="Y18" i="1"/>
  <c r="Y22" i="1"/>
  <c r="Y24" i="1"/>
  <c r="Y26" i="1"/>
  <c r="Y29" i="1"/>
  <c r="Y30" i="1"/>
  <c r="Y31" i="1"/>
  <c r="Y32" i="1"/>
  <c r="Y33" i="1"/>
  <c r="Y34" i="1"/>
  <c r="Y35" i="1"/>
  <c r="Y36" i="1"/>
  <c r="Y37" i="1"/>
  <c r="Y38" i="1"/>
  <c r="Y40" i="1"/>
  <c r="Y41" i="1"/>
  <c r="Y39" i="1"/>
  <c r="Y46" i="1"/>
  <c r="Y43" i="1"/>
  <c r="Y47" i="1"/>
  <c r="Y45" i="1"/>
  <c r="Y48" i="1"/>
  <c r="Y42" i="1"/>
  <c r="Y49" i="1"/>
  <c r="Y50" i="1"/>
  <c r="Y51" i="1"/>
  <c r="Y61" i="1"/>
  <c r="Y55" i="1"/>
  <c r="Y56" i="1"/>
  <c r="Y59" i="1"/>
  <c r="Y62" i="1"/>
  <c r="Y63" i="1"/>
  <c r="Y64" i="1"/>
  <c r="Y65" i="1"/>
  <c r="Y69" i="1"/>
  <c r="Y68" i="1"/>
  <c r="Y66" i="1"/>
  <c r="Y67" i="1"/>
  <c r="Y79" i="1"/>
  <c r="Y75" i="1"/>
  <c r="Y81" i="1"/>
  <c r="Y72" i="1"/>
  <c r="Y76" i="1"/>
  <c r="Y82" i="1"/>
  <c r="Y83" i="1"/>
  <c r="Y84" i="1"/>
  <c r="Y70" i="1"/>
  <c r="Y73" i="1"/>
  <c r="Y71" i="1"/>
  <c r="Y78" i="1"/>
  <c r="Y87" i="1"/>
  <c r="Y88" i="1"/>
  <c r="Y89" i="1"/>
  <c r="Y91" i="1"/>
  <c r="Y90" i="1"/>
  <c r="Y92" i="1"/>
  <c r="Y93" i="1"/>
  <c r="Y95" i="1"/>
  <c r="Y94" i="1"/>
  <c r="Y97" i="1"/>
  <c r="Y96" i="1"/>
  <c r="Y99" i="1"/>
  <c r="Y98" i="1"/>
  <c r="Y105" i="1"/>
  <c r="Y103" i="1"/>
  <c r="Y104" i="1"/>
  <c r="Y107" i="1"/>
  <c r="Y100" i="1"/>
  <c r="Y101" i="1"/>
  <c r="Y106" i="1"/>
  <c r="Y108" i="1"/>
  <c r="Y109" i="1"/>
  <c r="Y111" i="1"/>
  <c r="Y115" i="1"/>
  <c r="Y113" i="1"/>
  <c r="Y114" i="1"/>
  <c r="Y116" i="1"/>
  <c r="Y117" i="1"/>
  <c r="Y118" i="1"/>
  <c r="Y119" i="1"/>
  <c r="Y120" i="1"/>
  <c r="Y122" i="1"/>
  <c r="Y126" i="1"/>
  <c r="Y125" i="1"/>
  <c r="Y127" i="1"/>
  <c r="Y128" i="1"/>
  <c r="Y129" i="1"/>
  <c r="Y135" i="1"/>
  <c r="Y130" i="1"/>
  <c r="Y137" i="1"/>
  <c r="Y139" i="1"/>
  <c r="Y138" i="1"/>
  <c r="Y140" i="1"/>
  <c r="Y141" i="1"/>
  <c r="Y143" i="1"/>
  <c r="Y144" i="1"/>
  <c r="Y146" i="1"/>
  <c r="Y151" i="1"/>
  <c r="Y145" i="1"/>
  <c r="Y153" i="1"/>
  <c r="Y152" i="1"/>
  <c r="Y147" i="1"/>
  <c r="Y148" i="1"/>
  <c r="Y154" i="1"/>
  <c r="Y155" i="1"/>
  <c r="Y157" i="1"/>
  <c r="Y158" i="1"/>
  <c r="Y161" i="1"/>
  <c r="Y160" i="1"/>
  <c r="Y159" i="1"/>
  <c r="Y162" i="1"/>
  <c r="Y163" i="1"/>
  <c r="Y164" i="1"/>
  <c r="Y167" i="1"/>
  <c r="Y168" i="1"/>
  <c r="Y169" i="1"/>
  <c r="Y170" i="1"/>
  <c r="Y171" i="1"/>
  <c r="Y172" i="1"/>
  <c r="Y173" i="1"/>
  <c r="Y231" i="1"/>
  <c r="Y270" i="1"/>
  <c r="Y287" i="1"/>
  <c r="Y304" i="1"/>
  <c r="Y391" i="1"/>
  <c r="Y406" i="1"/>
  <c r="AB423" i="1" l="1"/>
  <c r="AE423" i="1"/>
  <c r="AB440" i="1"/>
  <c r="AE440" i="1"/>
  <c r="AB600" i="1"/>
  <c r="AE600" i="1"/>
  <c r="AB553" i="1"/>
  <c r="AE553" i="1"/>
  <c r="AB568" i="1"/>
  <c r="AE568" i="1"/>
  <c r="AB481" i="1"/>
  <c r="AE481" i="1"/>
  <c r="AB550" i="1"/>
  <c r="AE550" i="1"/>
  <c r="AB528" i="1"/>
  <c r="AE528" i="1"/>
  <c r="AB488" i="1"/>
  <c r="AE488" i="1"/>
  <c r="AB585" i="1"/>
  <c r="AE585" i="1"/>
  <c r="AB460" i="1"/>
  <c r="AE460" i="1"/>
  <c r="AB591" i="1"/>
  <c r="AE591" i="1"/>
  <c r="AB413" i="1"/>
  <c r="AE413" i="1"/>
  <c r="AB540" i="1"/>
  <c r="AE540" i="1"/>
  <c r="AB487" i="1"/>
  <c r="AE487" i="1"/>
  <c r="AB449" i="1"/>
  <c r="AE449" i="1"/>
  <c r="AB483" i="1"/>
  <c r="AE483" i="1"/>
  <c r="AB524" i="1"/>
  <c r="AE524" i="1"/>
  <c r="AB597" i="1"/>
  <c r="AE597" i="1"/>
  <c r="AB415" i="1"/>
  <c r="AE415" i="1"/>
  <c r="AB425" i="1"/>
  <c r="AE425" i="1"/>
  <c r="AB549" i="1"/>
  <c r="AE549" i="1"/>
  <c r="AB484" i="1"/>
  <c r="AE484" i="1"/>
  <c r="AB457" i="1"/>
  <c r="AE457" i="1"/>
  <c r="AB412" i="1"/>
  <c r="AE412" i="1"/>
  <c r="AB563" i="1"/>
  <c r="AE563" i="1"/>
  <c r="AB525" i="1"/>
  <c r="AE525" i="1"/>
  <c r="AB419" i="1"/>
  <c r="AE419" i="1"/>
  <c r="AB531" i="1"/>
  <c r="AE531" i="1"/>
  <c r="AB441" i="1"/>
  <c r="AE441" i="1"/>
  <c r="AB458" i="1"/>
  <c r="AE458" i="1"/>
  <c r="AB414" i="1"/>
  <c r="AE414" i="1"/>
  <c r="AB567" i="1"/>
  <c r="AE567" i="1"/>
  <c r="AB461" i="1"/>
  <c r="AE461" i="1"/>
  <c r="AB582" i="1"/>
  <c r="AE582" i="1"/>
  <c r="AB581" i="1"/>
  <c r="AE581" i="1"/>
  <c r="AB462" i="1"/>
  <c r="AE462" i="1"/>
  <c r="AB453" i="1"/>
  <c r="AE453" i="1"/>
  <c r="AB573" i="1"/>
  <c r="AE573" i="1"/>
  <c r="AB439" i="1"/>
  <c r="AE439" i="1"/>
  <c r="AB509" i="1"/>
  <c r="AE509" i="1"/>
  <c r="AB416" i="1"/>
  <c r="AE416" i="1"/>
  <c r="AB539" i="1"/>
  <c r="AE539" i="1"/>
  <c r="AB535" i="1"/>
  <c r="AE535" i="1"/>
  <c r="AB410" i="1"/>
  <c r="AE410" i="1"/>
  <c r="AB454" i="1"/>
  <c r="AE454" i="1"/>
  <c r="AB551" i="1"/>
  <c r="AE551" i="1"/>
  <c r="AB552" i="1"/>
  <c r="AE552" i="1"/>
  <c r="AB442" i="1"/>
  <c r="AE442" i="1"/>
  <c r="AB417" i="1"/>
  <c r="AE417" i="1"/>
  <c r="AB589" i="1"/>
  <c r="AE589" i="1"/>
  <c r="AB428" i="1"/>
  <c r="AE428" i="1"/>
  <c r="AB579" i="1"/>
  <c r="AE579" i="1"/>
  <c r="AB530" i="1"/>
  <c r="AE530" i="1"/>
  <c r="AB463" i="1"/>
  <c r="AE463" i="1"/>
  <c r="AB421" i="1"/>
  <c r="AE421" i="1"/>
  <c r="AB586" i="1"/>
  <c r="AE586" i="1"/>
  <c r="AB561" i="1"/>
  <c r="AE561" i="1"/>
  <c r="AB529" i="1"/>
  <c r="AE529" i="1"/>
  <c r="AB427" i="1"/>
  <c r="AE427" i="1"/>
  <c r="AB541" i="1"/>
  <c r="AE541" i="1"/>
  <c r="AB451" i="1"/>
  <c r="AE451" i="1"/>
  <c r="AB486" i="1"/>
  <c r="AE486" i="1"/>
  <c r="AB556" i="1"/>
  <c r="AE556" i="1"/>
  <c r="AB422" i="1"/>
  <c r="AE422" i="1"/>
  <c r="AB485" i="1"/>
  <c r="AE485" i="1"/>
  <c r="AB544" i="1"/>
  <c r="AE544" i="1"/>
  <c r="AB474" i="1"/>
  <c r="AE474" i="1"/>
  <c r="AB411" i="1"/>
  <c r="AE411" i="1"/>
  <c r="AB445" i="1"/>
  <c r="AE445" i="1"/>
  <c r="AB424" i="1"/>
  <c r="AE424" i="1"/>
  <c r="AB566" i="1"/>
  <c r="AE566" i="1"/>
  <c r="AB575" i="1"/>
  <c r="AE575" i="1"/>
  <c r="AB534" i="1"/>
  <c r="AE534" i="1"/>
  <c r="AB523" i="1"/>
  <c r="AE523" i="1"/>
  <c r="AB447" i="1"/>
  <c r="AE447" i="1"/>
  <c r="AB420" i="1"/>
  <c r="AE420" i="1"/>
  <c r="AB464" i="1"/>
  <c r="AE464" i="1"/>
  <c r="AB595" i="1"/>
  <c r="AE595" i="1"/>
  <c r="AB547" i="1"/>
  <c r="AE547" i="1"/>
  <c r="AB409" i="1"/>
  <c r="AE409" i="1"/>
  <c r="AB596" i="1"/>
  <c r="AE596" i="1"/>
  <c r="AB538" i="1"/>
  <c r="AE538" i="1"/>
  <c r="AB592" i="1"/>
  <c r="AE592" i="1"/>
  <c r="AB587" i="1"/>
  <c r="AE587" i="1"/>
  <c r="AA429" i="1"/>
  <c r="X80" i="1"/>
  <c r="AD80" i="1" s="1"/>
  <c r="T429" i="1"/>
  <c r="AA418" i="1"/>
  <c r="AE418" i="1" s="1"/>
  <c r="AA468" i="1"/>
  <c r="T443" i="1"/>
  <c r="AA572" i="1"/>
  <c r="AA569" i="1"/>
  <c r="AA571" i="1"/>
  <c r="AA436" i="1"/>
  <c r="T571" i="1"/>
  <c r="T471" i="1"/>
  <c r="T477" i="1"/>
  <c r="T480" i="1"/>
  <c r="T569" i="1"/>
  <c r="AA471" i="1"/>
  <c r="AA435" i="1"/>
  <c r="T468" i="1"/>
  <c r="AA426" i="1"/>
  <c r="AA496" i="1"/>
  <c r="T515" i="1"/>
  <c r="AA443" i="1"/>
  <c r="T502" i="1"/>
  <c r="T426" i="1"/>
  <c r="T507" i="1"/>
  <c r="T478" i="1"/>
  <c r="T501" i="1"/>
  <c r="T473" i="1"/>
  <c r="AA515" i="1"/>
  <c r="AA408" i="1"/>
  <c r="AA502" i="1"/>
  <c r="T572" i="1"/>
  <c r="AA521" i="1"/>
  <c r="T521" i="1"/>
  <c r="AA477" i="1"/>
  <c r="AA480" i="1"/>
  <c r="AA478" i="1"/>
  <c r="AA473" i="1"/>
  <c r="AA482" i="1"/>
  <c r="T504" i="1"/>
  <c r="AA452" i="1"/>
  <c r="T496" i="1"/>
  <c r="AA514" i="1"/>
  <c r="T482" i="1"/>
  <c r="AA407" i="1"/>
  <c r="T452" i="1"/>
  <c r="AA580" i="1"/>
  <c r="T498" i="1"/>
  <c r="T430" i="1"/>
  <c r="AA560" i="1"/>
  <c r="T492" i="1"/>
  <c r="T431" i="1"/>
  <c r="T514" i="1"/>
  <c r="T433" i="1"/>
  <c r="T495" i="1"/>
  <c r="T432" i="1"/>
  <c r="AA504" i="1"/>
  <c r="AA430" i="1"/>
  <c r="T511" i="1"/>
  <c r="T434" i="1"/>
  <c r="AA492" i="1"/>
  <c r="T489" i="1"/>
  <c r="T436" i="1"/>
  <c r="T516" i="1"/>
  <c r="T580" i="1"/>
  <c r="AA518" i="1"/>
  <c r="T494" i="1"/>
  <c r="T437" i="1"/>
  <c r="T560" i="1"/>
  <c r="T490" i="1"/>
  <c r="T438" i="1"/>
  <c r="T512" i="1"/>
  <c r="T435" i="1"/>
  <c r="AA537" i="1"/>
  <c r="T537" i="1"/>
  <c r="T527" i="1"/>
  <c r="AA527" i="1"/>
  <c r="AA431" i="1"/>
  <c r="AA433" i="1"/>
  <c r="AA432" i="1"/>
  <c r="AA437" i="1"/>
  <c r="AA438" i="1"/>
  <c r="AA434" i="1"/>
  <c r="AA501" i="1"/>
  <c r="AA498" i="1"/>
  <c r="AA495" i="1"/>
  <c r="AA494" i="1"/>
  <c r="T518" i="1"/>
  <c r="AA507" i="1"/>
  <c r="AA516" i="1"/>
  <c r="AA490" i="1"/>
  <c r="AA511" i="1"/>
  <c r="AA489" i="1"/>
  <c r="AA512" i="1"/>
  <c r="AA505" i="1"/>
  <c r="T505" i="1"/>
  <c r="T418" i="1"/>
  <c r="T408" i="1"/>
  <c r="AA466" i="1"/>
  <c r="T466" i="1"/>
  <c r="T407" i="1"/>
  <c r="T491" i="1"/>
  <c r="T508" i="1"/>
  <c r="AA384" i="1"/>
  <c r="T384" i="1"/>
  <c r="T519" i="1"/>
  <c r="T517" i="1"/>
  <c r="T506" i="1"/>
  <c r="T467" i="1"/>
  <c r="T500" i="1"/>
  <c r="T369" i="1"/>
  <c r="AA519" i="1"/>
  <c r="AA491" i="1"/>
  <c r="AA493" i="1"/>
  <c r="T493" i="1"/>
  <c r="AA513" i="1"/>
  <c r="T513" i="1"/>
  <c r="AA517" i="1"/>
  <c r="AA508" i="1"/>
  <c r="AA506" i="1"/>
  <c r="AA500" i="1"/>
  <c r="T497" i="1"/>
  <c r="AA497" i="1"/>
  <c r="AA467" i="1"/>
  <c r="T455" i="1"/>
  <c r="AA455" i="1"/>
  <c r="AA305" i="1"/>
  <c r="T246" i="1"/>
  <c r="T359" i="1"/>
  <c r="AA400" i="1"/>
  <c r="AA352" i="1"/>
  <c r="AA246" i="1"/>
  <c r="AA359" i="1"/>
  <c r="T345" i="1"/>
  <c r="AA233" i="1"/>
  <c r="AA245" i="1"/>
  <c r="AA345" i="1"/>
  <c r="AA321" i="1"/>
  <c r="T318" i="1"/>
  <c r="T400" i="1"/>
  <c r="T321" i="1"/>
  <c r="T305" i="1"/>
  <c r="T233" i="1"/>
  <c r="T373" i="1"/>
  <c r="AA317" i="1"/>
  <c r="AA312" i="1"/>
  <c r="T312" i="1"/>
  <c r="AA318" i="1"/>
  <c r="T317" i="1"/>
  <c r="AA373" i="1"/>
  <c r="T268" i="1"/>
  <c r="T350" i="1"/>
  <c r="T378" i="1"/>
  <c r="AA378" i="1"/>
  <c r="T286" i="1"/>
  <c r="AA331" i="1"/>
  <c r="T405" i="1"/>
  <c r="AA366" i="1"/>
  <c r="T397" i="1"/>
  <c r="T394" i="1"/>
  <c r="T316" i="1"/>
  <c r="AA365" i="1"/>
  <c r="AA364" i="1"/>
  <c r="AA329" i="1"/>
  <c r="AA396" i="1"/>
  <c r="AA369" i="1"/>
  <c r="AA314" i="1"/>
  <c r="T323" i="1"/>
  <c r="T289" i="1"/>
  <c r="T352" i="1"/>
  <c r="T225" i="1"/>
  <c r="AA376" i="1"/>
  <c r="AA351" i="1"/>
  <c r="T292" i="1"/>
  <c r="T377" i="1"/>
  <c r="T285" i="1"/>
  <c r="T393" i="1"/>
  <c r="T308" i="1"/>
  <c r="T300" i="1"/>
  <c r="T396" i="1"/>
  <c r="AA222" i="1"/>
  <c r="AA253" i="1"/>
  <c r="T256" i="1"/>
  <c r="T284" i="1"/>
  <c r="AA302" i="1"/>
  <c r="AA299" i="1"/>
  <c r="T288" i="1"/>
  <c r="T390" i="1"/>
  <c r="AA397" i="1"/>
  <c r="AA367" i="1"/>
  <c r="T392" i="1"/>
  <c r="T386" i="1"/>
  <c r="T385" i="1"/>
  <c r="AA393" i="1"/>
  <c r="AA402" i="1"/>
  <c r="T341" i="1"/>
  <c r="AA395" i="1"/>
  <c r="AA398" i="1"/>
  <c r="AA370" i="1"/>
  <c r="T358" i="1"/>
  <c r="T381" i="1"/>
  <c r="AA362" i="1"/>
  <c r="AA363" i="1"/>
  <c r="AA215" i="1"/>
  <c r="AA257" i="1"/>
  <c r="AA310" i="1"/>
  <c r="T310" i="1"/>
  <c r="T311" i="1"/>
  <c r="AA309" i="1"/>
  <c r="AA308" i="1"/>
  <c r="AA315" i="1"/>
  <c r="T315" i="1"/>
  <c r="AA275" i="1"/>
  <c r="T295" i="1"/>
  <c r="T307" i="1"/>
  <c r="T269" i="1"/>
  <c r="AA401" i="1"/>
  <c r="T275" i="1"/>
  <c r="T306" i="1"/>
  <c r="T217" i="1"/>
  <c r="AA341" i="1"/>
  <c r="AA323" i="1"/>
  <c r="AA330" i="1"/>
  <c r="AA311" i="1"/>
  <c r="AA268" i="1"/>
  <c r="AA322" i="1"/>
  <c r="T395" i="1"/>
  <c r="AA225" i="1"/>
  <c r="AA295" i="1"/>
  <c r="AA301" i="1"/>
  <c r="T314" i="1"/>
  <c r="T383" i="1"/>
  <c r="T329" i="1"/>
  <c r="T299" i="1"/>
  <c r="T226" i="1"/>
  <c r="AA226" i="1"/>
  <c r="T376" i="1"/>
  <c r="AA288" i="1"/>
  <c r="AA216" i="1"/>
  <c r="AA277" i="1"/>
  <c r="AA307" i="1"/>
  <c r="AA269" i="1"/>
  <c r="T364" i="1"/>
  <c r="T309" i="1"/>
  <c r="T332" i="1"/>
  <c r="T362" i="1"/>
  <c r="AA386" i="1"/>
  <c r="T370" i="1"/>
  <c r="AA385" i="1"/>
  <c r="T367" i="1"/>
  <c r="AA306" i="1"/>
  <c r="AA229" i="1"/>
  <c r="T351" i="1"/>
  <c r="AA282" i="1"/>
  <c r="T336" i="1"/>
  <c r="AA319" i="1"/>
  <c r="T402" i="1"/>
  <c r="T330" i="1"/>
  <c r="AA313" i="1"/>
  <c r="T398" i="1"/>
  <c r="T319" i="1"/>
  <c r="AA289" i="1"/>
  <c r="AA217" i="1"/>
  <c r="T365" i="1"/>
  <c r="AA332" i="1"/>
  <c r="AA230" i="1"/>
  <c r="AA377" i="1"/>
  <c r="AA350" i="1"/>
  <c r="T313" i="1"/>
  <c r="T283" i="1"/>
  <c r="AA353" i="1"/>
  <c r="AA403" i="1"/>
  <c r="T403" i="1"/>
  <c r="T389" i="1"/>
  <c r="AA389" i="1"/>
  <c r="T379" i="1"/>
  <c r="AA379" i="1"/>
  <c r="T380" i="1"/>
  <c r="AA380" i="1"/>
  <c r="T355" i="1"/>
  <c r="AA355" i="1"/>
  <c r="AA333" i="1"/>
  <c r="T333" i="1"/>
  <c r="AA300" i="1"/>
  <c r="T278" i="1"/>
  <c r="T266" i="1"/>
  <c r="AA278" i="1"/>
  <c r="T277" i="1"/>
  <c r="AA266" i="1"/>
  <c r="T215" i="1"/>
  <c r="AA381" i="1"/>
  <c r="T366" i="1"/>
  <c r="AA383" i="1"/>
  <c r="T257" i="1"/>
  <c r="AA392" i="1"/>
  <c r="AA394" i="1"/>
  <c r="AA358" i="1"/>
  <c r="T401" i="1"/>
  <c r="T245" i="1"/>
  <c r="T293" i="1"/>
  <c r="AA316" i="1"/>
  <c r="T229" i="1"/>
  <c r="AA274" i="1"/>
  <c r="T274" i="1"/>
  <c r="T216" i="1"/>
  <c r="T363" i="1"/>
  <c r="AA292" i="1"/>
  <c r="AA405" i="1"/>
  <c r="AA390" i="1"/>
  <c r="T353" i="1"/>
  <c r="T331" i="1"/>
  <c r="T302" i="1"/>
  <c r="AA281" i="1"/>
  <c r="T281" i="1"/>
  <c r="AA267" i="1"/>
  <c r="T267" i="1"/>
  <c r="AA243" i="1"/>
  <c r="T243" i="1"/>
  <c r="T230" i="1"/>
  <c r="T290" i="1"/>
  <c r="T387" i="1"/>
  <c r="AA286" i="1"/>
  <c r="T338" i="1"/>
  <c r="T346" i="1"/>
  <c r="T340" i="1"/>
  <c r="T325" i="1"/>
  <c r="T222" i="1"/>
  <c r="T303" i="1"/>
  <c r="AA284" i="1"/>
  <c r="AA285" i="1"/>
  <c r="AA293" i="1"/>
  <c r="AA290" i="1"/>
  <c r="T291" i="1"/>
  <c r="AA291" i="1"/>
  <c r="AA283" i="1"/>
  <c r="AA387" i="1"/>
  <c r="AA371" i="1"/>
  <c r="T371" i="1"/>
  <c r="AA338" i="1"/>
  <c r="AA346" i="1"/>
  <c r="AA340" i="1"/>
  <c r="AA325" i="1"/>
  <c r="AA303" i="1"/>
  <c r="T239" i="1"/>
  <c r="AA361" i="1"/>
  <c r="T361" i="1"/>
  <c r="AA335" i="1"/>
  <c r="T335" i="1"/>
  <c r="AA337" i="1"/>
  <c r="T337" i="1"/>
  <c r="T322" i="1"/>
  <c r="T301" i="1"/>
  <c r="AA252" i="1"/>
  <c r="T253" i="1"/>
  <c r="T240" i="1"/>
  <c r="T228" i="1"/>
  <c r="T264" i="1"/>
  <c r="T237" i="1"/>
  <c r="AA296" i="1"/>
  <c r="T224" i="1"/>
  <c r="T356" i="1"/>
  <c r="AA241" i="1"/>
  <c r="AA360" i="1"/>
  <c r="T354" i="1"/>
  <c r="T262" i="1"/>
  <c r="AA263" i="1"/>
  <c r="AA255" i="1"/>
  <c r="AA237" i="1"/>
  <c r="AA382" i="1"/>
  <c r="T265" i="1"/>
  <c r="T251" i="1"/>
  <c r="T282" i="1"/>
  <c r="AA354" i="1"/>
  <c r="AA294" i="1"/>
  <c r="T296" i="1"/>
  <c r="T263" i="1"/>
  <c r="AA357" i="1"/>
  <c r="AA258" i="1"/>
  <c r="AA240" i="1"/>
  <c r="AA228" i="1"/>
  <c r="T294" i="1"/>
  <c r="T255" i="1"/>
  <c r="T357" i="1"/>
  <c r="T258" i="1"/>
  <c r="AA239" i="1"/>
  <c r="T242" i="1"/>
  <c r="T236" i="1"/>
  <c r="T252" i="1"/>
  <c r="AA251" i="1"/>
  <c r="T241" i="1"/>
  <c r="AA262" i="1"/>
  <c r="AA265" i="1"/>
  <c r="AA356" i="1"/>
  <c r="AA264" i="1"/>
  <c r="AA242" i="1"/>
  <c r="AA236" i="1"/>
  <c r="AA224" i="1"/>
  <c r="AA336" i="1"/>
  <c r="AA256" i="1"/>
  <c r="T360" i="1"/>
  <c r="T382" i="1"/>
  <c r="T339" i="1"/>
  <c r="T213" i="1"/>
  <c r="AA213" i="1"/>
  <c r="AA298" i="1"/>
  <c r="AA260" i="1"/>
  <c r="T260" i="1"/>
  <c r="T201" i="1"/>
  <c r="T276" i="1"/>
  <c r="AA388" i="1"/>
  <c r="T244" i="1"/>
  <c r="AA244" i="1"/>
  <c r="T261" i="1"/>
  <c r="AA276" i="1"/>
  <c r="AA348" i="1"/>
  <c r="AA342" i="1"/>
  <c r="T298" i="1"/>
  <c r="T372" i="1"/>
  <c r="T344" i="1"/>
  <c r="T227" i="1"/>
  <c r="T343" i="1"/>
  <c r="AA176" i="1"/>
  <c r="T176" i="1"/>
  <c r="AA339" i="1"/>
  <c r="AA344" i="1"/>
  <c r="AA372" i="1"/>
  <c r="T259" i="1"/>
  <c r="T250" i="1"/>
  <c r="AA347" i="1"/>
  <c r="AA174" i="1"/>
  <c r="T174" i="1"/>
  <c r="AA175" i="1"/>
  <c r="T175" i="1"/>
  <c r="T348" i="1"/>
  <c r="AA324" i="1"/>
  <c r="AA404" i="1"/>
  <c r="T404" i="1"/>
  <c r="T388" i="1"/>
  <c r="T375" i="1"/>
  <c r="AA375" i="1"/>
  <c r="AA343" i="1"/>
  <c r="T324" i="1"/>
  <c r="AA227" i="1"/>
  <c r="AA261" i="1"/>
  <c r="T342" i="1"/>
  <c r="T347" i="1"/>
  <c r="AA280" i="1"/>
  <c r="T280" i="1"/>
  <c r="AA254" i="1"/>
  <c r="T254" i="1"/>
  <c r="AA250" i="1"/>
  <c r="AA259" i="1"/>
  <c r="AA320" i="1"/>
  <c r="T320" i="1"/>
  <c r="AA218" i="1"/>
  <c r="T273" i="1"/>
  <c r="T334" i="1"/>
  <c r="T368" i="1"/>
  <c r="T272" i="1"/>
  <c r="T232" i="1"/>
  <c r="T399" i="1"/>
  <c r="AA399" i="1"/>
  <c r="AA368" i="1"/>
  <c r="AA334" i="1"/>
  <c r="AA273" i="1"/>
  <c r="AA272" i="1"/>
  <c r="AA238" i="1"/>
  <c r="T238" i="1"/>
  <c r="AA232" i="1"/>
  <c r="T218" i="1"/>
  <c r="AA219" i="1"/>
  <c r="T219" i="1"/>
  <c r="T327" i="1"/>
  <c r="T297" i="1"/>
  <c r="T235" i="1"/>
  <c r="T221" i="1"/>
  <c r="T326" i="1"/>
  <c r="AA326" i="1"/>
  <c r="T328" i="1"/>
  <c r="AA328" i="1"/>
  <c r="AA327" i="1"/>
  <c r="AA297" i="1"/>
  <c r="AA235" i="1"/>
  <c r="AA234" i="1"/>
  <c r="T234" i="1"/>
  <c r="AA221" i="1"/>
  <c r="AA220" i="1"/>
  <c r="T220" i="1"/>
  <c r="T183" i="1"/>
  <c r="T88" i="1"/>
  <c r="T87" i="1"/>
  <c r="T249" i="1"/>
  <c r="T247" i="1"/>
  <c r="T248" i="1"/>
  <c r="T56" i="1"/>
  <c r="T106" i="1"/>
  <c r="T374" i="1"/>
  <c r="T349" i="1"/>
  <c r="T182" i="1"/>
  <c r="AA2" i="1"/>
  <c r="AA374" i="1"/>
  <c r="AA349" i="1"/>
  <c r="AA279" i="1"/>
  <c r="T279" i="1"/>
  <c r="AA249" i="1"/>
  <c r="AA247" i="1"/>
  <c r="AA248" i="1"/>
  <c r="AA223" i="1"/>
  <c r="T223" i="1"/>
  <c r="T192" i="1"/>
  <c r="T204" i="1"/>
  <c r="T190" i="1"/>
  <c r="T203" i="1"/>
  <c r="T51" i="1"/>
  <c r="T84" i="1"/>
  <c r="T207" i="1"/>
  <c r="AA207" i="1"/>
  <c r="AA186" i="1"/>
  <c r="T206" i="1"/>
  <c r="AA203" i="1"/>
  <c r="T83" i="1"/>
  <c r="T205" i="1"/>
  <c r="T287" i="1"/>
  <c r="T179" i="1"/>
  <c r="AA183" i="1"/>
  <c r="AA188" i="1"/>
  <c r="T129" i="1"/>
  <c r="AA202" i="1"/>
  <c r="T54" i="1"/>
  <c r="T35" i="1"/>
  <c r="T173" i="1"/>
  <c r="T19" i="1"/>
  <c r="T24" i="1"/>
  <c r="T131" i="1"/>
  <c r="T45" i="1"/>
  <c r="T198" i="1"/>
  <c r="T188" i="1"/>
  <c r="AA190" i="1"/>
  <c r="T202" i="1"/>
  <c r="AA200" i="1"/>
  <c r="T195" i="1"/>
  <c r="T130" i="1"/>
  <c r="AA191" i="1"/>
  <c r="T210" i="1"/>
  <c r="T193" i="1"/>
  <c r="T177" i="1"/>
  <c r="AA182" i="1"/>
  <c r="AA198" i="1"/>
  <c r="AA205" i="1"/>
  <c r="T196" i="1"/>
  <c r="T191" i="1"/>
  <c r="T47" i="1"/>
  <c r="T212" i="1"/>
  <c r="AA206" i="1"/>
  <c r="T184" i="1"/>
  <c r="T187" i="1"/>
  <c r="AA187" i="1"/>
  <c r="T189" i="1"/>
  <c r="AA189" i="1"/>
  <c r="T200" i="1"/>
  <c r="AA192" i="1"/>
  <c r="AA204" i="1"/>
  <c r="T58" i="1"/>
  <c r="T65" i="1"/>
  <c r="T123" i="1"/>
  <c r="T98" i="1"/>
  <c r="T122" i="1"/>
  <c r="T139" i="1"/>
  <c r="T153" i="1"/>
  <c r="T27" i="1"/>
  <c r="T178" i="1"/>
  <c r="T211" i="1"/>
  <c r="AA197" i="1"/>
  <c r="T214" i="1"/>
  <c r="T113" i="1"/>
  <c r="T209" i="1"/>
  <c r="T208" i="1"/>
  <c r="AA177" i="1"/>
  <c r="T185" i="1"/>
  <c r="T181" i="1"/>
  <c r="T186" i="1"/>
  <c r="AA184" i="1"/>
  <c r="AA179" i="1"/>
  <c r="AA181" i="1"/>
  <c r="AA214" i="1"/>
  <c r="AA195" i="1"/>
  <c r="AA196" i="1"/>
  <c r="AA209" i="1"/>
  <c r="AA193" i="1"/>
  <c r="T163" i="1"/>
  <c r="T100" i="1"/>
  <c r="T36" i="1"/>
  <c r="T3" i="1"/>
  <c r="T18" i="1"/>
  <c r="T197" i="1"/>
  <c r="AA212" i="1"/>
  <c r="AA185" i="1"/>
  <c r="T170" i="1"/>
  <c r="T57" i="1"/>
  <c r="AA208" i="1"/>
  <c r="T85" i="1"/>
  <c r="T108" i="1"/>
  <c r="T4" i="1"/>
  <c r="T116" i="1"/>
  <c r="AA178" i="1"/>
  <c r="AA211" i="1"/>
  <c r="AA210" i="1"/>
  <c r="T194" i="1"/>
  <c r="AA194" i="1"/>
  <c r="T32" i="1"/>
  <c r="T78" i="1"/>
  <c r="T96" i="1"/>
  <c r="T2" i="1"/>
  <c r="T9" i="1"/>
  <c r="T132" i="1"/>
  <c r="T105" i="1"/>
  <c r="T391" i="1"/>
  <c r="T141" i="1"/>
  <c r="T112" i="1"/>
  <c r="T64" i="1"/>
  <c r="T271" i="1"/>
  <c r="T59" i="1"/>
  <c r="T67" i="1"/>
  <c r="T147" i="1"/>
  <c r="T26" i="1"/>
  <c r="T172" i="1"/>
  <c r="T71" i="1"/>
  <c r="T164" i="1"/>
  <c r="T90" i="1"/>
  <c r="T69" i="1"/>
  <c r="T66" i="1"/>
  <c r="T34" i="1"/>
  <c r="T121" i="1"/>
  <c r="T169" i="1"/>
  <c r="T146" i="1"/>
  <c r="T48" i="1"/>
  <c r="T137" i="1"/>
  <c r="T97" i="1"/>
  <c r="T91" i="1"/>
  <c r="T180" i="1"/>
  <c r="T39" i="1"/>
  <c r="T5" i="1"/>
  <c r="T154" i="1"/>
  <c r="T103" i="1"/>
  <c r="T171" i="1"/>
  <c r="T406" i="1"/>
  <c r="T42" i="1"/>
  <c r="T28" i="1"/>
  <c r="T127" i="1"/>
  <c r="T40" i="1"/>
  <c r="T41" i="1"/>
  <c r="T68" i="1"/>
  <c r="T120" i="1"/>
  <c r="T99" i="1"/>
  <c r="T140" i="1"/>
  <c r="T75" i="1"/>
  <c r="T74" i="1"/>
  <c r="T73" i="1"/>
  <c r="T20" i="1"/>
  <c r="T107" i="1"/>
  <c r="T21" i="1"/>
  <c r="T43" i="1"/>
  <c r="T8" i="1"/>
  <c r="T38" i="1"/>
  <c r="T104" i="1"/>
  <c r="T136" i="1"/>
  <c r="T156" i="1"/>
  <c r="T165" i="1"/>
  <c r="T22" i="1"/>
  <c r="T102" i="1"/>
  <c r="T304" i="1"/>
  <c r="T30" i="1"/>
  <c r="T119" i="1"/>
  <c r="T52" i="1"/>
  <c r="T117" i="1"/>
  <c r="T148" i="1"/>
  <c r="T89" i="1"/>
  <c r="AA199" i="1"/>
  <c r="T199" i="1"/>
  <c r="AA180" i="1"/>
  <c r="AA201" i="1"/>
  <c r="T82" i="1"/>
  <c r="T95" i="1"/>
  <c r="T72" i="1"/>
  <c r="T168" i="1"/>
  <c r="T114" i="1"/>
  <c r="T162" i="1"/>
  <c r="T149" i="1"/>
  <c r="T161" i="1"/>
  <c r="T94" i="1"/>
  <c r="T33" i="1"/>
  <c r="T49" i="1"/>
  <c r="T46" i="1"/>
  <c r="T158" i="1"/>
  <c r="T155" i="1"/>
  <c r="T81" i="1"/>
  <c r="T23" i="1"/>
  <c r="T145" i="1"/>
  <c r="T80" i="1"/>
  <c r="T17" i="1"/>
  <c r="T110" i="1"/>
  <c r="T270" i="1"/>
  <c r="T159" i="1"/>
  <c r="T115" i="1"/>
  <c r="T37" i="1"/>
  <c r="T6" i="1"/>
  <c r="T143" i="1"/>
  <c r="T79" i="1"/>
  <c r="T16" i="1"/>
  <c r="T53" i="1"/>
  <c r="T70" i="1"/>
  <c r="T50" i="1"/>
  <c r="T128" i="1"/>
  <c r="T101" i="1"/>
  <c r="T151" i="1"/>
  <c r="T138" i="1"/>
  <c r="T11" i="1"/>
  <c r="T142" i="1"/>
  <c r="T76" i="1"/>
  <c r="T14" i="1"/>
  <c r="T160" i="1"/>
  <c r="T15" i="1"/>
  <c r="T231" i="1"/>
  <c r="T77" i="1"/>
  <c r="T13" i="1"/>
  <c r="T92" i="1"/>
  <c r="T44" i="1"/>
  <c r="T10" i="1"/>
  <c r="T25" i="1"/>
  <c r="T152" i="1"/>
  <c r="T167" i="1"/>
  <c r="T7" i="1"/>
  <c r="T166" i="1"/>
  <c r="T150" i="1"/>
  <c r="T134" i="1"/>
  <c r="T118" i="1"/>
  <c r="T86" i="1"/>
  <c r="T144" i="1"/>
  <c r="T111" i="1"/>
  <c r="T63" i="1"/>
  <c r="T31" i="1"/>
  <c r="T126" i="1"/>
  <c r="T62" i="1"/>
  <c r="T157" i="1"/>
  <c r="T109" i="1"/>
  <c r="T61" i="1"/>
  <c r="T124" i="1"/>
  <c r="T60" i="1"/>
  <c r="T135" i="1"/>
  <c r="T55" i="1"/>
  <c r="T133" i="1"/>
  <c r="T125" i="1"/>
  <c r="T93" i="1"/>
  <c r="T29" i="1"/>
  <c r="T12" i="1"/>
  <c r="AA145" i="1"/>
  <c r="AA127" i="1"/>
  <c r="AA151" i="1"/>
  <c r="AA107" i="1"/>
  <c r="AA43" i="1"/>
  <c r="AA52" i="1"/>
  <c r="AA162" i="1"/>
  <c r="AA119" i="1"/>
  <c r="AA105" i="1"/>
  <c r="AA73" i="1"/>
  <c r="AA63" i="1"/>
  <c r="AA41" i="1"/>
  <c r="AA16" i="1"/>
  <c r="AA142" i="1"/>
  <c r="AA131" i="1"/>
  <c r="AA25" i="1"/>
  <c r="AA148" i="1"/>
  <c r="AA135" i="1"/>
  <c r="AA92" i="1"/>
  <c r="AA75" i="1"/>
  <c r="AA32" i="1"/>
  <c r="AA57" i="1"/>
  <c r="AA85" i="1"/>
  <c r="AA159" i="1"/>
  <c r="AA143" i="1"/>
  <c r="AA118" i="1"/>
  <c r="AA98" i="1"/>
  <c r="AA70" i="1"/>
  <c r="AA62" i="1"/>
  <c r="AA40" i="1"/>
  <c r="AA17" i="1"/>
  <c r="AA136" i="1"/>
  <c r="AA133" i="1"/>
  <c r="AA23" i="1"/>
  <c r="AA170" i="1"/>
  <c r="AA129" i="1"/>
  <c r="AA108" i="1"/>
  <c r="AA90" i="1"/>
  <c r="AA79" i="1"/>
  <c r="AA31" i="1"/>
  <c r="AA7" i="1"/>
  <c r="AA27" i="1"/>
  <c r="AA304" i="1"/>
  <c r="AA160" i="1"/>
  <c r="AA141" i="1"/>
  <c r="AA117" i="1"/>
  <c r="AA99" i="1"/>
  <c r="AA84" i="1"/>
  <c r="AA59" i="1"/>
  <c r="AA38" i="1"/>
  <c r="AA14" i="1"/>
  <c r="AA132" i="1"/>
  <c r="AA134" i="1"/>
  <c r="AA21" i="1"/>
  <c r="AA128" i="1"/>
  <c r="AA91" i="1"/>
  <c r="AA67" i="1"/>
  <c r="AA30" i="1"/>
  <c r="AA19" i="1"/>
  <c r="AA80" i="1"/>
  <c r="AA287" i="1"/>
  <c r="AA161" i="1"/>
  <c r="AA140" i="1"/>
  <c r="AA116" i="1"/>
  <c r="AA96" i="1"/>
  <c r="AA83" i="1"/>
  <c r="AA56" i="1"/>
  <c r="AA37" i="1"/>
  <c r="AA13" i="1"/>
  <c r="AA121" i="1"/>
  <c r="AA124" i="1"/>
  <c r="AA20" i="1"/>
  <c r="AA153" i="1"/>
  <c r="AA89" i="1"/>
  <c r="AA4" i="1"/>
  <c r="AA58" i="1"/>
  <c r="AA270" i="1"/>
  <c r="AA158" i="1"/>
  <c r="AA138" i="1"/>
  <c r="AA114" i="1"/>
  <c r="AA97" i="1"/>
  <c r="AA82" i="1"/>
  <c r="AA55" i="1"/>
  <c r="AA36" i="1"/>
  <c r="AA12" i="1"/>
  <c r="AA112" i="1"/>
  <c r="AA123" i="1"/>
  <c r="AA6" i="1"/>
  <c r="AA125" i="1"/>
  <c r="AA100" i="1"/>
  <c r="AA88" i="1"/>
  <c r="AA68" i="1"/>
  <c r="AA47" i="1"/>
  <c r="AA26" i="1"/>
  <c r="AA3" i="1"/>
  <c r="AA110" i="1"/>
  <c r="AA231" i="1"/>
  <c r="AA157" i="1"/>
  <c r="AA139" i="1"/>
  <c r="AA113" i="1"/>
  <c r="AA94" i="1"/>
  <c r="AA76" i="1"/>
  <c r="AA61" i="1"/>
  <c r="AA35" i="1"/>
  <c r="AA11" i="1"/>
  <c r="AA74" i="1"/>
  <c r="AA164" i="1"/>
  <c r="AA126" i="1"/>
  <c r="AA87" i="1"/>
  <c r="AA69" i="1"/>
  <c r="AA24" i="1"/>
  <c r="AA173" i="1"/>
  <c r="AA155" i="1"/>
  <c r="AA137" i="1"/>
  <c r="AA72" i="1"/>
  <c r="AA34" i="1"/>
  <c r="AA10" i="1"/>
  <c r="AA111" i="1"/>
  <c r="AA93" i="1"/>
  <c r="AA50" i="1"/>
  <c r="AA86" i="1"/>
  <c r="AA391" i="1"/>
  <c r="AA147" i="1"/>
  <c r="AA152" i="1"/>
  <c r="AA66" i="1"/>
  <c r="AA29" i="1"/>
  <c r="AA171" i="1"/>
  <c r="AA109" i="1"/>
  <c r="AA49" i="1"/>
  <c r="AA101" i="1"/>
  <c r="AA167" i="1"/>
  <c r="AA271" i="1"/>
  <c r="AA53" i="1"/>
  <c r="AA42" i="1"/>
  <c r="AA77" i="1"/>
  <c r="AA5" i="1"/>
  <c r="AA168" i="1"/>
  <c r="AA166" i="1"/>
  <c r="AA8" i="1"/>
  <c r="AA169" i="1"/>
  <c r="AA106" i="1"/>
  <c r="AA48" i="1"/>
  <c r="AA15" i="1"/>
  <c r="AA406" i="1"/>
  <c r="AA163" i="1"/>
  <c r="AA146" i="1"/>
  <c r="AA122" i="1"/>
  <c r="AA104" i="1"/>
  <c r="AA78" i="1"/>
  <c r="AA65" i="1"/>
  <c r="AA46" i="1"/>
  <c r="AA22" i="1"/>
  <c r="AA149" i="1"/>
  <c r="AA165" i="1"/>
  <c r="AA44" i="1"/>
  <c r="AA115" i="1"/>
  <c r="AA95" i="1"/>
  <c r="AA51" i="1"/>
  <c r="AA54" i="1"/>
  <c r="AA102" i="1"/>
  <c r="AA45" i="1"/>
  <c r="AA144" i="1"/>
  <c r="AA120" i="1"/>
  <c r="AA103" i="1"/>
  <c r="AA71" i="1"/>
  <c r="AA64" i="1"/>
  <c r="AA39" i="1"/>
  <c r="AA18" i="1"/>
  <c r="AA150" i="1"/>
  <c r="AA156" i="1"/>
  <c r="AA28" i="1"/>
  <c r="AA172" i="1"/>
  <c r="AA154" i="1"/>
  <c r="AA130" i="1"/>
  <c r="AA81" i="1"/>
  <c r="AA33" i="1"/>
  <c r="AA9" i="1"/>
  <c r="AA60" i="1"/>
  <c r="AB60" i="1" l="1"/>
  <c r="AE60" i="1"/>
  <c r="AB144" i="1"/>
  <c r="AE144" i="1"/>
  <c r="AB157" i="1"/>
  <c r="AE157" i="1"/>
  <c r="AB23" i="1"/>
  <c r="AE23" i="1"/>
  <c r="AB232" i="1"/>
  <c r="AE232" i="1"/>
  <c r="AB251" i="1"/>
  <c r="AE251" i="1"/>
  <c r="AB275" i="1"/>
  <c r="AE275" i="1"/>
  <c r="AB396" i="1"/>
  <c r="AE396" i="1"/>
  <c r="AB495" i="1"/>
  <c r="AE495" i="1"/>
  <c r="AB443" i="1"/>
  <c r="AE443" i="1"/>
  <c r="AB155" i="1"/>
  <c r="AE155" i="1"/>
  <c r="AB133" i="1"/>
  <c r="AE133" i="1"/>
  <c r="AB2" i="1"/>
  <c r="AE2" i="1"/>
  <c r="AB246" i="1"/>
  <c r="AE246" i="1"/>
  <c r="AB478" i="1"/>
  <c r="AE478" i="1"/>
  <c r="AB468" i="1"/>
  <c r="AE468" i="1"/>
  <c r="AB33" i="1"/>
  <c r="AE33" i="1"/>
  <c r="AB110" i="1"/>
  <c r="AE110" i="1"/>
  <c r="AB24" i="1"/>
  <c r="AE24" i="1"/>
  <c r="AB17" i="1"/>
  <c r="AE17" i="1"/>
  <c r="AB48" i="1"/>
  <c r="AE48" i="1"/>
  <c r="AB26" i="1"/>
  <c r="AE26" i="1"/>
  <c r="AB142" i="1"/>
  <c r="AE142" i="1"/>
  <c r="AB327" i="1"/>
  <c r="AE327" i="1"/>
  <c r="AB268" i="1"/>
  <c r="AE268" i="1"/>
  <c r="AB491" i="1"/>
  <c r="AE491" i="1"/>
  <c r="AB66" i="1"/>
  <c r="AE66" i="1"/>
  <c r="AB287" i="1"/>
  <c r="AE287" i="1"/>
  <c r="AB277" i="1"/>
  <c r="AE277" i="1"/>
  <c r="AB435" i="1"/>
  <c r="AE435" i="1"/>
  <c r="AB115" i="1"/>
  <c r="AE115" i="1"/>
  <c r="AB126" i="1"/>
  <c r="AE126" i="1"/>
  <c r="AB160" i="1"/>
  <c r="AE160" i="1"/>
  <c r="AB41" i="1"/>
  <c r="AE41" i="1"/>
  <c r="AB210" i="1"/>
  <c r="AE210" i="1"/>
  <c r="AB191" i="1"/>
  <c r="AE191" i="1"/>
  <c r="AB280" i="1"/>
  <c r="AE280" i="1"/>
  <c r="AB348" i="1"/>
  <c r="AE348" i="1"/>
  <c r="AB330" i="1"/>
  <c r="AE330" i="1"/>
  <c r="AB28" i="1"/>
  <c r="AE28" i="1"/>
  <c r="AB4" i="1"/>
  <c r="AE4" i="1"/>
  <c r="AB211" i="1"/>
  <c r="AE211" i="1"/>
  <c r="AB326" i="1"/>
  <c r="AE326" i="1"/>
  <c r="AB291" i="1"/>
  <c r="AE291" i="1"/>
  <c r="AB310" i="1"/>
  <c r="AE310" i="1"/>
  <c r="AB418" i="1"/>
  <c r="AB433" i="1"/>
  <c r="AE433" i="1"/>
  <c r="AB580" i="1"/>
  <c r="AE580" i="1"/>
  <c r="AB502" i="1"/>
  <c r="AE502" i="1"/>
  <c r="AB156" i="1"/>
  <c r="AE156" i="1"/>
  <c r="AB165" i="1"/>
  <c r="AE165" i="1"/>
  <c r="AB166" i="1"/>
  <c r="AE166" i="1"/>
  <c r="AB391" i="1"/>
  <c r="AE391" i="1"/>
  <c r="AB74" i="1"/>
  <c r="AE74" i="1"/>
  <c r="AB100" i="1"/>
  <c r="AE100" i="1"/>
  <c r="AB89" i="1"/>
  <c r="AE89" i="1"/>
  <c r="AB30" i="1"/>
  <c r="AE30" i="1"/>
  <c r="AB27" i="1"/>
  <c r="AE27" i="1"/>
  <c r="AB118" i="1"/>
  <c r="AE118" i="1"/>
  <c r="AB73" i="1"/>
  <c r="AE73" i="1"/>
  <c r="AB178" i="1"/>
  <c r="AE178" i="1"/>
  <c r="AB193" i="1"/>
  <c r="AE193" i="1"/>
  <c r="AB197" i="1"/>
  <c r="AE197" i="1"/>
  <c r="AB187" i="1"/>
  <c r="AE187" i="1"/>
  <c r="AB183" i="1"/>
  <c r="AE183" i="1"/>
  <c r="AB347" i="1"/>
  <c r="AE347" i="1"/>
  <c r="AB224" i="1"/>
  <c r="AE224" i="1"/>
  <c r="AB337" i="1"/>
  <c r="AE337" i="1"/>
  <c r="AB243" i="1"/>
  <c r="AE243" i="1"/>
  <c r="AB316" i="1"/>
  <c r="AE316" i="1"/>
  <c r="AB341" i="1"/>
  <c r="AE341" i="1"/>
  <c r="AB257" i="1"/>
  <c r="AE257" i="1"/>
  <c r="AB397" i="1"/>
  <c r="AE397" i="1"/>
  <c r="AB351" i="1"/>
  <c r="AE351" i="1"/>
  <c r="AB512" i="1"/>
  <c r="AE512" i="1"/>
  <c r="AB431" i="1"/>
  <c r="AE431" i="1"/>
  <c r="AB408" i="1"/>
  <c r="AE408" i="1"/>
  <c r="AB150" i="1"/>
  <c r="AE150" i="1"/>
  <c r="AB149" i="1"/>
  <c r="AE149" i="1"/>
  <c r="AB168" i="1"/>
  <c r="AE168" i="1"/>
  <c r="AB86" i="1"/>
  <c r="AE86" i="1"/>
  <c r="AB11" i="1"/>
  <c r="AE11" i="1"/>
  <c r="AB125" i="1"/>
  <c r="AE125" i="1"/>
  <c r="AB153" i="1"/>
  <c r="AE153" i="1"/>
  <c r="AB67" i="1"/>
  <c r="AE67" i="1"/>
  <c r="AB7" i="1"/>
  <c r="AE7" i="1"/>
  <c r="AB143" i="1"/>
  <c r="AE143" i="1"/>
  <c r="AB105" i="1"/>
  <c r="AE105" i="1"/>
  <c r="AB209" i="1"/>
  <c r="AE209" i="1"/>
  <c r="AB200" i="1"/>
  <c r="AE200" i="1"/>
  <c r="AB223" i="1"/>
  <c r="AE223" i="1"/>
  <c r="AB261" i="1"/>
  <c r="AE261" i="1"/>
  <c r="AB244" i="1"/>
  <c r="AE244" i="1"/>
  <c r="AB236" i="1"/>
  <c r="AE236" i="1"/>
  <c r="AB228" i="1"/>
  <c r="AE228" i="1"/>
  <c r="AB290" i="1"/>
  <c r="AE290" i="1"/>
  <c r="AB300" i="1"/>
  <c r="AE300" i="1"/>
  <c r="AB350" i="1"/>
  <c r="AE350" i="1"/>
  <c r="AB229" i="1"/>
  <c r="AE229" i="1"/>
  <c r="AB226" i="1"/>
  <c r="AE226" i="1"/>
  <c r="AB215" i="1"/>
  <c r="AE215" i="1"/>
  <c r="AB376" i="1"/>
  <c r="AE376" i="1"/>
  <c r="AB331" i="1"/>
  <c r="AE331" i="1"/>
  <c r="AB467" i="1"/>
  <c r="AE467" i="1"/>
  <c r="AB489" i="1"/>
  <c r="AE489" i="1"/>
  <c r="AB527" i="1"/>
  <c r="AE527" i="1"/>
  <c r="AB492" i="1"/>
  <c r="AE492" i="1"/>
  <c r="AB407" i="1"/>
  <c r="AE407" i="1"/>
  <c r="AB515" i="1"/>
  <c r="AE515" i="1"/>
  <c r="AB82" i="1"/>
  <c r="AE82" i="1"/>
  <c r="AB374" i="1"/>
  <c r="AE374" i="1"/>
  <c r="AB395" i="1"/>
  <c r="AE395" i="1"/>
  <c r="AB59" i="1"/>
  <c r="AE59" i="1"/>
  <c r="AB234" i="1"/>
  <c r="AE234" i="1"/>
  <c r="AB513" i="1"/>
  <c r="AE513" i="1"/>
  <c r="AB84" i="1"/>
  <c r="AE84" i="1"/>
  <c r="AB250" i="1"/>
  <c r="AE250" i="1"/>
  <c r="AB381" i="1"/>
  <c r="AE381" i="1"/>
  <c r="AB81" i="1"/>
  <c r="AE81" i="1"/>
  <c r="AB286" i="1"/>
  <c r="AE286" i="1"/>
  <c r="AB40" i="1"/>
  <c r="AE40" i="1"/>
  <c r="AB192" i="1"/>
  <c r="AE192" i="1"/>
  <c r="AB252" i="1"/>
  <c r="AE252" i="1"/>
  <c r="AB95" i="1"/>
  <c r="AE95" i="1"/>
  <c r="AB276" i="1"/>
  <c r="AE276" i="1"/>
  <c r="AB101" i="1"/>
  <c r="AE101" i="1"/>
  <c r="AB135" i="1"/>
  <c r="AE135" i="1"/>
  <c r="AB205" i="1"/>
  <c r="AE205" i="1"/>
  <c r="AB320" i="1"/>
  <c r="AE320" i="1"/>
  <c r="AB354" i="1"/>
  <c r="AE354" i="1"/>
  <c r="AB383" i="1"/>
  <c r="AE383" i="1"/>
  <c r="AB222" i="1"/>
  <c r="AE222" i="1"/>
  <c r="AB163" i="1"/>
  <c r="AE163" i="1"/>
  <c r="AB97" i="1"/>
  <c r="AE97" i="1"/>
  <c r="AB145" i="1"/>
  <c r="AE145" i="1"/>
  <c r="AB259" i="1"/>
  <c r="AE259" i="1"/>
  <c r="AB225" i="1"/>
  <c r="AE225" i="1"/>
  <c r="AB318" i="1"/>
  <c r="AE318" i="1"/>
  <c r="AB498" i="1"/>
  <c r="AE498" i="1"/>
  <c r="AB406" i="1"/>
  <c r="AE406" i="1"/>
  <c r="AB116" i="1"/>
  <c r="AE116" i="1"/>
  <c r="AB324" i="1"/>
  <c r="AE324" i="1"/>
  <c r="AB313" i="1"/>
  <c r="AE313" i="1"/>
  <c r="AB466" i="1"/>
  <c r="AE466" i="1"/>
  <c r="AB171" i="1"/>
  <c r="AE171" i="1"/>
  <c r="AB99" i="1"/>
  <c r="AE99" i="1"/>
  <c r="AB297" i="1"/>
  <c r="AE297" i="1"/>
  <c r="AB269" i="1"/>
  <c r="AE269" i="1"/>
  <c r="AB365" i="1"/>
  <c r="AE365" i="1"/>
  <c r="AB51" i="1"/>
  <c r="AE51" i="1"/>
  <c r="AB158" i="1"/>
  <c r="AE158" i="1"/>
  <c r="AB371" i="1"/>
  <c r="AE371" i="1"/>
  <c r="AB309" i="1"/>
  <c r="AE309" i="1"/>
  <c r="AB317" i="1"/>
  <c r="AE317" i="1"/>
  <c r="AB518" i="1"/>
  <c r="AE518" i="1"/>
  <c r="AB87" i="1"/>
  <c r="AE87" i="1"/>
  <c r="AB141" i="1"/>
  <c r="AE141" i="1"/>
  <c r="AB342" i="1"/>
  <c r="AE342" i="1"/>
  <c r="AB387" i="1"/>
  <c r="AE387" i="1"/>
  <c r="AB319" i="1"/>
  <c r="AE319" i="1"/>
  <c r="AB437" i="1"/>
  <c r="AE437" i="1"/>
  <c r="AB429" i="1"/>
  <c r="AE429" i="1"/>
  <c r="AB152" i="1"/>
  <c r="AE152" i="1"/>
  <c r="AB58" i="1"/>
  <c r="AE58" i="1"/>
  <c r="AB283" i="1"/>
  <c r="AE283" i="1"/>
  <c r="AB8" i="1"/>
  <c r="AE8" i="1"/>
  <c r="AB19" i="1"/>
  <c r="AE19" i="1"/>
  <c r="AB336" i="1"/>
  <c r="AE336" i="1"/>
  <c r="AB288" i="1"/>
  <c r="AE288" i="1"/>
  <c r="AB366" i="1"/>
  <c r="AE366" i="1"/>
  <c r="AB5" i="1"/>
  <c r="AE5" i="1"/>
  <c r="AB6" i="1"/>
  <c r="AE6" i="1"/>
  <c r="AB31" i="1"/>
  <c r="AE31" i="1"/>
  <c r="AB196" i="1"/>
  <c r="AE196" i="1"/>
  <c r="AB240" i="1"/>
  <c r="AE240" i="1"/>
  <c r="AB293" i="1"/>
  <c r="AE293" i="1"/>
  <c r="AB306" i="1"/>
  <c r="AE306" i="1"/>
  <c r="AB363" i="1"/>
  <c r="AE363" i="1"/>
  <c r="AB77" i="1"/>
  <c r="AE77" i="1"/>
  <c r="AB123" i="1"/>
  <c r="AE123" i="1"/>
  <c r="AB85" i="1"/>
  <c r="AE85" i="1"/>
  <c r="AB206" i="1"/>
  <c r="AE206" i="1"/>
  <c r="AB190" i="1"/>
  <c r="AE190" i="1"/>
  <c r="AB372" i="1"/>
  <c r="AE372" i="1"/>
  <c r="AB264" i="1"/>
  <c r="AE264" i="1"/>
  <c r="AB258" i="1"/>
  <c r="AE258" i="1"/>
  <c r="AB241" i="1"/>
  <c r="AE241" i="1"/>
  <c r="AB285" i="1"/>
  <c r="AE285" i="1"/>
  <c r="AB333" i="1"/>
  <c r="AE333" i="1"/>
  <c r="AB230" i="1"/>
  <c r="AE230" i="1"/>
  <c r="AB362" i="1"/>
  <c r="AE362" i="1"/>
  <c r="AB299" i="1"/>
  <c r="AE299" i="1"/>
  <c r="AB378" i="1"/>
  <c r="AE378" i="1"/>
  <c r="AB321" i="1"/>
  <c r="AE321" i="1"/>
  <c r="AB490" i="1"/>
  <c r="AE490" i="1"/>
  <c r="AB514" i="1"/>
  <c r="AE514" i="1"/>
  <c r="AB64" i="1"/>
  <c r="AE64" i="1"/>
  <c r="AB65" i="1"/>
  <c r="AE65" i="1"/>
  <c r="AB42" i="1"/>
  <c r="AE42" i="1"/>
  <c r="AB111" i="1"/>
  <c r="AE111" i="1"/>
  <c r="AB76" i="1"/>
  <c r="AE76" i="1"/>
  <c r="AB112" i="1"/>
  <c r="AE112" i="1"/>
  <c r="AB121" i="1"/>
  <c r="AE121" i="1"/>
  <c r="AB21" i="1"/>
  <c r="AE21" i="1"/>
  <c r="AB90" i="1"/>
  <c r="AE90" i="1"/>
  <c r="AB57" i="1"/>
  <c r="AE57" i="1"/>
  <c r="AB52" i="1"/>
  <c r="AE52" i="1"/>
  <c r="AB201" i="1"/>
  <c r="AE201" i="1"/>
  <c r="AB214" i="1"/>
  <c r="AE214" i="1"/>
  <c r="AB249" i="1"/>
  <c r="AE249" i="1"/>
  <c r="AB343" i="1"/>
  <c r="AE343" i="1"/>
  <c r="AB344" i="1"/>
  <c r="AE344" i="1"/>
  <c r="AB356" i="1"/>
  <c r="AE356" i="1"/>
  <c r="AB357" i="1"/>
  <c r="AE357" i="1"/>
  <c r="AB361" i="1"/>
  <c r="AE361" i="1"/>
  <c r="AB284" i="1"/>
  <c r="AE284" i="1"/>
  <c r="AB281" i="1"/>
  <c r="AE281" i="1"/>
  <c r="AB358" i="1"/>
  <c r="AE358" i="1"/>
  <c r="AB355" i="1"/>
  <c r="AE355" i="1"/>
  <c r="AB332" i="1"/>
  <c r="AE332" i="1"/>
  <c r="AB385" i="1"/>
  <c r="AE385" i="1"/>
  <c r="AB401" i="1"/>
  <c r="AE401" i="1"/>
  <c r="AB302" i="1"/>
  <c r="AE302" i="1"/>
  <c r="AB345" i="1"/>
  <c r="AE345" i="1"/>
  <c r="AB500" i="1"/>
  <c r="AE500" i="1"/>
  <c r="AB516" i="1"/>
  <c r="AE516" i="1"/>
  <c r="AB537" i="1"/>
  <c r="AE537" i="1"/>
  <c r="AB430" i="1"/>
  <c r="AE430" i="1"/>
  <c r="AB436" i="1"/>
  <c r="AE436" i="1"/>
  <c r="AB38" i="1"/>
  <c r="AE38" i="1"/>
  <c r="AB185" i="1"/>
  <c r="AE185" i="1"/>
  <c r="AB379" i="1"/>
  <c r="AE379" i="1"/>
  <c r="AB473" i="1"/>
  <c r="AE473" i="1"/>
  <c r="AB45" i="1"/>
  <c r="AE45" i="1"/>
  <c r="AB198" i="1"/>
  <c r="AE198" i="1"/>
  <c r="AB346" i="1"/>
  <c r="AE346" i="1"/>
  <c r="AB329" i="1"/>
  <c r="AE329" i="1"/>
  <c r="AB109" i="1"/>
  <c r="AE109" i="1"/>
  <c r="AB352" i="1"/>
  <c r="AE352" i="1"/>
  <c r="AB496" i="1"/>
  <c r="AE496" i="1"/>
  <c r="AB138" i="1"/>
  <c r="AE138" i="1"/>
  <c r="AB272" i="1"/>
  <c r="AE272" i="1"/>
  <c r="AB393" i="1"/>
  <c r="AE393" i="1"/>
  <c r="AB434" i="1"/>
  <c r="AE434" i="1"/>
  <c r="AB130" i="1"/>
  <c r="AE130" i="1"/>
  <c r="AB62" i="1"/>
  <c r="AE62" i="1"/>
  <c r="AB172" i="1"/>
  <c r="AE172" i="1"/>
  <c r="AB80" i="1"/>
  <c r="AE80" i="1"/>
  <c r="AB471" i="1"/>
  <c r="AE471" i="1"/>
  <c r="AB304" i="1"/>
  <c r="AE304" i="1"/>
  <c r="AB263" i="1"/>
  <c r="AE263" i="1"/>
  <c r="AB367" i="1"/>
  <c r="AE367" i="1"/>
  <c r="AB455" i="1"/>
  <c r="AE455" i="1"/>
  <c r="AB18" i="1"/>
  <c r="AE18" i="1"/>
  <c r="AB267" i="1"/>
  <c r="AE267" i="1"/>
  <c r="AB39" i="1"/>
  <c r="AE39" i="1"/>
  <c r="AB128" i="1"/>
  <c r="AE128" i="1"/>
  <c r="AB247" i="1"/>
  <c r="AE247" i="1"/>
  <c r="AB388" i="1"/>
  <c r="AE388" i="1"/>
  <c r="AB43" i="1"/>
  <c r="AE43" i="1"/>
  <c r="AB265" i="1"/>
  <c r="AE265" i="1"/>
  <c r="AB504" i="1"/>
  <c r="AE504" i="1"/>
  <c r="AB137" i="1"/>
  <c r="AE137" i="1"/>
  <c r="AB127" i="1"/>
  <c r="AE127" i="1"/>
  <c r="AB298" i="1"/>
  <c r="AE298" i="1"/>
  <c r="AB390" i="1"/>
  <c r="AE390" i="1"/>
  <c r="AB295" i="1"/>
  <c r="AE295" i="1"/>
  <c r="AB359" i="1"/>
  <c r="AE359" i="1"/>
  <c r="AB9" i="1"/>
  <c r="AE9" i="1"/>
  <c r="AB231" i="1"/>
  <c r="AE231" i="1"/>
  <c r="AB148" i="1"/>
  <c r="AE148" i="1"/>
  <c r="AB405" i="1"/>
  <c r="AE405" i="1"/>
  <c r="AB102" i="1"/>
  <c r="AE102" i="1"/>
  <c r="AB114" i="1"/>
  <c r="AE114" i="1"/>
  <c r="AB25" i="1"/>
  <c r="AE25" i="1"/>
  <c r="AB182" i="1"/>
  <c r="AE182" i="1"/>
  <c r="AB235" i="1"/>
  <c r="AE235" i="1"/>
  <c r="AB292" i="1"/>
  <c r="AE292" i="1"/>
  <c r="AB402" i="1"/>
  <c r="AE402" i="1"/>
  <c r="AB501" i="1"/>
  <c r="AE501" i="1"/>
  <c r="AB480" i="1"/>
  <c r="AE480" i="1"/>
  <c r="AB15" i="1"/>
  <c r="AE15" i="1"/>
  <c r="AB140" i="1"/>
  <c r="AE140" i="1"/>
  <c r="AB177" i="1"/>
  <c r="AE177" i="1"/>
  <c r="AB308" i="1"/>
  <c r="AE308" i="1"/>
  <c r="AB312" i="1"/>
  <c r="AE312" i="1"/>
  <c r="AB493" i="1"/>
  <c r="AE493" i="1"/>
  <c r="AB477" i="1"/>
  <c r="AE477" i="1"/>
  <c r="AB69" i="1"/>
  <c r="AE69" i="1"/>
  <c r="AB117" i="1"/>
  <c r="AE117" i="1"/>
  <c r="AB194" i="1"/>
  <c r="AE194" i="1"/>
  <c r="AB254" i="1"/>
  <c r="AE254" i="1"/>
  <c r="AB382" i="1"/>
  <c r="AE382" i="1"/>
  <c r="AB266" i="1"/>
  <c r="AE266" i="1"/>
  <c r="AB438" i="1"/>
  <c r="AE438" i="1"/>
  <c r="AB106" i="1"/>
  <c r="AE106" i="1"/>
  <c r="AB270" i="1"/>
  <c r="AE270" i="1"/>
  <c r="AB202" i="1"/>
  <c r="AE202" i="1"/>
  <c r="AB334" i="1"/>
  <c r="AE334" i="1"/>
  <c r="AB403" i="1"/>
  <c r="AE403" i="1"/>
  <c r="AB519" i="1"/>
  <c r="AE519" i="1"/>
  <c r="AB521" i="1"/>
  <c r="AE521" i="1"/>
  <c r="AB169" i="1"/>
  <c r="AE169" i="1"/>
  <c r="AB68" i="1"/>
  <c r="AE68" i="1"/>
  <c r="AB70" i="1"/>
  <c r="AE70" i="1"/>
  <c r="AB189" i="1"/>
  <c r="AE189" i="1"/>
  <c r="AB368" i="1"/>
  <c r="AE368" i="1"/>
  <c r="AB256" i="1"/>
  <c r="AE256" i="1"/>
  <c r="AB255" i="1"/>
  <c r="AE255" i="1"/>
  <c r="AB274" i="1"/>
  <c r="AE274" i="1"/>
  <c r="AB353" i="1"/>
  <c r="AE353" i="1"/>
  <c r="AB505" i="1"/>
  <c r="AE505" i="1"/>
  <c r="AB164" i="1"/>
  <c r="AE164" i="1"/>
  <c r="AB63" i="1"/>
  <c r="AE63" i="1"/>
  <c r="AB188" i="1"/>
  <c r="AE188" i="1"/>
  <c r="AB399" i="1"/>
  <c r="AE399" i="1"/>
  <c r="AB174" i="1"/>
  <c r="AE174" i="1"/>
  <c r="AB323" i="1"/>
  <c r="AE323" i="1"/>
  <c r="AB22" i="1"/>
  <c r="AE22" i="1"/>
  <c r="AB35" i="1"/>
  <c r="AE35" i="1"/>
  <c r="AB91" i="1"/>
  <c r="AE91" i="1"/>
  <c r="AB119" i="1"/>
  <c r="AE119" i="1"/>
  <c r="AB227" i="1"/>
  <c r="AE227" i="1"/>
  <c r="AB242" i="1"/>
  <c r="AE242" i="1"/>
  <c r="AB335" i="1"/>
  <c r="AE335" i="1"/>
  <c r="AB377" i="1"/>
  <c r="AE377" i="1"/>
  <c r="AB497" i="1"/>
  <c r="AE497" i="1"/>
  <c r="AB93" i="1"/>
  <c r="AE93" i="1"/>
  <c r="AB195" i="1"/>
  <c r="AE195" i="1"/>
  <c r="AB78" i="1"/>
  <c r="AE78" i="1"/>
  <c r="AB10" i="1"/>
  <c r="AE10" i="1"/>
  <c r="AB12" i="1"/>
  <c r="AE12" i="1"/>
  <c r="AB134" i="1"/>
  <c r="AE134" i="1"/>
  <c r="AB32" i="1"/>
  <c r="AE32" i="1"/>
  <c r="AB208" i="1"/>
  <c r="AE208" i="1"/>
  <c r="AB375" i="1"/>
  <c r="AE375" i="1"/>
  <c r="AB394" i="1"/>
  <c r="AE394" i="1"/>
  <c r="AB245" i="1"/>
  <c r="AE245" i="1"/>
  <c r="AB384" i="1"/>
  <c r="AE384" i="1"/>
  <c r="AB103" i="1"/>
  <c r="AE103" i="1"/>
  <c r="AB34" i="1"/>
  <c r="AE34" i="1"/>
  <c r="AB37" i="1"/>
  <c r="AE37" i="1"/>
  <c r="AB75" i="1"/>
  <c r="AE75" i="1"/>
  <c r="AB179" i="1"/>
  <c r="AE179" i="1"/>
  <c r="AB220" i="1"/>
  <c r="AE220" i="1"/>
  <c r="AB218" i="1"/>
  <c r="AE218" i="1"/>
  <c r="AB262" i="1"/>
  <c r="AE262" i="1"/>
  <c r="AB296" i="1"/>
  <c r="AE296" i="1"/>
  <c r="AB303" i="1"/>
  <c r="AE303" i="1"/>
  <c r="AB392" i="1"/>
  <c r="AE392" i="1"/>
  <c r="AB380" i="1"/>
  <c r="AE380" i="1"/>
  <c r="AB217" i="1"/>
  <c r="AE217" i="1"/>
  <c r="AB370" i="1"/>
  <c r="AE370" i="1"/>
  <c r="AB314" i="1"/>
  <c r="AE314" i="1"/>
  <c r="AB233" i="1"/>
  <c r="AE233" i="1"/>
  <c r="AB508" i="1"/>
  <c r="AE508" i="1"/>
  <c r="AB569" i="1"/>
  <c r="AE569" i="1"/>
  <c r="AB146" i="1"/>
  <c r="AE146" i="1"/>
  <c r="AB83" i="1"/>
  <c r="AE83" i="1"/>
  <c r="AB207" i="1"/>
  <c r="AE207" i="1"/>
  <c r="AB340" i="1"/>
  <c r="AE340" i="1"/>
  <c r="AB49" i="1"/>
  <c r="AE49" i="1"/>
  <c r="AB96" i="1"/>
  <c r="AE96" i="1"/>
  <c r="AB212" i="1"/>
  <c r="AE212" i="1"/>
  <c r="AB404" i="1"/>
  <c r="AE404" i="1"/>
  <c r="AB213" i="1"/>
  <c r="AE213" i="1"/>
  <c r="AB173" i="1"/>
  <c r="AE173" i="1"/>
  <c r="AB136" i="1"/>
  <c r="AE136" i="1"/>
  <c r="AB238" i="1"/>
  <c r="AE238" i="1"/>
  <c r="AB338" i="1"/>
  <c r="AE338" i="1"/>
  <c r="AB389" i="1"/>
  <c r="AE389" i="1"/>
  <c r="AB315" i="1"/>
  <c r="AE315" i="1"/>
  <c r="AB364" i="1"/>
  <c r="AE364" i="1"/>
  <c r="AB54" i="1"/>
  <c r="AE54" i="1"/>
  <c r="AB3" i="1"/>
  <c r="AE3" i="1"/>
  <c r="AB131" i="1"/>
  <c r="AE131" i="1"/>
  <c r="AB204" i="1"/>
  <c r="AE204" i="1"/>
  <c r="AB322" i="1"/>
  <c r="AE322" i="1"/>
  <c r="AB400" i="1"/>
  <c r="AE400" i="1"/>
  <c r="AB426" i="1"/>
  <c r="AE426" i="1"/>
  <c r="AB29" i="1"/>
  <c r="AE29" i="1"/>
  <c r="AB161" i="1"/>
  <c r="AE161" i="1"/>
  <c r="AB273" i="1"/>
  <c r="AE273" i="1"/>
  <c r="AB239" i="1"/>
  <c r="AE239" i="1"/>
  <c r="AB307" i="1"/>
  <c r="AE307" i="1"/>
  <c r="AB560" i="1"/>
  <c r="AE560" i="1"/>
  <c r="AB154" i="1"/>
  <c r="AE154" i="1"/>
  <c r="AB47" i="1"/>
  <c r="AE47" i="1"/>
  <c r="AB16" i="1"/>
  <c r="AE16" i="1"/>
  <c r="AB328" i="1"/>
  <c r="AE328" i="1"/>
  <c r="AB175" i="1"/>
  <c r="AE175" i="1"/>
  <c r="AB237" i="1"/>
  <c r="AE237" i="1"/>
  <c r="AB311" i="1"/>
  <c r="AE311" i="1"/>
  <c r="AB278" i="1"/>
  <c r="AE278" i="1"/>
  <c r="AB216" i="1"/>
  <c r="AE216" i="1"/>
  <c r="AB305" i="1"/>
  <c r="AE305" i="1"/>
  <c r="AB432" i="1"/>
  <c r="AE432" i="1"/>
  <c r="AB44" i="1"/>
  <c r="AE44" i="1"/>
  <c r="AB147" i="1"/>
  <c r="AE147" i="1"/>
  <c r="AB88" i="1"/>
  <c r="AE88" i="1"/>
  <c r="AB98" i="1"/>
  <c r="AE98" i="1"/>
  <c r="AB282" i="1"/>
  <c r="AE282" i="1"/>
  <c r="AB50" i="1"/>
  <c r="AE50" i="1"/>
  <c r="AB20" i="1"/>
  <c r="AE20" i="1"/>
  <c r="AB159" i="1"/>
  <c r="AE159" i="1"/>
  <c r="AB248" i="1"/>
  <c r="AE248" i="1"/>
  <c r="AB360" i="1"/>
  <c r="AE360" i="1"/>
  <c r="AB511" i="1"/>
  <c r="AE511" i="1"/>
  <c r="AB46" i="1"/>
  <c r="AE46" i="1"/>
  <c r="AB61" i="1"/>
  <c r="AE61" i="1"/>
  <c r="AB124" i="1"/>
  <c r="AE124" i="1"/>
  <c r="AB79" i="1"/>
  <c r="AE79" i="1"/>
  <c r="AB162" i="1"/>
  <c r="AE162" i="1"/>
  <c r="AB71" i="1"/>
  <c r="AE71" i="1"/>
  <c r="AB53" i="1"/>
  <c r="AE53" i="1"/>
  <c r="AB94" i="1"/>
  <c r="AE94" i="1"/>
  <c r="AB13" i="1"/>
  <c r="AE13" i="1"/>
  <c r="AB108" i="1"/>
  <c r="AE108" i="1"/>
  <c r="AB180" i="1"/>
  <c r="AE180" i="1"/>
  <c r="AB181" i="1"/>
  <c r="AE181" i="1"/>
  <c r="AB203" i="1"/>
  <c r="AE203" i="1"/>
  <c r="AB339" i="1"/>
  <c r="AE339" i="1"/>
  <c r="AB506" i="1"/>
  <c r="AE506" i="1"/>
  <c r="AB507" i="1"/>
  <c r="AE507" i="1"/>
  <c r="AB452" i="1"/>
  <c r="AE452" i="1"/>
  <c r="AB571" i="1"/>
  <c r="AE571" i="1"/>
  <c r="AB104" i="1"/>
  <c r="AE104" i="1"/>
  <c r="AB271" i="1"/>
  <c r="AE271" i="1"/>
  <c r="AB113" i="1"/>
  <c r="AE113" i="1"/>
  <c r="AB36" i="1"/>
  <c r="AE36" i="1"/>
  <c r="AB132" i="1"/>
  <c r="AE132" i="1"/>
  <c r="AB129" i="1"/>
  <c r="AE129" i="1"/>
  <c r="AB107" i="1"/>
  <c r="AE107" i="1"/>
  <c r="AB279" i="1"/>
  <c r="AE279" i="1"/>
  <c r="AB219" i="1"/>
  <c r="AE219" i="1"/>
  <c r="AB386" i="1"/>
  <c r="AE386" i="1"/>
  <c r="AB120" i="1"/>
  <c r="AE120" i="1"/>
  <c r="AB122" i="1"/>
  <c r="AE122" i="1"/>
  <c r="AB167" i="1"/>
  <c r="AE167" i="1"/>
  <c r="AB72" i="1"/>
  <c r="AE72" i="1"/>
  <c r="AB139" i="1"/>
  <c r="AE139" i="1"/>
  <c r="AB55" i="1"/>
  <c r="AE55" i="1"/>
  <c r="AB56" i="1"/>
  <c r="AE56" i="1"/>
  <c r="AB14" i="1"/>
  <c r="AE14" i="1"/>
  <c r="AB170" i="1"/>
  <c r="AE170" i="1"/>
  <c r="AB92" i="1"/>
  <c r="AE92" i="1"/>
  <c r="AB151" i="1"/>
  <c r="AE151" i="1"/>
  <c r="AB199" i="1"/>
  <c r="AE199" i="1"/>
  <c r="AB184" i="1"/>
  <c r="AE184" i="1"/>
  <c r="AB186" i="1"/>
  <c r="AE186" i="1"/>
  <c r="AB349" i="1"/>
  <c r="AE349" i="1"/>
  <c r="AB221" i="1"/>
  <c r="AE221" i="1"/>
  <c r="AB176" i="1"/>
  <c r="AE176" i="1"/>
  <c r="AB260" i="1"/>
  <c r="AE260" i="1"/>
  <c r="AB294" i="1"/>
  <c r="AE294" i="1"/>
  <c r="AB325" i="1"/>
  <c r="AE325" i="1"/>
  <c r="AB289" i="1"/>
  <c r="AE289" i="1"/>
  <c r="AB301" i="1"/>
  <c r="AE301" i="1"/>
  <c r="AB398" i="1"/>
  <c r="AE398" i="1"/>
  <c r="AB253" i="1"/>
  <c r="AE253" i="1"/>
  <c r="AB369" i="1"/>
  <c r="AE369" i="1"/>
  <c r="AB373" i="1"/>
  <c r="AE373" i="1"/>
  <c r="AB517" i="1"/>
  <c r="AE517" i="1"/>
  <c r="AB494" i="1"/>
  <c r="AE494" i="1"/>
  <c r="AB482" i="1"/>
  <c r="AE482" i="1"/>
  <c r="AB572" i="1"/>
  <c r="AE572" i="1"/>
</calcChain>
</file>

<file path=xl/sharedStrings.xml><?xml version="1.0" encoding="utf-8"?>
<sst xmlns="http://schemas.openxmlformats.org/spreadsheetml/2006/main" count="11523" uniqueCount="1215">
  <si>
    <t>A</t>
  </si>
  <si>
    <t>23-11-25:1330</t>
  </si>
  <si>
    <t>23-11-25:1600</t>
  </si>
  <si>
    <t>23-11-25:1830</t>
  </si>
  <si>
    <t>23-11-26:1500</t>
  </si>
  <si>
    <t>23-11-26:1730</t>
  </si>
  <si>
    <t>23-11-27:2100</t>
  </si>
  <si>
    <t>Eng</t>
  </si>
  <si>
    <t>P</t>
  </si>
  <si>
    <t>ManC</t>
  </si>
  <si>
    <t>Burn</t>
  </si>
  <si>
    <t>Luton</t>
  </si>
  <si>
    <t>NewC</t>
  </si>
  <si>
    <t>Nott</t>
  </si>
  <si>
    <t>SheU</t>
  </si>
  <si>
    <t>Brent</t>
  </si>
  <si>
    <t>Tott</t>
  </si>
  <si>
    <t>Evert</t>
  </si>
  <si>
    <t>Fulh</t>
  </si>
  <si>
    <t>Liver</t>
  </si>
  <si>
    <t>Wham</t>
  </si>
  <si>
    <t>Crystal</t>
  </si>
  <si>
    <t>Chels</t>
  </si>
  <si>
    <t>Brigh</t>
  </si>
  <si>
    <t>Bourn</t>
  </si>
  <si>
    <t>Arsen</t>
  </si>
  <si>
    <t>Aston</t>
  </si>
  <si>
    <t>ManU</t>
  </si>
  <si>
    <t>Wolv</t>
  </si>
  <si>
    <t>D</t>
  </si>
  <si>
    <t>W</t>
  </si>
  <si>
    <t>L</t>
  </si>
  <si>
    <t>C</t>
  </si>
  <si>
    <t>B</t>
  </si>
  <si>
    <t>23-11-24:2100</t>
  </si>
  <si>
    <t>Roth</t>
  </si>
  <si>
    <t>Leeds</t>
  </si>
  <si>
    <t>Birm</t>
  </si>
  <si>
    <t>SheW</t>
  </si>
  <si>
    <t>BriC</t>
  </si>
  <si>
    <t>Middl</t>
  </si>
  <si>
    <t>Hudd</t>
  </si>
  <si>
    <t>South</t>
  </si>
  <si>
    <t>Leice</t>
  </si>
  <si>
    <t>Watf</t>
  </si>
  <si>
    <t>Millw</t>
  </si>
  <si>
    <t>Coven</t>
  </si>
  <si>
    <t>Norwi</t>
  </si>
  <si>
    <t>QPR</t>
  </si>
  <si>
    <t>Plym</t>
  </si>
  <si>
    <t>Sund</t>
  </si>
  <si>
    <t>Prest</t>
  </si>
  <si>
    <t>Cardi</t>
  </si>
  <si>
    <t>Stoke</t>
  </si>
  <si>
    <t>Blackb</t>
  </si>
  <si>
    <t>Swan</t>
  </si>
  <si>
    <t>Hull</t>
  </si>
  <si>
    <t>WBA</t>
  </si>
  <si>
    <t>Ipswi</t>
  </si>
  <si>
    <t>Esp</t>
  </si>
  <si>
    <t>Alav</t>
  </si>
  <si>
    <t>Gran</t>
  </si>
  <si>
    <t>23-11-25:1400</t>
  </si>
  <si>
    <t>23-11-25:1615</t>
  </si>
  <si>
    <t>23-11-25:2100</t>
  </si>
  <si>
    <t>23-11-26:1400</t>
  </si>
  <si>
    <t>23-11-26:1615</t>
  </si>
  <si>
    <t>23-11-26:1830</t>
  </si>
  <si>
    <t>23-11-26:2100</t>
  </si>
  <si>
    <t>Barca</t>
  </si>
  <si>
    <t>RVall</t>
  </si>
  <si>
    <t>Valen</t>
  </si>
  <si>
    <t>Celta</t>
  </si>
  <si>
    <t>Getaf</t>
  </si>
  <si>
    <t>Almer</t>
  </si>
  <si>
    <t>Atlet</t>
  </si>
  <si>
    <t>Mallo</t>
  </si>
  <si>
    <t>VillaR</t>
  </si>
  <si>
    <t>Osasu</t>
  </si>
  <si>
    <t>Socied</t>
  </si>
  <si>
    <t>Sevilla</t>
  </si>
  <si>
    <t>Cadiz</t>
  </si>
  <si>
    <t>Real</t>
  </si>
  <si>
    <t>Giro</t>
  </si>
  <si>
    <t>Bilba</t>
  </si>
  <si>
    <t>Betis</t>
  </si>
  <si>
    <t>Palma</t>
  </si>
  <si>
    <t>23-11-18:1615</t>
  </si>
  <si>
    <t>23-11-18:1830</t>
  </si>
  <si>
    <t>23-11-18:2100</t>
  </si>
  <si>
    <t>23-11-19:1400</t>
  </si>
  <si>
    <t>23-11-19:1615</t>
  </si>
  <si>
    <t>23-11-19:1830</t>
  </si>
  <si>
    <t>23-11-20:2100</t>
  </si>
  <si>
    <t>23-11-17:2100</t>
  </si>
  <si>
    <t>Valla</t>
  </si>
  <si>
    <t>Legan</t>
  </si>
  <si>
    <t>Alcor</t>
  </si>
  <si>
    <t>Gijon</t>
  </si>
  <si>
    <t>Amore</t>
  </si>
  <si>
    <t>Tener</t>
  </si>
  <si>
    <t>Zarag</t>
  </si>
  <si>
    <t>Hues</t>
  </si>
  <si>
    <t>Espan</t>
  </si>
  <si>
    <t>Elche</t>
  </si>
  <si>
    <t>Ferrol</t>
  </si>
  <si>
    <t>Burgo</t>
  </si>
  <si>
    <t>Elden</t>
  </si>
  <si>
    <t>Miran</t>
  </si>
  <si>
    <t>Ovied</t>
  </si>
  <si>
    <t>Eibar</t>
  </si>
  <si>
    <t>Carta</t>
  </si>
  <si>
    <t>Albac</t>
  </si>
  <si>
    <t>VRRea</t>
  </si>
  <si>
    <t>Andor</t>
  </si>
  <si>
    <t>Levan</t>
  </si>
  <si>
    <t>Santa</t>
  </si>
  <si>
    <t>Ita</t>
  </si>
  <si>
    <t>23-11-25:1500</t>
  </si>
  <si>
    <t>23-11-25:1800</t>
  </si>
  <si>
    <t>23-11-25:2045</t>
  </si>
  <si>
    <t>23-11-26:1230</t>
  </si>
  <si>
    <t>23-11-26:1800</t>
  </si>
  <si>
    <t>23-11-26:2045</t>
  </si>
  <si>
    <t>23-11-27:1830</t>
  </si>
  <si>
    <t>23-11-27:2045</t>
  </si>
  <si>
    <t>Saler</t>
  </si>
  <si>
    <t>Lazio</t>
  </si>
  <si>
    <t>Atala</t>
  </si>
  <si>
    <t>Napo</t>
  </si>
  <si>
    <t>Milan</t>
  </si>
  <si>
    <t>Fiore</t>
  </si>
  <si>
    <t>Cagli</t>
  </si>
  <si>
    <t>Monza</t>
  </si>
  <si>
    <t>Empo</t>
  </si>
  <si>
    <t>Sassu</t>
  </si>
  <si>
    <t>Frosi</t>
  </si>
  <si>
    <t>Geno</t>
  </si>
  <si>
    <t>Roma</t>
  </si>
  <si>
    <t>Udine</t>
  </si>
  <si>
    <t>Juve</t>
  </si>
  <si>
    <t>Inter</t>
  </si>
  <si>
    <t>Vero</t>
  </si>
  <si>
    <t>Lecc</t>
  </si>
  <si>
    <t>Bolog</t>
  </si>
  <si>
    <t>Tori</t>
  </si>
  <si>
    <t>23-11-24:2030</t>
  </si>
  <si>
    <t>Samp</t>
  </si>
  <si>
    <t>Spez</t>
  </si>
  <si>
    <t>Bari</t>
  </si>
  <si>
    <t>Vene</t>
  </si>
  <si>
    <t>Citta</t>
  </si>
  <si>
    <t>Sudt</t>
  </si>
  <si>
    <t>Como</t>
  </si>
  <si>
    <t>FeSa</t>
  </si>
  <si>
    <t>Crem</t>
  </si>
  <si>
    <t>Lecco</t>
  </si>
  <si>
    <t>Parma</t>
  </si>
  <si>
    <t>Mode</t>
  </si>
  <si>
    <t>Regg</t>
  </si>
  <si>
    <t>Ascol</t>
  </si>
  <si>
    <t>Pisa</t>
  </si>
  <si>
    <t>Bresc</t>
  </si>
  <si>
    <t>Catan</t>
  </si>
  <si>
    <t>Cosen</t>
  </si>
  <si>
    <t>Terna</t>
  </si>
  <si>
    <t>Paler</t>
  </si>
  <si>
    <t>Fra</t>
  </si>
  <si>
    <t>23-11-25:1700</t>
  </si>
  <si>
    <t>PSG</t>
  </si>
  <si>
    <t>Mona</t>
  </si>
  <si>
    <t>Clerm</t>
  </si>
  <si>
    <t>Lens</t>
  </si>
  <si>
    <t>Stras</t>
  </si>
  <si>
    <t>Marse</t>
  </si>
  <si>
    <t>Nice</t>
  </si>
  <si>
    <t>Toul</t>
  </si>
  <si>
    <t>Lorie</t>
  </si>
  <si>
    <t>Metz</t>
  </si>
  <si>
    <t>Montp</t>
  </si>
  <si>
    <t>Brest</t>
  </si>
  <si>
    <t>Nante</t>
  </si>
  <si>
    <t>Havre</t>
  </si>
  <si>
    <t>Renne</t>
  </si>
  <si>
    <t>Reims</t>
  </si>
  <si>
    <t>Lyon</t>
  </si>
  <si>
    <t>Lille</t>
  </si>
  <si>
    <t>23-11-25:1900</t>
  </si>
  <si>
    <t>23-11-25:1909</t>
  </si>
  <si>
    <t>Etien</t>
  </si>
  <si>
    <t>Pau</t>
  </si>
  <si>
    <t>Amien</t>
  </si>
  <si>
    <t>Conca</t>
  </si>
  <si>
    <t>Annec</t>
  </si>
  <si>
    <t>Ajacc</t>
  </si>
  <si>
    <t>Basti</t>
  </si>
  <si>
    <t>Auxer</t>
  </si>
  <si>
    <t>Dunq</t>
  </si>
  <si>
    <t>Laval</t>
  </si>
  <si>
    <t>Gren</t>
  </si>
  <si>
    <t>Rodez</t>
  </si>
  <si>
    <t>Paris</t>
  </si>
  <si>
    <t>Borde</t>
  </si>
  <si>
    <t>Quevi</t>
  </si>
  <si>
    <t>Troye</t>
  </si>
  <si>
    <t>Guing</t>
  </si>
  <si>
    <t>Anger</t>
  </si>
  <si>
    <t>Caen</t>
  </si>
  <si>
    <t>Ger</t>
  </si>
  <si>
    <t>23-11-25:1530</t>
  </si>
  <si>
    <t>23-11-26:1530</t>
  </si>
  <si>
    <t>Koln</t>
  </si>
  <si>
    <t>Baye</t>
  </si>
  <si>
    <t>Dort</t>
  </si>
  <si>
    <t>Gladb</t>
  </si>
  <si>
    <t>Freib</t>
  </si>
  <si>
    <t>Darms</t>
  </si>
  <si>
    <t>Augsb</t>
  </si>
  <si>
    <t>Lever</t>
  </si>
  <si>
    <t>Wolfs</t>
  </si>
  <si>
    <t>Leipz</t>
  </si>
  <si>
    <t>Frank</t>
  </si>
  <si>
    <t>Stutt</t>
  </si>
  <si>
    <t>Heide</t>
  </si>
  <si>
    <t>Hoffe</t>
  </si>
  <si>
    <t>Mainz</t>
  </si>
  <si>
    <t>UBerl</t>
  </si>
  <si>
    <t>BochU</t>
  </si>
  <si>
    <t>23-11-24:1830</t>
  </si>
  <si>
    <t>23-11-25:1300</t>
  </si>
  <si>
    <t>23-11-25:2030</t>
  </si>
  <si>
    <t>23-11-26:1330</t>
  </si>
  <si>
    <t>Hamb</t>
  </si>
  <si>
    <t>Braun</t>
  </si>
  <si>
    <t>Hann</t>
  </si>
  <si>
    <t>Herth</t>
  </si>
  <si>
    <t>Elvers</t>
  </si>
  <si>
    <t>Pader</t>
  </si>
  <si>
    <t>Hansa</t>
  </si>
  <si>
    <t>Pauli</t>
  </si>
  <si>
    <t>Magde</t>
  </si>
  <si>
    <t>Dussel</t>
  </si>
  <si>
    <t>Schalk</t>
  </si>
  <si>
    <t>Wehe</t>
  </si>
  <si>
    <t>Kaise</t>
  </si>
  <si>
    <t>HolKi</t>
  </si>
  <si>
    <t>Karls</t>
  </si>
  <si>
    <t>Nurnb</t>
  </si>
  <si>
    <t>Osnab</t>
  </si>
  <si>
    <t>GFurth</t>
  </si>
  <si>
    <t>Por</t>
  </si>
  <si>
    <t>23-12-01:2130</t>
  </si>
  <si>
    <t>23-12-02:1630</t>
  </si>
  <si>
    <t>23-12-02:1900</t>
  </si>
  <si>
    <t>23-12-02:2130</t>
  </si>
  <si>
    <t>23-12-03:1630</t>
  </si>
  <si>
    <t>23-12-03:1900</t>
  </si>
  <si>
    <t>23-12-03:2130</t>
  </si>
  <si>
    <t>23-12-04:2115</t>
  </si>
  <si>
    <t>Chave</t>
  </si>
  <si>
    <t>Vizela</t>
  </si>
  <si>
    <t>RioAv</t>
  </si>
  <si>
    <t>Estre</t>
  </si>
  <si>
    <t>Faren</t>
  </si>
  <si>
    <t>Guima</t>
  </si>
  <si>
    <t>Famali</t>
  </si>
  <si>
    <t>Porto</t>
  </si>
  <si>
    <t>Porti</t>
  </si>
  <si>
    <t>CPia</t>
  </si>
  <si>
    <t>Braga</t>
  </si>
  <si>
    <t>Boavi</t>
  </si>
  <si>
    <t>Arouc</t>
  </si>
  <si>
    <t>Sporti</t>
  </si>
  <si>
    <t>GilVi</t>
  </si>
  <si>
    <t>23-11-18:1200</t>
  </si>
  <si>
    <t>23-11-18:1500</t>
  </si>
  <si>
    <t>23-11-18:1630</t>
  </si>
  <si>
    <t>23-11-18:1900</t>
  </si>
  <si>
    <t>23-11-19:1200</t>
  </si>
  <si>
    <t>23-11-19:1500</t>
  </si>
  <si>
    <t>23-11-19:1630</t>
  </si>
  <si>
    <t>Mafra</t>
  </si>
  <si>
    <t>Vilav</t>
  </si>
  <si>
    <t>PaçosF</t>
  </si>
  <si>
    <t>StaCla</t>
  </si>
  <si>
    <t>Tonde</t>
  </si>
  <si>
    <t>Feire</t>
  </si>
  <si>
    <t>Leiria</t>
  </si>
  <si>
    <t>Leixo</t>
  </si>
  <si>
    <t>AVS</t>
  </si>
  <si>
    <t>Nacion</t>
  </si>
  <si>
    <t>Belen</t>
  </si>
  <si>
    <t>Penaf</t>
  </si>
  <si>
    <t>Mariti</t>
  </si>
  <si>
    <t>Torree</t>
  </si>
  <si>
    <t>Hol</t>
  </si>
  <si>
    <t>23-11-25:1630</t>
  </si>
  <si>
    <t>23-11-25:1845</t>
  </si>
  <si>
    <t>23-11-26:1215</t>
  </si>
  <si>
    <t>23-11-26:1430</t>
  </si>
  <si>
    <t>23-11-26:1645</t>
  </si>
  <si>
    <t>Excel</t>
  </si>
  <si>
    <t>Feyen</t>
  </si>
  <si>
    <t>Heere</t>
  </si>
  <si>
    <t>Sittar</t>
  </si>
  <si>
    <t>Twent</t>
  </si>
  <si>
    <t>PSV</t>
  </si>
  <si>
    <t>Ajax</t>
  </si>
  <si>
    <t>Vites</t>
  </si>
  <si>
    <t>Zwoll</t>
  </si>
  <si>
    <t>Waalw</t>
  </si>
  <si>
    <t>Heracl</t>
  </si>
  <si>
    <t>AZ Alk</t>
  </si>
  <si>
    <t>Volen</t>
  </si>
  <si>
    <t>Nijme</t>
  </si>
  <si>
    <t>GAE</t>
  </si>
  <si>
    <t>SpartaR</t>
  </si>
  <si>
    <t>Utrecht</t>
  </si>
  <si>
    <t>Bel</t>
  </si>
  <si>
    <t>23-11-24:2045</t>
  </si>
  <si>
    <t>23-11-25:1815</t>
  </si>
  <si>
    <t>23-11-26:1600</t>
  </si>
  <si>
    <t>23-11-26:1915</t>
  </si>
  <si>
    <t>Truide</t>
  </si>
  <si>
    <t>Antwer</t>
  </si>
  <si>
    <t>Eupen</t>
  </si>
  <si>
    <t>Charle</t>
  </si>
  <si>
    <t>Wester</t>
  </si>
  <si>
    <t>Liege</t>
  </si>
  <si>
    <t>Genk</t>
  </si>
  <si>
    <t>Gent</t>
  </si>
  <si>
    <t>RoyalU</t>
  </si>
  <si>
    <t>Leuven</t>
  </si>
  <si>
    <t>ClubB</t>
  </si>
  <si>
    <t>CercleB</t>
  </si>
  <si>
    <t>Anderl</t>
  </si>
  <si>
    <t>RWDM</t>
  </si>
  <si>
    <t>Kortrijk</t>
  </si>
  <si>
    <t>Mechel</t>
  </si>
  <si>
    <t>Tur</t>
  </si>
  <si>
    <t>23-11-25:1130</t>
  </si>
  <si>
    <t>23-11-26:1130</t>
  </si>
  <si>
    <t>23-11-26:1700</t>
  </si>
  <si>
    <t>23-11-27:1800</t>
  </si>
  <si>
    <t>Istabul</t>
  </si>
  <si>
    <t>Hatay</t>
  </si>
  <si>
    <t>Gaziat</t>
  </si>
  <si>
    <t>Ankara</t>
  </si>
  <si>
    <t>Konya</t>
  </si>
  <si>
    <t>Kasim</t>
  </si>
  <si>
    <t>Galata</t>
  </si>
  <si>
    <t>Alanya</t>
  </si>
  <si>
    <t>Kayser</t>
  </si>
  <si>
    <t>Adana</t>
  </si>
  <si>
    <t>Antalya</t>
  </si>
  <si>
    <t>Rize</t>
  </si>
  <si>
    <t>Samsun</t>
  </si>
  <si>
    <t>Besikt</t>
  </si>
  <si>
    <t>Fener</t>
  </si>
  <si>
    <t>Karagu</t>
  </si>
  <si>
    <t>Basak</t>
  </si>
  <si>
    <t>Pendik</t>
  </si>
  <si>
    <t>Sivas</t>
  </si>
  <si>
    <t>Trabzo</t>
  </si>
  <si>
    <t>Den</t>
  </si>
  <si>
    <t>23-11-24:1900</t>
  </si>
  <si>
    <t>23-11-27:1900</t>
  </si>
  <si>
    <t>Hvido</t>
  </si>
  <si>
    <t>Vejle</t>
  </si>
  <si>
    <t>Viborg</t>
  </si>
  <si>
    <t>Copen</t>
  </si>
  <si>
    <t>Nordsj</t>
  </si>
  <si>
    <t>Aarhus</t>
  </si>
  <si>
    <t>Rander</t>
  </si>
  <si>
    <t>Odens</t>
  </si>
  <si>
    <t>Lyngby</t>
  </si>
  <si>
    <t>Brondb</t>
  </si>
  <si>
    <t>Silkeb</t>
  </si>
  <si>
    <t>Midtjy</t>
  </si>
  <si>
    <t>Nor</t>
  </si>
  <si>
    <t>23-11-26:1705</t>
  </si>
  <si>
    <t>Aales</t>
  </si>
  <si>
    <t>Viking</t>
  </si>
  <si>
    <t>Brann</t>
  </si>
  <si>
    <t>BodoG</t>
  </si>
  <si>
    <t>HamKa</t>
  </si>
  <si>
    <t>Valere</t>
  </si>
  <si>
    <t>Lillest</t>
  </si>
  <si>
    <t>Odd</t>
  </si>
  <si>
    <t>Rosenb</t>
  </si>
  <si>
    <t>Stromg</t>
  </si>
  <si>
    <t>Sarpsb</t>
  </si>
  <si>
    <t>Molde</t>
  </si>
  <si>
    <t>Stabae</t>
  </si>
  <si>
    <t>Sandef</t>
  </si>
  <si>
    <t>Tromso</t>
  </si>
  <si>
    <t>Hauge</t>
  </si>
  <si>
    <t>Bra</t>
  </si>
  <si>
    <t>23-11-18:2230</t>
  </si>
  <si>
    <t>Fortal</t>
  </si>
  <si>
    <t>Cruzei</t>
  </si>
  <si>
    <t>Hel</t>
  </si>
  <si>
    <t>23-11-24:1715</t>
  </si>
  <si>
    <t>OFI</t>
  </si>
  <si>
    <t>Volos</t>
  </si>
  <si>
    <t>Olymp</t>
  </si>
  <si>
    <t>Panait</t>
  </si>
  <si>
    <t>Kifisia</t>
  </si>
  <si>
    <t>Astera</t>
  </si>
  <si>
    <t>Gianni</t>
  </si>
  <si>
    <t>AEK</t>
  </si>
  <si>
    <t>Lamia</t>
  </si>
  <si>
    <t>Atrom</t>
  </si>
  <si>
    <t>23-11-18:1730</t>
  </si>
  <si>
    <t>Pol</t>
  </si>
  <si>
    <t>RuchCh</t>
  </si>
  <si>
    <t>WLodz</t>
  </si>
  <si>
    <t>Jap</t>
  </si>
  <si>
    <t>23-11-24:1100</t>
  </si>
  <si>
    <t>23-11-25:0600</t>
  </si>
  <si>
    <t>Kawas</t>
  </si>
  <si>
    <t>Kashim</t>
  </si>
  <si>
    <t>YokoM</t>
  </si>
  <si>
    <t>Niigat</t>
  </si>
  <si>
    <t>Cerezo</t>
  </si>
  <si>
    <t>Kyoto</t>
  </si>
  <si>
    <t>Tokyo</t>
  </si>
  <si>
    <t>Sappor</t>
  </si>
  <si>
    <t>Kashiw</t>
  </si>
  <si>
    <t>SaTosu</t>
  </si>
  <si>
    <t>Hiroshi</t>
  </si>
  <si>
    <t>Gamba</t>
  </si>
  <si>
    <t>Urawa</t>
  </si>
  <si>
    <t>Fukuo</t>
  </si>
  <si>
    <t>ViKobe</t>
  </si>
  <si>
    <t>Nagoya</t>
  </si>
  <si>
    <t>YokoFC</t>
  </si>
  <si>
    <t>Shonan</t>
  </si>
  <si>
    <t>Uru</t>
  </si>
  <si>
    <t>23-11-18:2030</t>
  </si>
  <si>
    <t>23-11-19:2030</t>
  </si>
  <si>
    <t>23-11-19:2300</t>
  </si>
  <si>
    <t>23-11-20:0130</t>
  </si>
  <si>
    <t>23-11-20:2030</t>
  </si>
  <si>
    <t>23-11-20:2300</t>
  </si>
  <si>
    <t>PlazaC</t>
  </si>
  <si>
    <t>MonteC</t>
  </si>
  <si>
    <t>CACerro</t>
  </si>
  <si>
    <t>CerroL</t>
  </si>
  <si>
    <t>Danubi</t>
  </si>
  <si>
    <t>RMonte</t>
  </si>
  <si>
    <t>Penaro</t>
  </si>
  <si>
    <t>Maldo</t>
  </si>
  <si>
    <t>Luz</t>
  </si>
  <si>
    <t>Wande</t>
  </si>
  <si>
    <t>RiverP</t>
  </si>
  <si>
    <t>Fenix</t>
  </si>
  <si>
    <t>Defen</t>
  </si>
  <si>
    <t>BostonR</t>
  </si>
  <si>
    <t>23-11-26:1300</t>
  </si>
  <si>
    <t>23-11-18:2300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</si>
  <si>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</si>
  <si>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</si>
  <si>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</si>
  <si>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</si>
  <si>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</si>
  <si>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</si>
  <si>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</si>
  <si>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</si>
  <si>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</si>
  <si>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</si>
  <si>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</si>
  <si>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</si>
  <si>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</si>
  <si>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</si>
  <si>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</si>
  <si>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</si>
  <si>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</si>
  <si>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</si>
  <si>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</si>
  <si>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C23</t>
  </si>
  <si>
    <t>C24</t>
  </si>
  <si>
    <t>C25</t>
  </si>
  <si>
    <t>date/time</t>
  </si>
  <si>
    <t>Wbrem</t>
  </si>
  <si>
    <t>C29</t>
  </si>
  <si>
    <t>C30</t>
  </si>
  <si>
    <t>C31</t>
  </si>
  <si>
    <t>23-11-28:2045</t>
  </si>
  <si>
    <t>Cardiff</t>
  </si>
  <si>
    <t>Covent</t>
  </si>
  <si>
    <t>Plymou</t>
  </si>
  <si>
    <t>Rother</t>
  </si>
  <si>
    <t>Middle</t>
  </si>
  <si>
    <t>Preston</t>
  </si>
  <si>
    <t>Watfor</t>
  </si>
  <si>
    <t>Norwich</t>
  </si>
  <si>
    <t>Column1</t>
  </si>
  <si>
    <t>23-11-29:2045</t>
  </si>
  <si>
    <t>23-11-29:2100</t>
  </si>
  <si>
    <t>BlackB</t>
  </si>
  <si>
    <t>Birming</t>
  </si>
  <si>
    <t>Swans</t>
  </si>
  <si>
    <t>BristolC</t>
  </si>
  <si>
    <t>Sunder</t>
  </si>
  <si>
    <t>Hudder</t>
  </si>
  <si>
    <t>Ipswich</t>
  </si>
  <si>
    <t>Millwall</t>
  </si>
  <si>
    <t>23-11-28:2100</t>
  </si>
  <si>
    <t>Barnsley</t>
  </si>
  <si>
    <t>Wycombe</t>
  </si>
  <si>
    <t>BlackP</t>
  </si>
  <si>
    <t>Northa</t>
  </si>
  <si>
    <t>BristolR</t>
  </si>
  <si>
    <t>Leyton</t>
  </si>
  <si>
    <t>Burton</t>
  </si>
  <si>
    <t>Portsm</t>
  </si>
  <si>
    <t>Cambri</t>
  </si>
  <si>
    <t>Lincoln</t>
  </si>
  <si>
    <t>Charlton</t>
  </si>
  <si>
    <t>Chelten</t>
  </si>
  <si>
    <t>Exeter</t>
  </si>
  <si>
    <t>Shrewsb</t>
  </si>
  <si>
    <t>Oxford</t>
  </si>
  <si>
    <t>Bolton</t>
  </si>
  <si>
    <t>PortV</t>
  </si>
  <si>
    <t>Derby</t>
  </si>
  <si>
    <t>Steven</t>
  </si>
  <si>
    <t>Peterbro</t>
  </si>
  <si>
    <t>Wigan</t>
  </si>
  <si>
    <t>Fleetw</t>
  </si>
  <si>
    <t>Reading</t>
  </si>
  <si>
    <t>Carlisle</t>
  </si>
  <si>
    <t>Accring</t>
  </si>
  <si>
    <t>Swindon</t>
  </si>
  <si>
    <t>Barrow</t>
  </si>
  <si>
    <t>Walsall</t>
  </si>
  <si>
    <t>Doncast</t>
  </si>
  <si>
    <t>Colche</t>
  </si>
  <si>
    <t>FGR</t>
  </si>
  <si>
    <t>Bradford</t>
  </si>
  <si>
    <t>Gilling</t>
  </si>
  <si>
    <t>Wimbled</t>
  </si>
  <si>
    <t>Harrog</t>
  </si>
  <si>
    <t>Wrexham</t>
  </si>
  <si>
    <t>Mansf</t>
  </si>
  <si>
    <t>Tranmer</t>
  </si>
  <si>
    <t>Milton</t>
  </si>
  <si>
    <t>Grimsby</t>
  </si>
  <si>
    <t>Moreca</t>
  </si>
  <si>
    <t>Newport</t>
  </si>
  <si>
    <t>Notts</t>
  </si>
  <si>
    <t>Crawley</t>
  </si>
  <si>
    <t>Stockpo</t>
  </si>
  <si>
    <t>Salford</t>
  </si>
  <si>
    <t>Sutton</t>
  </si>
  <si>
    <t>Crewe</t>
  </si>
  <si>
    <t>23-11-29:1900</t>
  </si>
  <si>
    <t>Montpe</t>
  </si>
  <si>
    <t>Clermo</t>
  </si>
  <si>
    <t>23-12-02:1530</t>
  </si>
  <si>
    <t>23-12-01:2030</t>
  </si>
  <si>
    <t>23-12-02:1830</t>
  </si>
  <si>
    <t>23-12-03:1530</t>
  </si>
  <si>
    <t>23-12-03:1730</t>
  </si>
  <si>
    <t>Darmst</t>
  </si>
  <si>
    <t>Gladba</t>
  </si>
  <si>
    <t>Hoffen</t>
  </si>
  <si>
    <t>Bochum</t>
  </si>
  <si>
    <t>Wolfsb</t>
  </si>
  <si>
    <t>Leipzig</t>
  </si>
  <si>
    <t>Heiden</t>
  </si>
  <si>
    <t>Stuttg</t>
  </si>
  <si>
    <t>Freiburg</t>
  </si>
  <si>
    <t>Dortmu</t>
  </si>
  <si>
    <t>WBreme</t>
  </si>
  <si>
    <t>C34</t>
  </si>
  <si>
    <t>23-12-02:1300</t>
  </si>
  <si>
    <t>23-12-01:1830</t>
  </si>
  <si>
    <t>23-12-02:2030</t>
  </si>
  <si>
    <t>23-12-03:1330</t>
  </si>
  <si>
    <t>Schalke</t>
  </si>
  <si>
    <t>Osnabr</t>
  </si>
  <si>
    <t>Hamburg</t>
  </si>
  <si>
    <t>Braunsch</t>
  </si>
  <si>
    <t>Gfurth</t>
  </si>
  <si>
    <t>Nurnbe</t>
  </si>
  <si>
    <t>Magdeb</t>
  </si>
  <si>
    <t>Kaiser</t>
  </si>
  <si>
    <t>Hertha</t>
  </si>
  <si>
    <t>Elversb</t>
  </si>
  <si>
    <t>Karlsr</t>
  </si>
  <si>
    <t>Hannov</t>
  </si>
  <si>
    <t>23-12-02:1700</t>
  </si>
  <si>
    <t>23-12-01:1800</t>
  </si>
  <si>
    <t>23-12-02:1130</t>
  </si>
  <si>
    <t>23-12-02:1400</t>
  </si>
  <si>
    <t>23-12-03:1130</t>
  </si>
  <si>
    <t>23-12-03:1400</t>
  </si>
  <si>
    <t>23-12-03:1700</t>
  </si>
  <si>
    <t>23-12-04:1800</t>
  </si>
  <si>
    <t>Istanb</t>
  </si>
  <si>
    <t>Gazian</t>
  </si>
  <si>
    <t>Trabzon</t>
  </si>
  <si>
    <t>Besikta</t>
  </si>
  <si>
    <t>23-12-02:1600</t>
  </si>
  <si>
    <t>23-12-03:1500</t>
  </si>
  <si>
    <t>Arsenal</t>
  </si>
  <si>
    <t>Wolves</t>
  </si>
  <si>
    <t>Brentf</t>
  </si>
  <si>
    <t>Burnley</t>
  </si>
  <si>
    <t>SheffU</t>
  </si>
  <si>
    <t>Notting</t>
  </si>
  <si>
    <t>Everton</t>
  </si>
  <si>
    <t>ManchU</t>
  </si>
  <si>
    <t>NCastle</t>
  </si>
  <si>
    <t>Bourne</t>
  </si>
  <si>
    <t>Chelsea</t>
  </si>
  <si>
    <t>Brighton</t>
  </si>
  <si>
    <t>Fulham</t>
  </si>
  <si>
    <t>WHam</t>
  </si>
  <si>
    <t>ManchC</t>
  </si>
  <si>
    <t>Totten</t>
  </si>
  <si>
    <t>23-12-01:2045</t>
  </si>
  <si>
    <t>23-12-02:1500</t>
  </si>
  <si>
    <t>23-12-02:1800</t>
  </si>
  <si>
    <t>23-12-02:2045</t>
  </si>
  <si>
    <t>23-12-03:1230</t>
  </si>
  <si>
    <t>23-12-03:1800</t>
  </si>
  <si>
    <t>23-12-03:2045</t>
  </si>
  <si>
    <t>23-12-04:2045</t>
  </si>
  <si>
    <t>Genoa</t>
  </si>
  <si>
    <t>Empoli</t>
  </si>
  <si>
    <t>Caglia</t>
  </si>
  <si>
    <t>Frosino</t>
  </si>
  <si>
    <t>Lecce</t>
  </si>
  <si>
    <t>Bologna</t>
  </si>
  <si>
    <t>Fiorenti</t>
  </si>
  <si>
    <t>Salerni</t>
  </si>
  <si>
    <t>Verona</t>
  </si>
  <si>
    <t>Sassuo</t>
  </si>
  <si>
    <t>Napoli</t>
  </si>
  <si>
    <t>Torino</t>
  </si>
  <si>
    <t>Atalan</t>
  </si>
  <si>
    <t>23-11-28:1830</t>
  </si>
  <si>
    <t>Sudtirol</t>
  </si>
  <si>
    <t>Brescia</t>
  </si>
  <si>
    <t>23-11-28:1900</t>
  </si>
  <si>
    <t>Concarn</t>
  </si>
  <si>
    <t>Mallor</t>
  </si>
  <si>
    <t>C35</t>
  </si>
  <si>
    <t>Moreire</t>
  </si>
  <si>
    <t>Benfica</t>
  </si>
  <si>
    <t>Estoril</t>
  </si>
  <si>
    <t>23-12-02:2100</t>
  </si>
  <si>
    <t>23-12-01:2100</t>
  </si>
  <si>
    <t>23-12-02:1330</t>
  </si>
  <si>
    <t>Watford</t>
  </si>
  <si>
    <t>Coventry</t>
  </si>
  <si>
    <t>Middles</t>
  </si>
  <si>
    <t>Southa</t>
  </si>
  <si>
    <t>Swanse</t>
  </si>
  <si>
    <t>23-12-03:1430</t>
  </si>
  <si>
    <t>23-12-02:1615</t>
  </si>
  <si>
    <t>23-12-03:1615</t>
  </si>
  <si>
    <t>Palerm</t>
  </si>
  <si>
    <t>Catanza</t>
  </si>
  <si>
    <t>Cosenza</t>
  </si>
  <si>
    <t>Ternana</t>
  </si>
  <si>
    <t>FeralpiS</t>
  </si>
  <si>
    <t>Cittade</t>
  </si>
  <si>
    <t>Modena</t>
  </si>
  <si>
    <t>Reggiana</t>
  </si>
  <si>
    <t>Cremone</t>
  </si>
  <si>
    <t>Venezia</t>
  </si>
  <si>
    <t>Ascoli</t>
  </si>
  <si>
    <t>Spezia</t>
  </si>
  <si>
    <t>Sampdori</t>
  </si>
  <si>
    <t>23-12-02:2000</t>
  </si>
  <si>
    <t>23-12-01:2000</t>
  </si>
  <si>
    <t>23-12-02:1845</t>
  </si>
  <si>
    <t>23-12-03:1215</t>
  </si>
  <si>
    <t>23-12-03:1645</t>
  </si>
  <si>
    <t>Almere</t>
  </si>
  <si>
    <t>Zwolle</t>
  </si>
  <si>
    <t>Sittard</t>
  </si>
  <si>
    <t>Vitesse</t>
  </si>
  <si>
    <t>Excelsi</t>
  </si>
  <si>
    <t>Heracles</t>
  </si>
  <si>
    <t>Feyeno</t>
  </si>
  <si>
    <t>Twente</t>
  </si>
  <si>
    <t>Nijmege</t>
  </si>
  <si>
    <t>AZ Alkma</t>
  </si>
  <si>
    <t>23-12-03:1300</t>
  </si>
  <si>
    <t>23-12-03:1705</t>
  </si>
  <si>
    <t>Strasb</t>
  </si>
  <si>
    <t>Nantes</t>
  </si>
  <si>
    <t>Clermont</t>
  </si>
  <si>
    <t>Monaco</t>
  </si>
  <si>
    <t>Montpel</t>
  </si>
  <si>
    <t>Toulous</t>
  </si>
  <si>
    <t>Lorient</t>
  </si>
  <si>
    <t>Marseil</t>
  </si>
  <si>
    <t>Rennes</t>
  </si>
  <si>
    <t>Bordeau</t>
  </si>
  <si>
    <t>Troyes</t>
  </si>
  <si>
    <t>Ajaccio</t>
  </si>
  <si>
    <t>Angers</t>
  </si>
  <si>
    <t>Amiens</t>
  </si>
  <si>
    <t>Etienne</t>
  </si>
  <si>
    <t>Auxerre</t>
  </si>
  <si>
    <t>Quevilly</t>
  </si>
  <si>
    <t>Bastia</t>
  </si>
  <si>
    <t>Guingam</t>
  </si>
  <si>
    <t>Grenoble</t>
  </si>
  <si>
    <t>Dunkerq</t>
  </si>
  <si>
    <t>Valenc</t>
  </si>
  <si>
    <t>Annecy</t>
  </si>
  <si>
    <t>23-12-03:1830</t>
  </si>
  <si>
    <t>23-12-03:2100</t>
  </si>
  <si>
    <t>23-12-04:2100</t>
  </si>
  <si>
    <t>Palmas</t>
  </si>
  <si>
    <t>Getafe</t>
  </si>
  <si>
    <t>Girona</t>
  </si>
  <si>
    <t>Valencia</t>
  </si>
  <si>
    <t>Bilbao</t>
  </si>
  <si>
    <t>RayoVall</t>
  </si>
  <si>
    <t>Granada</t>
  </si>
  <si>
    <t>Osasuna</t>
  </si>
  <si>
    <t>Sociedad</t>
  </si>
  <si>
    <t>Mallorca</t>
  </si>
  <si>
    <t>Alaves</t>
  </si>
  <si>
    <t>Almeria</t>
  </si>
  <si>
    <t>Villarreal</t>
  </si>
  <si>
    <t>Atletico</t>
  </si>
  <si>
    <t>23-12-04:2030</t>
  </si>
  <si>
    <t>Oviedo</t>
  </si>
  <si>
    <t>Espanyol</t>
  </si>
  <si>
    <t>Eldense</t>
  </si>
  <si>
    <t>Tenerife</t>
  </si>
  <si>
    <t>Cartage</t>
  </si>
  <si>
    <t>Zarago</t>
  </si>
  <si>
    <t>Leganes</t>
  </si>
  <si>
    <t>Levante</t>
  </si>
  <si>
    <t>Vallado</t>
  </si>
  <si>
    <t>Andorra</t>
  </si>
  <si>
    <t>Huesca</t>
  </si>
  <si>
    <t>Alcorcon</t>
  </si>
  <si>
    <t>Albacete</t>
  </si>
  <si>
    <t>Mirande</t>
  </si>
  <si>
    <t>Santande</t>
  </si>
  <si>
    <t>Amoreb</t>
  </si>
  <si>
    <t>Burgos</t>
  </si>
  <si>
    <t>VillaR B</t>
  </si>
  <si>
    <t>23-12-02:1815</t>
  </si>
  <si>
    <t>23-12-03:1600</t>
  </si>
  <si>
    <t>23-12-03:1915</t>
  </si>
  <si>
    <t>Anderle</t>
  </si>
  <si>
    <t>Charleroi</t>
  </si>
  <si>
    <t>Antwerp</t>
  </si>
  <si>
    <t>Truiden</t>
  </si>
  <si>
    <t>Club Bru</t>
  </si>
  <si>
    <t>Royale</t>
  </si>
  <si>
    <t>Cercle Bru</t>
  </si>
  <si>
    <t>23-12-03:0600</t>
  </si>
  <si>
    <t>Niigata</t>
  </si>
  <si>
    <t>Cerezo O</t>
  </si>
  <si>
    <t>Fukuoka</t>
  </si>
  <si>
    <t>Hiroshima</t>
  </si>
  <si>
    <t>Gamba O</t>
  </si>
  <si>
    <t>Vissel Kob</t>
  </si>
  <si>
    <t>Sapporo</t>
  </si>
  <si>
    <t>Kashima</t>
  </si>
  <si>
    <t>Yokoha M</t>
  </si>
  <si>
    <t>Yokoha FC</t>
  </si>
  <si>
    <t>Kashiwa</t>
  </si>
  <si>
    <t>Sagan To</t>
  </si>
  <si>
    <t>Kawasaki</t>
  </si>
  <si>
    <t>23-11-30:2300</t>
  </si>
  <si>
    <t>23-12-01:0000</t>
  </si>
  <si>
    <t>23-12-01:0030</t>
  </si>
  <si>
    <t>Gremio</t>
  </si>
  <si>
    <t>Goias</t>
  </si>
  <si>
    <t>Cruzeiro</t>
  </si>
  <si>
    <t>Atlet PR</t>
  </si>
  <si>
    <t>Braganti</t>
  </si>
  <si>
    <t>Fortaleza</t>
  </si>
  <si>
    <t>23-12-04:1700</t>
  </si>
  <si>
    <t>23-12-04:2000</t>
  </si>
  <si>
    <t>Panaito</t>
  </si>
  <si>
    <t>Asteras</t>
  </si>
  <si>
    <t>Panserr</t>
  </si>
  <si>
    <t>Olympic</t>
  </si>
  <si>
    <t>Atromit</t>
  </si>
  <si>
    <t>Giannina</t>
  </si>
  <si>
    <t>PAO</t>
  </si>
  <si>
    <t>PAOK</t>
  </si>
  <si>
    <t>Aris</t>
  </si>
  <si>
    <t>Bodo</t>
  </si>
  <si>
    <t>Sarps</t>
  </si>
  <si>
    <t>Hauges</t>
  </si>
  <si>
    <t>Stabaek</t>
  </si>
  <si>
    <t>HamKam</t>
  </si>
  <si>
    <t>Aalesund</t>
  </si>
  <si>
    <t>Sandefj</t>
  </si>
  <si>
    <t>Lillestr</t>
  </si>
  <si>
    <t>Stromsg</t>
  </si>
  <si>
    <t>Valeren</t>
  </si>
  <si>
    <t>Rosenbo</t>
  </si>
  <si>
    <t>23-12-02:2200</t>
  </si>
  <si>
    <t>23-12-03:0100</t>
  </si>
  <si>
    <t>23-12-03:2000</t>
  </si>
  <si>
    <t>23-12-032230</t>
  </si>
  <si>
    <t>Corinth</t>
  </si>
  <si>
    <t>Atlet MG</t>
  </si>
  <si>
    <t>Sao Paulo</t>
  </si>
  <si>
    <t>Flameng</t>
  </si>
  <si>
    <t>Cuiaba</t>
  </si>
  <si>
    <t>Palmeir</t>
  </si>
  <si>
    <t>Fluminen</t>
  </si>
  <si>
    <t>Ame MG</t>
  </si>
  <si>
    <t>Bahia</t>
  </si>
  <si>
    <t>Santos</t>
  </si>
  <si>
    <t>Botafo</t>
  </si>
  <si>
    <t>Coritiba</t>
  </si>
  <si>
    <t>Fortale</t>
  </si>
  <si>
    <t>Vasco</t>
  </si>
  <si>
    <t>23-12-04:1900</t>
  </si>
  <si>
    <t>Silkebo</t>
  </si>
  <si>
    <t>Odense</t>
  </si>
  <si>
    <t>Nordsjae</t>
  </si>
  <si>
    <t>Brondby</t>
  </si>
  <si>
    <t>Hvidovre</t>
  </si>
  <si>
    <t>Copenha</t>
  </si>
  <si>
    <t>Midtjyll</t>
  </si>
  <si>
    <t>23-12-02:1730</t>
  </si>
  <si>
    <t>W Lodz</t>
  </si>
  <si>
    <t>R Radom</t>
  </si>
  <si>
    <t>Korona K</t>
  </si>
  <si>
    <t>Lech Pozn</t>
  </si>
  <si>
    <t>Cracovia</t>
  </si>
  <si>
    <t>Ruch Chor</t>
  </si>
  <si>
    <t>Zaglebie</t>
  </si>
  <si>
    <t>Legia</t>
  </si>
  <si>
    <t>S Wrocla</t>
  </si>
  <si>
    <t>Rakow</t>
  </si>
  <si>
    <t>Kor</t>
  </si>
  <si>
    <t>Daegu</t>
  </si>
  <si>
    <t>Incheon</t>
  </si>
  <si>
    <t>Gwangju</t>
  </si>
  <si>
    <t>Pohang</t>
  </si>
  <si>
    <t>Ulsan</t>
  </si>
  <si>
    <t>Jeonbuk</t>
  </si>
  <si>
    <t>23-12-02:1200</t>
  </si>
  <si>
    <t>23-12-03:1200</t>
  </si>
  <si>
    <t>Oliveire</t>
  </si>
  <si>
    <t>Porto B</t>
  </si>
  <si>
    <t>Nacional</t>
  </si>
  <si>
    <t>Pacos F</t>
  </si>
  <si>
    <t>Benfica B</t>
  </si>
  <si>
    <t>Torreen</t>
  </si>
  <si>
    <t>Leixoes</t>
  </si>
  <si>
    <t>Penafiel</t>
  </si>
  <si>
    <t>Tondela</t>
  </si>
  <si>
    <t>Sta Clara</t>
  </si>
  <si>
    <t>Maritimo</t>
  </si>
  <si>
    <t>Feirense</t>
  </si>
  <si>
    <t>23-12-08:2100</t>
  </si>
  <si>
    <t>23-12-09:1330</t>
  </si>
  <si>
    <t>23-12-09:1600</t>
  </si>
  <si>
    <t>Coventr</t>
  </si>
  <si>
    <t>BlackBu</t>
  </si>
  <si>
    <t>Hudders</t>
  </si>
  <si>
    <t>Leicest</t>
  </si>
  <si>
    <t>Swansea</t>
  </si>
  <si>
    <t>23-12-03:1930</t>
  </si>
  <si>
    <t>Augsbu</t>
  </si>
  <si>
    <t>Frankfurt</t>
  </si>
  <si>
    <t>23-12-05:1830</t>
  </si>
  <si>
    <t>Afr</t>
  </si>
  <si>
    <t>Orlando</t>
  </si>
  <si>
    <t>Swallows</t>
  </si>
  <si>
    <t>23-12-05:2030</t>
  </si>
  <si>
    <t>23-12-05:2115</t>
  </si>
  <si>
    <t>BlackPo</t>
  </si>
  <si>
    <t>Stevena</t>
  </si>
  <si>
    <t>Port Vale</t>
  </si>
  <si>
    <t>Northam</t>
  </si>
  <si>
    <t>Fleetwo</t>
  </si>
  <si>
    <t>Wycom</t>
  </si>
  <si>
    <t>Wimble</t>
  </si>
  <si>
    <t>Colchest</t>
  </si>
  <si>
    <t>Tranme</t>
  </si>
  <si>
    <t>23-12-07:0130</t>
  </si>
  <si>
    <t>23-12-06:2300</t>
  </si>
  <si>
    <t>Flumine</t>
  </si>
  <si>
    <t>Botafogo</t>
  </si>
  <si>
    <t>Sao Paul</t>
  </si>
  <si>
    <t>Flamengo</t>
  </si>
  <si>
    <t>23-12-08:1800</t>
  </si>
  <si>
    <t>23-12-08:2030</t>
  </si>
  <si>
    <t>23-12-09:1500</t>
  </si>
  <si>
    <t>23-12-09:1730</t>
  </si>
  <si>
    <t>23-12-09:2000</t>
  </si>
  <si>
    <t>23-12-10:1500</t>
  </si>
  <si>
    <t>23-12-10:1730</t>
  </si>
  <si>
    <t>Ruch Ch</t>
  </si>
  <si>
    <t>Pogon Sz</t>
  </si>
  <si>
    <t>W Poznan</t>
  </si>
  <si>
    <t>Gornik Z</t>
  </si>
  <si>
    <t>Stal Miel</t>
  </si>
  <si>
    <t>S Wrocl</t>
  </si>
  <si>
    <t>Lodz</t>
  </si>
  <si>
    <t>Jagiello</t>
  </si>
  <si>
    <t>23-12-09:1400</t>
  </si>
  <si>
    <t>23-12-09:1615</t>
  </si>
  <si>
    <t>23-12-10:1615</t>
  </si>
  <si>
    <t>Cremon</t>
  </si>
  <si>
    <t>Sampdo</t>
  </si>
  <si>
    <t>Palermo</t>
  </si>
  <si>
    <t>Reggian</t>
  </si>
  <si>
    <t>23-12-06:2100</t>
  </si>
  <si>
    <t>Marseill</t>
  </si>
  <si>
    <t>23-12-05:2045</t>
  </si>
  <si>
    <t>23-12-06:1900</t>
  </si>
  <si>
    <t>Valencie</t>
  </si>
  <si>
    <t>Bordeaux</t>
  </si>
  <si>
    <t>Guingamp</t>
  </si>
  <si>
    <t>C36</t>
  </si>
  <si>
    <t>23-12-08:1830</t>
  </si>
  <si>
    <t>23-12-09:1300</t>
  </si>
  <si>
    <t>23-12-09:2030</t>
  </si>
  <si>
    <t>23-12-10:1330</t>
  </si>
  <si>
    <t>Karlsru</t>
  </si>
  <si>
    <t>Wehen</t>
  </si>
  <si>
    <t>G Furth</t>
  </si>
  <si>
    <t>Hambur</t>
  </si>
  <si>
    <t>Paderb</t>
  </si>
  <si>
    <t>Herha</t>
  </si>
  <si>
    <t>Osnabru</t>
  </si>
  <si>
    <t>Hol Kiel</t>
  </si>
  <si>
    <t>23-12-06:2030</t>
  </si>
  <si>
    <t>23-12-06:2115</t>
  </si>
  <si>
    <t>23-12-07:2030</t>
  </si>
  <si>
    <t>23-12-07:2115</t>
  </si>
  <si>
    <t>Bright</t>
  </si>
  <si>
    <t>Brentfo</t>
  </si>
  <si>
    <t>Bournem</t>
  </si>
  <si>
    <t>Nortting</t>
  </si>
  <si>
    <t>23-12-08:2045</t>
  </si>
  <si>
    <t>23-12-09:1800</t>
  </si>
  <si>
    <t>23-12-09:2045</t>
  </si>
  <si>
    <t>23-12-10:1230</t>
  </si>
  <si>
    <t>23-12-10:1800</t>
  </si>
  <si>
    <t>23-12-10:2045</t>
  </si>
  <si>
    <t>23-12-11:2045</t>
  </si>
  <si>
    <t>Atalant</t>
  </si>
  <si>
    <t>Udinese</t>
  </si>
  <si>
    <t>Fiorentina</t>
  </si>
  <si>
    <t>Cagliari</t>
  </si>
  <si>
    <t>Sassuolo</t>
  </si>
  <si>
    <t>23-12-09:1530</t>
  </si>
  <si>
    <t>23-12-10:1530</t>
  </si>
  <si>
    <t>23-12-09:1830</t>
  </si>
  <si>
    <t>Frankfu</t>
  </si>
  <si>
    <t>Bayern</t>
  </si>
  <si>
    <t>Darmsta</t>
  </si>
  <si>
    <t>Augsburg</t>
  </si>
  <si>
    <t>UBerlin</t>
  </si>
  <si>
    <t>Gladbach</t>
  </si>
  <si>
    <t>WBrem</t>
  </si>
  <si>
    <t>23-12-09:1815</t>
  </si>
  <si>
    <t>23-12-10:1600</t>
  </si>
  <si>
    <t>23-12-10:1830</t>
  </si>
  <si>
    <t>23-12-10:1915</t>
  </si>
  <si>
    <t>Cer Brug</t>
  </si>
  <si>
    <t>Club Brug</t>
  </si>
  <si>
    <t>Charlero</t>
  </si>
  <si>
    <t>23-12-06:2000</t>
  </si>
  <si>
    <t>AZ Alkm</t>
  </si>
  <si>
    <t>Nijmegen</t>
  </si>
  <si>
    <t>23-12-08:1630</t>
  </si>
  <si>
    <t>23-12-08:1900</t>
  </si>
  <si>
    <t>23-12-09:1630</t>
  </si>
  <si>
    <t>23-12-09:1900</t>
  </si>
  <si>
    <t>23-12-09:2100</t>
  </si>
  <si>
    <t>23-12-10:1630</t>
  </si>
  <si>
    <t>23-12-10:1900</t>
  </si>
  <si>
    <t>23-12-10:2130</t>
  </si>
  <si>
    <t>23-12-11:2115</t>
  </si>
  <si>
    <t>Farense</t>
  </si>
  <si>
    <t>Portimo</t>
  </si>
  <si>
    <t>Guimara</t>
  </si>
  <si>
    <t>Sporting</t>
  </si>
  <si>
    <t>Pia</t>
  </si>
  <si>
    <t>Estrela</t>
  </si>
  <si>
    <t>Boavista</t>
  </si>
  <si>
    <t>Arouca</t>
  </si>
  <si>
    <t>Rio Ave</t>
  </si>
  <si>
    <t>Chaves</t>
  </si>
  <si>
    <t>Gil Vic</t>
  </si>
  <si>
    <t>23-12-08:2130</t>
  </si>
  <si>
    <t>23-12-09:1200</t>
  </si>
  <si>
    <t>23-12-10:1200</t>
  </si>
  <si>
    <t>Torreense</t>
  </si>
  <si>
    <t>A Viseu</t>
  </si>
  <si>
    <t>Belenen</t>
  </si>
  <si>
    <t>Vilaver</t>
  </si>
  <si>
    <t>23-12-10:1400</t>
  </si>
  <si>
    <t>23-12-10:2100</t>
  </si>
  <si>
    <t>23-12-11:2100</t>
  </si>
  <si>
    <t>Rayo Va</t>
  </si>
  <si>
    <t>Villarre B</t>
  </si>
  <si>
    <t>Zaragoza</t>
  </si>
  <si>
    <t>Valladol</t>
  </si>
  <si>
    <t>Amorebi</t>
  </si>
  <si>
    <t>Mirandes</t>
  </si>
  <si>
    <t>Santand</t>
  </si>
  <si>
    <t>23-12-09:1130</t>
  </si>
  <si>
    <t>23-12-09:1700</t>
  </si>
  <si>
    <t>23-12-10:1130</t>
  </si>
  <si>
    <t>23-12-10:1700</t>
  </si>
  <si>
    <t>23-12-11:1800</t>
  </si>
  <si>
    <t>Besiktas</t>
  </si>
  <si>
    <t>Trabson</t>
  </si>
  <si>
    <t>Ikonion</t>
  </si>
  <si>
    <t>Constant</t>
  </si>
  <si>
    <t>23-12-10:1930</t>
  </si>
  <si>
    <t>Hallesch</t>
  </si>
  <si>
    <t>Arm Biel</t>
  </si>
  <si>
    <t>Saarbru</t>
  </si>
  <si>
    <t>Lubeck</t>
  </si>
  <si>
    <t>Freibu II</t>
  </si>
  <si>
    <t>Ingolstadt</t>
  </si>
  <si>
    <t>Sandhau</t>
  </si>
  <si>
    <t>Mannhei</t>
  </si>
  <si>
    <t>Ulm</t>
  </si>
  <si>
    <t>Dortm II</t>
  </si>
  <si>
    <t>Aue</t>
  </si>
  <si>
    <t>Duisburg</t>
  </si>
  <si>
    <t>Regensb</t>
  </si>
  <si>
    <t>Vik Koln</t>
  </si>
  <si>
    <t>Dyn Dres</t>
  </si>
  <si>
    <t>Unterha</t>
  </si>
  <si>
    <t>P Munste</t>
  </si>
  <si>
    <t>Verl</t>
  </si>
  <si>
    <t>23-12-09-1830</t>
  </si>
  <si>
    <t>NewCastl</t>
  </si>
  <si>
    <t>23-12-09:1845</t>
  </si>
  <si>
    <t>23-12-08:2000</t>
  </si>
  <si>
    <t>23-12-10:1215</t>
  </si>
  <si>
    <t>23-12-10:1430</t>
  </si>
  <si>
    <t>23-12-10:1645</t>
  </si>
  <si>
    <t>Excelsior</t>
  </si>
  <si>
    <t>Sparta R</t>
  </si>
  <si>
    <t>Alkmaar</t>
  </si>
  <si>
    <t>23-12-12:2045</t>
  </si>
  <si>
    <t>23-12-11:1830</t>
  </si>
  <si>
    <t>Blackbu</t>
  </si>
  <si>
    <t>23-12-13:2045</t>
  </si>
  <si>
    <t>23-12-12:2100</t>
  </si>
  <si>
    <t>Portsmo</t>
  </si>
  <si>
    <t>23-12-15:2100</t>
  </si>
  <si>
    <t>23-12-16:1600</t>
  </si>
  <si>
    <t>23-12-16:1830</t>
  </si>
  <si>
    <t>23-12-17:1500</t>
  </si>
  <si>
    <t>23-12-17:1730</t>
  </si>
  <si>
    <t>NewCa</t>
  </si>
  <si>
    <t>Blackpoo</t>
  </si>
  <si>
    <t>Shrews</t>
  </si>
  <si>
    <t>Cambridge</t>
  </si>
  <si>
    <t>Mansfield</t>
  </si>
  <si>
    <t>Doncaster</t>
  </si>
  <si>
    <t>Morecamb</t>
  </si>
  <si>
    <t>Harrogate</t>
  </si>
  <si>
    <t>Stockport</t>
  </si>
  <si>
    <t>Tranmere</t>
  </si>
  <si>
    <t>23-12-16:1400</t>
  </si>
  <si>
    <t>23-12-16:1615</t>
  </si>
  <si>
    <t>23-12-16:2100</t>
  </si>
  <si>
    <t>23-12-17:1400</t>
  </si>
  <si>
    <t>23-12-17:1615</t>
  </si>
  <si>
    <t>23-12-17:1830</t>
  </si>
  <si>
    <t>23-12-17:2100</t>
  </si>
  <si>
    <t>23-12-18:2100</t>
  </si>
  <si>
    <t>Rayo Valle</t>
  </si>
  <si>
    <t>23-12-15:2030</t>
  </si>
  <si>
    <t>23-12-18:2030</t>
  </si>
  <si>
    <t>Santander</t>
  </si>
  <si>
    <t>Cartagena</t>
  </si>
  <si>
    <t>Amorebie</t>
  </si>
  <si>
    <t>Villarreal B</t>
  </si>
  <si>
    <t>Valladolid</t>
  </si>
  <si>
    <t>23-12-15:2115</t>
  </si>
  <si>
    <t>23-12-16:1630</t>
  </si>
  <si>
    <t>23-12-16:1900</t>
  </si>
  <si>
    <t>23-12-16:2130</t>
  </si>
  <si>
    <t>23-12-17:1630</t>
  </si>
  <si>
    <t>23-12-17:1900</t>
  </si>
  <si>
    <t>23-12-17:2130</t>
  </si>
  <si>
    <t>23-12-18:2115</t>
  </si>
  <si>
    <t>Gil Vicente</t>
  </si>
  <si>
    <t>Guimaraes</t>
  </si>
  <si>
    <t>Moreiren</t>
  </si>
  <si>
    <t>Portimon</t>
  </si>
  <si>
    <t>Famalicao</t>
  </si>
  <si>
    <t>23-12-15:1900</t>
  </si>
  <si>
    <t>23-12-16:1200</t>
  </si>
  <si>
    <t>23-12-16:1500</t>
  </si>
  <si>
    <t>23-12-17:1300</t>
  </si>
  <si>
    <t>Vilaverde</t>
  </si>
  <si>
    <t>Oliveiren</t>
  </si>
  <si>
    <t>23-12-15:2045</t>
  </si>
  <si>
    <t>23-12-18:2045</t>
  </si>
  <si>
    <t>23-12-16:1800</t>
  </si>
  <si>
    <t>23-12-16:2045</t>
  </si>
  <si>
    <t>23-12-17:1230</t>
  </si>
  <si>
    <t>23-12-17:1800</t>
  </si>
  <si>
    <t>23-12-17:2045</t>
  </si>
  <si>
    <t>Frosinone</t>
  </si>
  <si>
    <t>Atalanta</t>
  </si>
  <si>
    <t>Salernita</t>
  </si>
  <si>
    <t>Cittadella</t>
  </si>
  <si>
    <t>Sampdoria</t>
  </si>
  <si>
    <t>Catanzaro</t>
  </si>
  <si>
    <t>23-12-15:2000</t>
  </si>
  <si>
    <t>23-12-16:1845</t>
  </si>
  <si>
    <t>23-12-17:1215</t>
  </si>
  <si>
    <t>23-12-17:1430</t>
  </si>
  <si>
    <t>23-12-17:1645</t>
  </si>
  <si>
    <t>23-12-17:2000</t>
  </si>
  <si>
    <t>Waalwaijk</t>
  </si>
  <si>
    <t>Heeren</t>
  </si>
  <si>
    <t>Volendam</t>
  </si>
  <si>
    <t>Feyenoord</t>
  </si>
  <si>
    <t>23-12-16:1815</t>
  </si>
  <si>
    <t>23-12-17:1330</t>
  </si>
  <si>
    <t>23-12-17:1600</t>
  </si>
  <si>
    <t>23-12-17:1915</t>
  </si>
  <si>
    <t>Westerlo</t>
  </si>
  <si>
    <t>Mechelen</t>
  </si>
  <si>
    <t>23-12-16:1530</t>
  </si>
  <si>
    <t>23-12-17:1530</t>
  </si>
  <si>
    <t>23-12-17:1930</t>
  </si>
  <si>
    <t>Werder B</t>
  </si>
  <si>
    <t>Dortmund</t>
  </si>
  <si>
    <t>Union B</t>
  </si>
  <si>
    <t>Darmstadt</t>
  </si>
  <si>
    <t>Wolfsburg</t>
  </si>
  <si>
    <t>Stuttgart</t>
  </si>
  <si>
    <t>23-12-15:1830</t>
  </si>
  <si>
    <t>23-12-16:1300</t>
  </si>
  <si>
    <t>23-12-16:2030</t>
  </si>
  <si>
    <t>Greuther F</t>
  </si>
  <si>
    <t>Osnabruck</t>
  </si>
  <si>
    <t>Magdebu</t>
  </si>
  <si>
    <t>Dusseldo</t>
  </si>
  <si>
    <t>Nurnberg</t>
  </si>
  <si>
    <t>Holstein K</t>
  </si>
  <si>
    <t>Hannover</t>
  </si>
  <si>
    <t>Kaisersla</t>
  </si>
  <si>
    <t>Karlsruher</t>
  </si>
  <si>
    <t>Elversberg</t>
  </si>
  <si>
    <t>RW Essen</t>
  </si>
  <si>
    <t xml:space="preserve">Dortmund </t>
  </si>
  <si>
    <t>Hallescher</t>
  </si>
  <si>
    <t>Ingol</t>
  </si>
  <si>
    <t>Mannheim</t>
  </si>
  <si>
    <t>Saarbruck</t>
  </si>
  <si>
    <t>P Munster</t>
  </si>
  <si>
    <t>D Dresden</t>
  </si>
  <si>
    <t>A Bielefe</t>
  </si>
  <si>
    <t>Mun 1860</t>
  </si>
  <si>
    <t>V Koln</t>
  </si>
  <si>
    <t>Freiburg II</t>
  </si>
  <si>
    <t>23-12-15:1800</t>
  </si>
  <si>
    <t>23-12-16:1730</t>
  </si>
  <si>
    <t>23-12-16:2000</t>
  </si>
  <si>
    <t>S Wroclaw</t>
  </si>
  <si>
    <t>Pogon Szcz</t>
  </si>
  <si>
    <t>LKS Lodz</t>
  </si>
  <si>
    <t>23-12-16:1700</t>
  </si>
  <si>
    <t>23-12-17:1705</t>
  </si>
  <si>
    <t>Strasbourg</t>
  </si>
  <si>
    <t>Toulouse</t>
  </si>
  <si>
    <t>Marseille</t>
  </si>
  <si>
    <t>Valencien</t>
  </si>
  <si>
    <t>23-12-18:1600</t>
  </si>
  <si>
    <t>23-12-18:1700</t>
  </si>
  <si>
    <t>Kifissia</t>
  </si>
  <si>
    <t>Atromitos</t>
  </si>
  <si>
    <t>Panserra</t>
  </si>
  <si>
    <t>C37</t>
  </si>
  <si>
    <t>C38</t>
  </si>
  <si>
    <t>23-12-16:1330</t>
  </si>
  <si>
    <t>Plymouth</t>
  </si>
  <si>
    <t>Blackburn</t>
  </si>
  <si>
    <t>Leicester</t>
  </si>
  <si>
    <t>Cze</t>
  </si>
  <si>
    <t>Pardubice</t>
  </si>
  <si>
    <t>Liberec</t>
  </si>
  <si>
    <t>Jablonec</t>
  </si>
  <si>
    <t>Karvina</t>
  </si>
  <si>
    <t>Mlada Bol</t>
  </si>
  <si>
    <t>Slovacko</t>
  </si>
  <si>
    <t>Zlin</t>
  </si>
  <si>
    <t>Hradec</t>
  </si>
  <si>
    <t>Bohemians</t>
  </si>
  <si>
    <t>Ceske Bud</t>
  </si>
  <si>
    <t>Ostrava</t>
  </si>
  <si>
    <t>Slavia Pr</t>
  </si>
  <si>
    <t>Sigma O</t>
  </si>
  <si>
    <t>Plzen</t>
  </si>
  <si>
    <t>Sparta Pr</t>
  </si>
  <si>
    <t>Teplice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</si>
</sst>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"/>
    <numFmt numFmtId="165" formatCode="\+00;\-00;\+00;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4" borderId="0" applyNumberFormat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right"/>
    </xf>
    <xf numFmtId="49" fontId="0" fillId="0" borderId="0" xfId="0" applyNumberFormat="1"/>
    <xf numFmtId="0" fontId="0" fillId="2" borderId="0" xfId="0" applyFill="1"/>
    <xf numFmtId="0" fontId="4" fillId="3" borderId="0" xfId="0" applyFont="1" applyFill="1"/>
    <xf numFmtId="165" fontId="3" fillId="0" borderId="0" xfId="0" applyNumberFormat="1" applyFont="1" applyAlignment="1">
      <alignment horizontal="right"/>
    </xf>
    <xf numFmtId="0" fontId="5" fillId="4" borderId="0" xfId="1"/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65" fontId="0" fillId="0" borderId="0" xfId="0" applyNumberFormat="1" applyProtection="1">
      <protection locked="0"/>
    </xf>
    <xf numFmtId="49" fontId="0" fillId="0" borderId="0" xfId="0" applyNumberFormat="1" applyAlignment="1" applyProtection="1">
      <alignment horizontal="left"/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3" fillId="0" borderId="0" xfId="0" applyNumberFormat="1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center"/>
      <protection locked="0"/>
    </xf>
    <xf numFmtId="165" fontId="3" fillId="0" borderId="0" xfId="0" applyNumberFormat="1" applyFont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1" applyFont="1" applyFill="1" applyAlignment="1" applyProtection="1">
      <alignment horizontal="left"/>
      <protection locked="0"/>
    </xf>
    <xf numFmtId="0" fontId="4" fillId="0" borderId="0" xfId="0" applyFont="1" applyProtection="1">
      <protection locked="0"/>
    </xf>
    <xf numFmtId="0" fontId="5" fillId="0" borderId="0" xfId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Alignment="1" applyProtection="1">
      <alignment horizontal="left"/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0" fontId="0" fillId="0" borderId="0" xfId="0" applyNumberFormat="1" applyFill="1" applyAlignment="1" applyProtection="1">
      <alignment horizontal="left"/>
      <protection locked="0"/>
    </xf>
    <xf numFmtId="0" fontId="0" fillId="0" borderId="0" xfId="0" applyNumberFormat="1" applyFill="1" applyProtection="1">
      <protection locked="0"/>
    </xf>
    <xf numFmtId="165" fontId="3" fillId="0" borderId="0" xfId="0" applyNumberFormat="1" applyFont="1" applyFill="1" applyAlignment="1" applyProtection="1">
      <alignment horizontal="right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NumberFormat="1" applyFill="1" applyAlignment="1" applyProtection="1">
      <alignment horizontal="right"/>
      <protection locked="0"/>
    </xf>
    <xf numFmtId="0" fontId="0" fillId="0" borderId="0" xfId="0" applyNumberFormat="1" applyFill="1" applyAlignment="1" applyProtection="1">
      <protection locked="0"/>
    </xf>
    <xf numFmtId="0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NumberFormat="1" applyFill="1" applyAlignment="1" applyProtection="1">
      <alignment horizontal="center"/>
      <protection locked="0"/>
    </xf>
    <xf numFmtId="0" fontId="0" fillId="0" borderId="0" xfId="0" applyNumberFormat="1" applyFont="1" applyFill="1" applyAlignment="1" applyProtection="1">
      <alignment horizontal="left"/>
      <protection locked="0"/>
    </xf>
  </cellXfs>
  <cellStyles count="2">
    <cellStyle name="Neutral" xfId="1" builtinId="28"/>
    <cellStyle name="Normal" xfId="0" builtinId="0"/>
  </cellStyles>
  <dxfs count="38"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B050"/>
        <name val="Calibri"/>
        <family val="2"/>
        <scheme val="minor"/>
      </font>
      <numFmt numFmtId="165" formatCode="\+00;\-00;\+00;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numFmt numFmtId="165" formatCode="\+00;\-00;\+00;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0" hidden="0"/>
    </dxf>
    <dxf>
      <numFmt numFmtId="165" formatCode="\+00;\-00;\+00;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DBFAFB-80F7-4654-800A-70178AE733E0}" name="Table1" displayName="Table1" ref="A1:AF804" totalsRowShown="0" dataDxfId="37">
  <autoFilter ref="A1:AF804" xr:uid="{10DBFAFB-80F7-4654-800A-70178AE733E0}"/>
  <sortState xmlns:xlrd2="http://schemas.microsoft.com/office/spreadsheetml/2017/richdata2" ref="A2:AF804">
    <sortCondition ref="A1:A804"/>
  </sortState>
  <tableColumns count="32">
    <tableColumn id="1" xr3:uid="{E9F6AE64-FB00-4548-AA46-7465F3AC9882}" name="date/time" dataDxfId="36"/>
    <tableColumn id="2" xr3:uid="{C6DF9B01-1342-4AE1-BA4A-65C40E947C46}" name="C2" dataDxfId="35"/>
    <tableColumn id="3" xr3:uid="{3D3204DA-22B2-4BD2-BA99-0AEAAAE54518}" name="C3" dataDxfId="34"/>
    <tableColumn id="4" xr3:uid="{8D51477F-D7F7-4B13-BB3A-993C1E587EE3}" name="C4" dataDxfId="33"/>
    <tableColumn id="5" xr3:uid="{31BD5CF8-8B36-4299-A0DE-E809242AED3D}" name="C5" dataDxfId="32"/>
    <tableColumn id="6" xr3:uid="{250CDECE-B659-4E78-87A3-FA94C1A457DB}" name="C6" dataDxfId="31"/>
    <tableColumn id="7" xr3:uid="{05D0C185-8E1C-46CA-8BB2-B6235969B849}" name="C7" dataDxfId="30"/>
    <tableColumn id="8" xr3:uid="{A4EFD8D1-6BDD-46C7-B6F4-F64A41B11C1A}" name="C8" dataDxfId="29"/>
    <tableColumn id="9" xr3:uid="{5D5151B4-8C98-4321-BB70-ACAB2F046390}" name="C9" dataDxfId="28"/>
    <tableColumn id="10" xr3:uid="{B6AC79B1-DA3A-4FE1-80EF-D3016751F716}" name="C10" dataDxfId="27"/>
    <tableColumn id="11" xr3:uid="{C73BFB65-9474-443A-9A49-398AC359DB74}" name="C11" dataDxfId="26"/>
    <tableColumn id="12" xr3:uid="{56B87643-343C-450B-B398-54BF272DD7D4}" name="C12" dataDxfId="25"/>
    <tableColumn id="13" xr3:uid="{647F9949-385E-4D36-93AE-C2AA21432BFE}" name="C13" dataDxfId="24"/>
    <tableColumn id="14" xr3:uid="{75B235F2-A78E-4B03-BE6B-F399239942DF}" name="C14" dataDxfId="23"/>
    <tableColumn id="15" xr3:uid="{6535A0E2-9846-4027-A2F3-06412B3EAA2B}" name="C15" dataDxfId="22"/>
    <tableColumn id="16" xr3:uid="{5A923ACA-BB7B-4DB7-867F-3FA6C9B41414}" name="C16" dataDxfId="21"/>
    <tableColumn id="17" xr3:uid="{86DADBB6-524E-4116-BFD4-C2A4F6D2C370}" name="C17" dataDxfId="20"/>
    <tableColumn id="18" xr3:uid="{E1A97E98-7860-4BCC-B94B-B7A33218635E}" name="C18" dataDxfId="19">
      <calculatedColumnFormula>_xlfn.CONCAT(F2,G2,H2,I2,J2)</calculatedColumnFormula>
    </tableColumn>
    <tableColumn id="19" xr3:uid="{D6FEDC6C-D8A7-4AFD-9CCE-B964AE4716B2}" name="C19" dataDxfId="18">
      <calculatedColumnFormula>_xlfn.CONCAT(K2,L2,M2,N2,O2)</calculatedColumnFormula>
    </tableColumn>
    <tableColumn id="20" xr3:uid="{4DFE88AA-FA06-494E-9DA5-648F20BF08D5}" name="C20" dataDxfId="17">
      <calculatedColumnFormula>_xlfn.CONCAT(R2,"***",S2)</calculatedColumnFormula>
    </tableColumn>
    <tableColumn id="21" xr3:uid="{3F6D9F9A-4FE1-472A-A82D-851C9CABF4B9}" name="Column1" dataDxfId="16">
      <calculatedColumnFormula>(P2-Q2)</calculatedColumnFormula>
    </tableColumn>
    <tableColumn id="23" xr3:uid="{26F50BC5-00AC-406A-BB55-16F409A66E20}" name="C23" dataDxfId="15"/>
    <tableColumn id="24" xr3:uid="{914D0DC6-C1E4-4870-B3C9-5B4FD39110F0}" name="C24" dataDxfId="14"/>
    <tableColumn id="25" xr3:uid="{257E6451-68C1-46B6-A246-D0FFE6D2B55B}" name="C25" dataDxfId="13">
      <calculatedColumnFormula>IF(ISBLANK(V2),"",IF(V2&gt;W2,"1",IF(V2&lt;W2,"2",IF(V2=W2,"X"))))</calculatedColumnFormula>
    </tableColumn>
    <tableColumn id="31" xr3:uid="{53F809FC-8FF5-4645-BAC2-61CCA0C9A5E1}" name="C29" dataDxfId="12">
      <calculatedColumnFormula>COUNTIF(F2:J2, "W")&amp;COUNTIF(F2:J2, "d")&amp;COUNTIF(F2:J2, "l")</calculatedColumnFormula>
    </tableColumn>
    <tableColumn id="32" xr3:uid="{FC254B9D-2010-4EC7-81A9-6488CEB9AF22}" name="C30" dataDxfId="11">
      <calculatedColumnFormula>COUNTIF(K2:O2, "W")&amp;COUNTIF(K2:O2, "d")&amp;COUNTIF(K2:O2, "l")</calculatedColumnFormula>
    </tableColumn>
    <tableColumn id="33" xr3:uid="{2162554D-C779-4DB0-A293-EE4EAF74939E}" name="C31" dataDxfId="10">
      <calculatedColumnFormula>_xlfn.CONCAT(Y2,"-",Z2)</calculatedColumnFormula>
    </tableColumn>
    <tableColumn id="22" xr3:uid="{09283B91-9859-4EB7-95E8-CB765C776666}" name="C34" dataDxfId="9" dataCellStyle="Normal">
      <calculatedColumnFormula>_xlfn.CONCAT(AA2,"…",TEXT(U2,"+00;-00;+00;"))</calculatedColumnFormula>
    </tableColumn>
    <tableColumn id="28" xr3:uid="{027A55D5-4FAF-45CB-9E44-0F1139B5B7AE}" name="C35" dataDxfId="8">
      <calculatedColumnFormula>_xlfn.CONCAT(TEXT(P2,"+00;-00;+00;"),"…",TEXT(Q2,"+00;-00;+00;"))</calculatedColumnFormula>
    </tableColumn>
    <tableColumn id="34" xr3:uid="{4A6B1F84-4E98-4FBA-B548-7748803E56CB}" name="C36" dataDxfId="7">
      <calculatedColumnFormula>IF(X2="","?","")</calculatedColumnFormula>
    </tableColumn>
    <tableColumn id="26" xr3:uid="{B92E4D56-ED91-4FA6-A4AB-D9695C4E0633}" name="C37" dataDxfId="6">
      <calculatedColumnFormula>_xlfn.CONCAT(AA2,"…",TEXT(P2,"+00;-00;+00;"),"...",TEXT(Q2,"+00;-00;+00;"))</calculatedColumnFormula>
    </tableColumn>
    <tableColumn id="27" xr3:uid="{2516586F-2D6A-46B6-9818-55ED59E903D8}" name="C38" dataDxfId="5">
      <calculatedColumnFormula>_xlfn.CONCAT(R2,"…",TEXT(P2,"+00;-00;+00;"),"...",TEXT(Q2,"+00;-00;+00;"))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640B6-3347-49A5-B296-0C100352809C}">
  <sheetPr codeName="Sheet1"/>
  <dimension ref="A1:AF804"/>
  <sheetViews>
    <sheetView tabSelected="1" topLeftCell="A775" workbookViewId="0">
      <selection activeCell="R802" sqref="R802"/>
    </sheetView>
  </sheetViews>
  <sheetFormatPr defaultRowHeight="15" x14ac:dyDescent="0.25"/>
  <cols>
    <col min="1" max="1" width="13.28515625" style="7" bestFit="1" customWidth="1"/>
    <col min="2" max="2" width="4.42578125" customWidth="1"/>
    <col min="3" max="3" width="3.140625" style="1" customWidth="1"/>
    <col min="4" max="5" width="10.5703125" bestFit="1" customWidth="1"/>
    <col min="6" max="7" width="4" customWidth="1"/>
    <col min="8" max="8" width="3.7109375" customWidth="1"/>
    <col min="9" max="9" width="3.85546875" style="2" customWidth="1"/>
    <col min="10" max="10" width="3.5703125" style="2" customWidth="1"/>
    <col min="11" max="11" width="3.85546875" style="2" customWidth="1"/>
    <col min="12" max="12" width="4" style="2" customWidth="1"/>
    <col min="13" max="13" width="3.7109375" style="2" customWidth="1"/>
    <col min="14" max="14" width="3.85546875" style="2" customWidth="1"/>
    <col min="15" max="15" width="3.7109375" style="2" customWidth="1"/>
    <col min="16" max="16" width="4.42578125" style="6" customWidth="1"/>
    <col min="17" max="17" width="5" style="6" customWidth="1"/>
    <col min="18" max="18" width="10.28515625" style="2" customWidth="1"/>
    <col min="19" max="19" width="10.5703125" customWidth="1"/>
    <col min="20" max="20" width="22.28515625" customWidth="1"/>
    <col min="21" max="21" width="3.85546875" style="10" customWidth="1"/>
    <col min="22" max="22" width="3.42578125" style="1" customWidth="1"/>
    <col min="23" max="23" width="3.7109375" style="1" customWidth="1"/>
    <col min="24" max="24" width="4" style="5" customWidth="1"/>
    <col min="25" max="25" width="4.140625" style="4" bestFit="1" customWidth="1"/>
    <col min="26" max="26" width="4.140625" bestFit="1" customWidth="1"/>
    <col min="27" max="27" width="7.7109375" customWidth="1"/>
    <col min="28" max="28" width="12.85546875" style="4" customWidth="1"/>
    <col min="30" max="30" width="5.140625" customWidth="1"/>
    <col min="31" max="31" width="19" style="2" customWidth="1"/>
    <col min="32" max="32" width="20.5703125" customWidth="1"/>
  </cols>
  <sheetData>
    <row r="1" spans="1:32" x14ac:dyDescent="0.25">
      <c r="A1" s="7" t="s">
        <v>483</v>
      </c>
      <c r="B1" t="s">
        <v>461</v>
      </c>
      <c r="C1" s="1" t="s">
        <v>462</v>
      </c>
      <c r="D1" t="s">
        <v>463</v>
      </c>
      <c r="E1" t="s">
        <v>464</v>
      </c>
      <c r="F1" s="1" t="s">
        <v>465</v>
      </c>
      <c r="G1" s="1" t="s">
        <v>466</v>
      </c>
      <c r="H1" s="1" t="s">
        <v>467</v>
      </c>
      <c r="I1" s="2" t="s">
        <v>468</v>
      </c>
      <c r="J1" s="2" t="s">
        <v>469</v>
      </c>
      <c r="K1" s="2" t="s">
        <v>470</v>
      </c>
      <c r="L1" s="2" t="s">
        <v>471</v>
      </c>
      <c r="M1" s="2" t="s">
        <v>472</v>
      </c>
      <c r="N1" s="2" t="s">
        <v>473</v>
      </c>
      <c r="O1" s="2" t="s">
        <v>474</v>
      </c>
      <c r="P1" s="6" t="s">
        <v>475</v>
      </c>
      <c r="Q1" s="6" t="s">
        <v>476</v>
      </c>
      <c r="R1" s="3" t="s">
        <v>477</v>
      </c>
      <c r="S1" t="s">
        <v>478</v>
      </c>
      <c r="T1" t="s">
        <v>479</v>
      </c>
      <c r="U1" s="10" t="s">
        <v>497</v>
      </c>
      <c r="V1" s="1" t="s">
        <v>480</v>
      </c>
      <c r="W1" s="1" t="s">
        <v>481</v>
      </c>
      <c r="X1" s="5" t="s">
        <v>482</v>
      </c>
      <c r="Y1" s="4" t="s">
        <v>485</v>
      </c>
      <c r="Z1" t="s">
        <v>486</v>
      </c>
      <c r="AA1" t="s">
        <v>487</v>
      </c>
      <c r="AB1" s="4" t="s">
        <v>576</v>
      </c>
      <c r="AC1" t="s">
        <v>650</v>
      </c>
      <c r="AD1" t="s">
        <v>928</v>
      </c>
      <c r="AE1" s="2" t="s">
        <v>1192</v>
      </c>
      <c r="AF1" t="s">
        <v>1193</v>
      </c>
    </row>
    <row r="2" spans="1:32" x14ac:dyDescent="0.25">
      <c r="A2" s="12" t="s">
        <v>94</v>
      </c>
      <c r="B2" s="13" t="s">
        <v>59</v>
      </c>
      <c r="C2" s="14" t="s">
        <v>33</v>
      </c>
      <c r="D2" s="13" t="s">
        <v>95</v>
      </c>
      <c r="E2" s="13" t="s">
        <v>96</v>
      </c>
      <c r="F2" s="15" t="s">
        <v>30</v>
      </c>
      <c r="G2" s="15" t="s">
        <v>30</v>
      </c>
      <c r="H2" s="15" t="s">
        <v>31</v>
      </c>
      <c r="I2" s="15" t="s">
        <v>30</v>
      </c>
      <c r="J2" s="15" t="s">
        <v>31</v>
      </c>
      <c r="K2" s="15" t="s">
        <v>30</v>
      </c>
      <c r="L2" s="15" t="s">
        <v>30</v>
      </c>
      <c r="M2" s="15" t="s">
        <v>30</v>
      </c>
      <c r="N2" s="15" t="s">
        <v>30</v>
      </c>
      <c r="O2" s="15" t="s">
        <v>30</v>
      </c>
      <c r="P2" s="16">
        <v>3</v>
      </c>
      <c r="Q2" s="16">
        <v>19</v>
      </c>
      <c r="R2" s="13" t="str">
        <f>_xlfn.CONCAT(F2,G2,H2,I2,J2)</f>
        <v>WWLWL</v>
      </c>
      <c r="S2" s="13" t="str">
        <f>_xlfn.CONCAT(K2,L2,M2,N2,O2)</f>
        <v>WWWWW</v>
      </c>
      <c r="T2" s="13" t="str">
        <f>_xlfn.CONCAT(R2,"***",S2)</f>
        <v>WWLWL***WWWWW</v>
      </c>
      <c r="U2" s="19">
        <f>(P2-Q2)</f>
        <v>-16</v>
      </c>
      <c r="V2" s="14">
        <v>1</v>
      </c>
      <c r="W2" s="14">
        <v>1</v>
      </c>
      <c r="X2" s="20" t="str">
        <f>IF(V2="","",IF(V2&gt;W2,"1",IF(V2&lt;W2,"2",IF(V2=W2,"X"))))</f>
        <v>X</v>
      </c>
      <c r="Y2" s="23" t="str">
        <f>COUNTIF(F2:J2, "W")&amp;COUNTIF(F2:J2, "d")&amp;COUNTIF(F2:J2, "l")</f>
        <v>302</v>
      </c>
      <c r="Z2" s="13" t="str">
        <f>COUNTIF(K2:O2, "W")&amp;COUNTIF(K2:O2, "d")&amp;COUNTIF(K2:O2, "l")</f>
        <v>500</v>
      </c>
      <c r="AA2" s="23" t="str">
        <f>_xlfn.CONCAT(Y2,"-",Z2)</f>
        <v>302-500</v>
      </c>
      <c r="AB2" s="15" t="str">
        <f>_xlfn.CONCAT(AA2,"…",TEXT(U2,"+00;-00;+00;"))</f>
        <v>302-500…-16</v>
      </c>
      <c r="AC2" s="23" t="str">
        <f>_xlfn.CONCAT(TEXT(P2,"+00;-00;+00;"),"…",TEXT(Q2,"+00;-00;+00;"))</f>
        <v>+03…+19</v>
      </c>
      <c r="AD2" s="14" t="str">
        <f>IF(X2="","?","")</f>
        <v/>
      </c>
      <c r="AE2" s="15" t="str">
        <f>_xlfn.CONCAT(AA2,"…",TEXT(P2,"+00;-00;+00;"),"...",TEXT(Q2,"+00;-00;+00;"))</f>
        <v>302-500…+03...+19</v>
      </c>
      <c r="AF2" s="13" t="str">
        <f>_xlfn.CONCAT(R2,"…",TEXT(P2,"+00;-00;+00;"),"...",TEXT(Q2,"+00;-00;+00;"))</f>
        <v>WWLWL…+03...+19</v>
      </c>
    </row>
    <row r="3" spans="1:32" x14ac:dyDescent="0.25">
      <c r="A3" s="12" t="s">
        <v>274</v>
      </c>
      <c r="B3" s="13" t="s">
        <v>250</v>
      </c>
      <c r="C3" s="14">
        <v>2</v>
      </c>
      <c r="D3" s="13" t="s">
        <v>281</v>
      </c>
      <c r="E3" s="13" t="s">
        <v>282</v>
      </c>
      <c r="F3" s="15" t="s">
        <v>29</v>
      </c>
      <c r="G3" s="15" t="s">
        <v>31</v>
      </c>
      <c r="H3" s="15" t="s">
        <v>31</v>
      </c>
      <c r="I3" s="15" t="s">
        <v>30</v>
      </c>
      <c r="J3" s="15" t="s">
        <v>30</v>
      </c>
      <c r="K3" s="15" t="s">
        <v>31</v>
      </c>
      <c r="L3" s="15" t="s">
        <v>30</v>
      </c>
      <c r="M3" s="15" t="s">
        <v>31</v>
      </c>
      <c r="N3" s="15" t="s">
        <v>31</v>
      </c>
      <c r="O3" s="15" t="s">
        <v>31</v>
      </c>
      <c r="P3" s="16">
        <v>2</v>
      </c>
      <c r="Q3" s="16">
        <v>-15</v>
      </c>
      <c r="R3" s="13" t="str">
        <f>_xlfn.CONCAT(F3,G3,H3,I3,J3)</f>
        <v>DLLWW</v>
      </c>
      <c r="S3" s="13" t="str">
        <f>_xlfn.CONCAT(K3,L3,M3,N3,O3)</f>
        <v>LWLLL</v>
      </c>
      <c r="T3" s="13" t="str">
        <f>_xlfn.CONCAT(R3,"***",S3)</f>
        <v>DLLWW***LWLLL</v>
      </c>
      <c r="U3" s="19">
        <f>(P3-Q3)</f>
        <v>17</v>
      </c>
      <c r="V3" s="14">
        <v>1</v>
      </c>
      <c r="W3" s="14">
        <v>0</v>
      </c>
      <c r="X3" s="20" t="str">
        <f>IF(ISBLANK(V3),"",IF(V3&gt;W3,"1",IF(V3&lt;W3,"2",IF(V3=W3,"X"))))</f>
        <v>1</v>
      </c>
      <c r="Y3" s="23" t="str">
        <f>COUNTIF(F3:J3, "W")&amp;COUNTIF(F3:J3, "d")&amp;COUNTIF(F3:J3, "l")</f>
        <v>212</v>
      </c>
      <c r="Z3" s="13" t="str">
        <f>COUNTIF(K3:O3, "W")&amp;COUNTIF(K3:O3, "d")&amp;COUNTIF(K3:O3, "l")</f>
        <v>104</v>
      </c>
      <c r="AA3" s="23" t="str">
        <f>_xlfn.CONCAT(Y3,"-",Z3)</f>
        <v>212-104</v>
      </c>
      <c r="AB3" s="15" t="str">
        <f>_xlfn.CONCAT(AA3,"…",TEXT(U3,"+00;-00;+00;"))</f>
        <v>212-104…+17</v>
      </c>
      <c r="AC3" s="23" t="str">
        <f>_xlfn.CONCAT(TEXT(P3,"+00;-00;+00;"),"…",TEXT(Q3,"+00;-00;+00;"))</f>
        <v>+02…-15</v>
      </c>
      <c r="AD3" s="14" t="str">
        <f>IF(X3="","?","")</f>
        <v/>
      </c>
      <c r="AE3" s="15" t="str">
        <f>_xlfn.CONCAT(AA3,"…",TEXT(P3,"+00;-00;+00;"),"...",TEXT(Q3,"+00;-00;+00;"))</f>
        <v>212-104…+02...-15</v>
      </c>
      <c r="AF3" s="13" t="str">
        <f>_xlfn.CONCAT(R3,"…",TEXT(P3,"+00;-00;+00;"),"...",TEXT(Q3,"+00;-00;+00;"))</f>
        <v>DLLWW…+02...-15</v>
      </c>
    </row>
    <row r="4" spans="1:32" x14ac:dyDescent="0.25">
      <c r="A4" s="12" t="s">
        <v>275</v>
      </c>
      <c r="B4" s="13" t="s">
        <v>250</v>
      </c>
      <c r="C4" s="14">
        <v>2</v>
      </c>
      <c r="D4" s="13" t="s">
        <v>283</v>
      </c>
      <c r="E4" s="13" t="s">
        <v>284</v>
      </c>
      <c r="F4" s="15" t="s">
        <v>29</v>
      </c>
      <c r="G4" s="15" t="s">
        <v>30</v>
      </c>
      <c r="H4" s="15" t="s">
        <v>30</v>
      </c>
      <c r="I4" s="15" t="s">
        <v>30</v>
      </c>
      <c r="J4" s="15" t="s">
        <v>31</v>
      </c>
      <c r="K4" s="15" t="s">
        <v>30</v>
      </c>
      <c r="L4" s="15" t="s">
        <v>29</v>
      </c>
      <c r="M4" s="15" t="s">
        <v>29</v>
      </c>
      <c r="N4" s="15" t="s">
        <v>30</v>
      </c>
      <c r="O4" s="15" t="s">
        <v>29</v>
      </c>
      <c r="P4" s="16">
        <v>3</v>
      </c>
      <c r="Q4" s="16">
        <v>9</v>
      </c>
      <c r="R4" s="13" t="str">
        <f>_xlfn.CONCAT(F4,G4,H4,I4,J4)</f>
        <v>DWWWL</v>
      </c>
      <c r="S4" s="13" t="str">
        <f>_xlfn.CONCAT(K4,L4,M4,N4,O4)</f>
        <v>WDDWD</v>
      </c>
      <c r="T4" s="13" t="str">
        <f>_xlfn.CONCAT(R4,"***",S4)</f>
        <v>DWWWL***WDDWD</v>
      </c>
      <c r="U4" s="19">
        <f>(P4-Q4)</f>
        <v>-6</v>
      </c>
      <c r="V4" s="14">
        <v>0</v>
      </c>
      <c r="W4" s="14">
        <v>2</v>
      </c>
      <c r="X4" s="20" t="str">
        <f>IF(ISBLANK(V4),"",IF(V4&gt;W4,"1",IF(V4&lt;W4,"2",IF(V4=W4,"X"))))</f>
        <v>2</v>
      </c>
      <c r="Y4" s="23" t="str">
        <f>COUNTIF(F4:J4, "W")&amp;COUNTIF(F4:J4, "d")&amp;COUNTIF(F4:J4, "l")</f>
        <v>311</v>
      </c>
      <c r="Z4" s="13" t="str">
        <f>COUNTIF(K4:O4, "W")&amp;COUNTIF(K4:O4, "d")&amp;COUNTIF(K4:O4, "l")</f>
        <v>230</v>
      </c>
      <c r="AA4" s="23" t="str">
        <f>_xlfn.CONCAT(Y4,"-",Z4)</f>
        <v>311-230</v>
      </c>
      <c r="AB4" s="15" t="str">
        <f>_xlfn.CONCAT(AA4,"…",TEXT(U4,"+00;-00;+00;"))</f>
        <v>311-230…-06</v>
      </c>
      <c r="AC4" s="23" t="str">
        <f>_xlfn.CONCAT(TEXT(P4,"+00;-00;+00;"),"…",TEXT(Q4,"+00;-00;+00;"))</f>
        <v>+03…+09</v>
      </c>
      <c r="AD4" s="14" t="str">
        <f>IF(X4="","?","")</f>
        <v/>
      </c>
      <c r="AE4" s="15" t="str">
        <f>_xlfn.CONCAT(AA4,"…",TEXT(P4,"+00;-00;+00;"),"...",TEXT(Q4,"+00;-00;+00;"))</f>
        <v>311-230…+03...+09</v>
      </c>
      <c r="AF4" s="13" t="str">
        <f>_xlfn.CONCAT(R4,"…",TEXT(P4,"+00;-00;+00;"),"...",TEXT(Q4,"+00;-00;+00;"))</f>
        <v>DWWWL…+03...+09</v>
      </c>
    </row>
    <row r="5" spans="1:32" x14ac:dyDescent="0.25">
      <c r="A5" s="12" t="s">
        <v>87</v>
      </c>
      <c r="B5" s="13" t="s">
        <v>59</v>
      </c>
      <c r="C5" s="14" t="s">
        <v>33</v>
      </c>
      <c r="D5" s="13" t="s">
        <v>97</v>
      </c>
      <c r="E5" s="13" t="s">
        <v>98</v>
      </c>
      <c r="F5" s="15" t="s">
        <v>31</v>
      </c>
      <c r="G5" s="15" t="s">
        <v>30</v>
      </c>
      <c r="H5" s="15" t="s">
        <v>31</v>
      </c>
      <c r="I5" s="15" t="s">
        <v>29</v>
      </c>
      <c r="J5" s="15" t="s">
        <v>31</v>
      </c>
      <c r="K5" s="15" t="s">
        <v>29</v>
      </c>
      <c r="L5" s="15" t="s">
        <v>30</v>
      </c>
      <c r="M5" s="15" t="s">
        <v>30</v>
      </c>
      <c r="N5" s="15" t="s">
        <v>30</v>
      </c>
      <c r="O5" s="15" t="s">
        <v>29</v>
      </c>
      <c r="P5" s="16">
        <v>-11</v>
      </c>
      <c r="Q5" s="16">
        <v>10</v>
      </c>
      <c r="R5" s="13" t="str">
        <f>_xlfn.CONCAT(F5,G5,H5,I5,J5)</f>
        <v>LWLDL</v>
      </c>
      <c r="S5" s="13" t="str">
        <f>_xlfn.CONCAT(K5,L5,M5,N5,O5)</f>
        <v>DWWWD</v>
      </c>
      <c r="T5" s="13" t="str">
        <f>_xlfn.CONCAT(R5,"***",S5)</f>
        <v>LWLDL***DWWWD</v>
      </c>
      <c r="U5" s="19">
        <f>(P5-Q5)</f>
        <v>-21</v>
      </c>
      <c r="V5" s="14">
        <v>0</v>
      </c>
      <c r="W5" s="14">
        <v>0</v>
      </c>
      <c r="X5" s="20" t="str">
        <f>IF(ISBLANK(V5),"",IF(V5&gt;W5,"1",IF(V5&lt;W5,"2",IF(V5=W5,"X"))))</f>
        <v>X</v>
      </c>
      <c r="Y5" s="23" t="str">
        <f>COUNTIF(F5:J5, "W")&amp;COUNTIF(F5:J5, "d")&amp;COUNTIF(F5:J5, "l")</f>
        <v>113</v>
      </c>
      <c r="Z5" s="13" t="str">
        <f>COUNTIF(K5:O5, "W")&amp;COUNTIF(K5:O5, "d")&amp;COUNTIF(K5:O5, "l")</f>
        <v>320</v>
      </c>
      <c r="AA5" s="23" t="str">
        <f>_xlfn.CONCAT(Y5,"-",Z5)</f>
        <v>113-320</v>
      </c>
      <c r="AB5" s="15" t="str">
        <f>_xlfn.CONCAT(AA5,"…",TEXT(U5,"+00;-00;+00;"))</f>
        <v>113-320…-21</v>
      </c>
      <c r="AC5" s="23" t="str">
        <f>_xlfn.CONCAT(TEXT(P5,"+00;-00;+00;"),"…",TEXT(Q5,"+00;-00;+00;"))</f>
        <v>-11…+10</v>
      </c>
      <c r="AD5" s="14" t="str">
        <f>IF(X5="","?","")</f>
        <v/>
      </c>
      <c r="AE5" s="15" t="str">
        <f>_xlfn.CONCAT(AA5,"…",TEXT(P5,"+00;-00;+00;"),"...",TEXT(Q5,"+00;-00;+00;"))</f>
        <v>113-320…-11...+10</v>
      </c>
      <c r="AF5" s="13" t="str">
        <f>_xlfn.CONCAT(R5,"…",TEXT(P5,"+00;-00;+00;"),"...",TEXT(Q5,"+00;-00;+00;"))</f>
        <v>LWLDL…-11...+10</v>
      </c>
    </row>
    <row r="6" spans="1:32" x14ac:dyDescent="0.25">
      <c r="A6" s="12" t="s">
        <v>276</v>
      </c>
      <c r="B6" s="13" t="s">
        <v>250</v>
      </c>
      <c r="C6" s="14">
        <v>2</v>
      </c>
      <c r="D6" s="13" t="s">
        <v>285</v>
      </c>
      <c r="E6" s="13" t="s">
        <v>286</v>
      </c>
      <c r="F6" s="15" t="s">
        <v>30</v>
      </c>
      <c r="G6" s="15" t="s">
        <v>31</v>
      </c>
      <c r="H6" s="15" t="s">
        <v>29</v>
      </c>
      <c r="I6" s="15" t="s">
        <v>30</v>
      </c>
      <c r="J6" s="15" t="s">
        <v>29</v>
      </c>
      <c r="K6" s="15" t="s">
        <v>30</v>
      </c>
      <c r="L6" s="15" t="s">
        <v>31</v>
      </c>
      <c r="M6" s="15" t="s">
        <v>31</v>
      </c>
      <c r="N6" s="15" t="s">
        <v>30</v>
      </c>
      <c r="O6" s="15" t="s">
        <v>30</v>
      </c>
      <c r="P6" s="16">
        <v>-2</v>
      </c>
      <c r="Q6" s="16">
        <v>-5</v>
      </c>
      <c r="R6" s="13" t="str">
        <f>_xlfn.CONCAT(F6,G6,H6,I6,J6)</f>
        <v>WLDWD</v>
      </c>
      <c r="S6" s="13" t="str">
        <f>_xlfn.CONCAT(K6,L6,M6,N6,O6)</f>
        <v>WLLWW</v>
      </c>
      <c r="T6" s="13" t="str">
        <f>_xlfn.CONCAT(R6,"***",S6)</f>
        <v>WLDWD***WLLWW</v>
      </c>
      <c r="U6" s="19">
        <f>(P6-Q6)</f>
        <v>3</v>
      </c>
      <c r="V6" s="14">
        <v>2</v>
      </c>
      <c r="W6" s="14">
        <v>0</v>
      </c>
      <c r="X6" s="20" t="str">
        <f>IF(ISBLANK(V6),"",IF(V6&gt;W6,"1",IF(V6&lt;W6,"2",IF(V6=W6,"X"))))</f>
        <v>1</v>
      </c>
      <c r="Y6" s="23" t="str">
        <f>COUNTIF(F6:J6, "W")&amp;COUNTIF(F6:J6, "d")&amp;COUNTIF(F6:J6, "l")</f>
        <v>221</v>
      </c>
      <c r="Z6" s="13" t="str">
        <f>COUNTIF(K6:O6, "W")&amp;COUNTIF(K6:O6, "d")&amp;COUNTIF(K6:O6, "l")</f>
        <v>302</v>
      </c>
      <c r="AA6" s="23" t="str">
        <f>_xlfn.CONCAT(Y6,"-",Z6)</f>
        <v>221-302</v>
      </c>
      <c r="AB6" s="15" t="str">
        <f>_xlfn.CONCAT(AA6,"…",TEXT(U6,"+00;-00;+00;"))</f>
        <v>221-302…+03</v>
      </c>
      <c r="AC6" s="23" t="str">
        <f>_xlfn.CONCAT(TEXT(P6,"+00;-00;+00;"),"…",TEXT(Q6,"+00;-00;+00;"))</f>
        <v>-02…-05</v>
      </c>
      <c r="AD6" s="14" t="str">
        <f>IF(X6="","?","")</f>
        <v/>
      </c>
      <c r="AE6" s="15" t="str">
        <f>_xlfn.CONCAT(AA6,"…",TEXT(P6,"+00;-00;+00;"),"...",TEXT(Q6,"+00;-00;+00;"))</f>
        <v>221-302…-02...-05</v>
      </c>
      <c r="AF6" s="13" t="str">
        <f>_xlfn.CONCAT(R6,"…",TEXT(P6,"+00;-00;+00;"),"...",TEXT(Q6,"+00;-00;+00;"))</f>
        <v>WLDWD…-02...-05</v>
      </c>
    </row>
    <row r="7" spans="1:32" x14ac:dyDescent="0.25">
      <c r="A7" s="12" t="s">
        <v>413</v>
      </c>
      <c r="B7" s="13" t="s">
        <v>414</v>
      </c>
      <c r="C7" s="14">
        <v>1</v>
      </c>
      <c r="D7" s="13" t="s">
        <v>416</v>
      </c>
      <c r="E7" s="13" t="s">
        <v>415</v>
      </c>
      <c r="F7" s="15" t="s">
        <v>29</v>
      </c>
      <c r="G7" s="15" t="s">
        <v>31</v>
      </c>
      <c r="H7" s="15" t="s">
        <v>29</v>
      </c>
      <c r="I7" s="15" t="s">
        <v>30</v>
      </c>
      <c r="J7" s="15" t="s">
        <v>31</v>
      </c>
      <c r="K7" s="15" t="s">
        <v>29</v>
      </c>
      <c r="L7" s="15" t="s">
        <v>31</v>
      </c>
      <c r="M7" s="15" t="s">
        <v>29</v>
      </c>
      <c r="N7" s="15" t="s">
        <v>31</v>
      </c>
      <c r="O7" s="15" t="s">
        <v>29</v>
      </c>
      <c r="P7" s="16">
        <v>-3</v>
      </c>
      <c r="Q7" s="16">
        <v>-11</v>
      </c>
      <c r="R7" s="13" t="str">
        <f>_xlfn.CONCAT(F7,G7,H7,I7,J7)</f>
        <v>DLDWL</v>
      </c>
      <c r="S7" s="13" t="str">
        <f>_xlfn.CONCAT(K7,L7,M7,N7,O7)</f>
        <v>DLDLD</v>
      </c>
      <c r="T7" s="13" t="str">
        <f>_xlfn.CONCAT(R7,"***",S7)</f>
        <v>DLDWL***DLDLD</v>
      </c>
      <c r="U7" s="19">
        <f>(P7-Q7)</f>
        <v>8</v>
      </c>
      <c r="V7" s="14">
        <v>2</v>
      </c>
      <c r="W7" s="14">
        <v>1</v>
      </c>
      <c r="X7" s="20" t="str">
        <f>IF(ISBLANK(V7),"",IF(V7&gt;W7,"1",IF(V7&lt;W7,"2",IF(V7=W7,"X"))))</f>
        <v>1</v>
      </c>
      <c r="Y7" s="23" t="str">
        <f>COUNTIF(F7:J7, "W")&amp;COUNTIF(F7:J7, "d")&amp;COUNTIF(F7:J7, "l")</f>
        <v>122</v>
      </c>
      <c r="Z7" s="13" t="str">
        <f>COUNTIF(K7:O7, "W")&amp;COUNTIF(K7:O7, "d")&amp;COUNTIF(K7:O7, "l")</f>
        <v>032</v>
      </c>
      <c r="AA7" s="23" t="str">
        <f>_xlfn.CONCAT(Y7,"-",Z7)</f>
        <v>122-032</v>
      </c>
      <c r="AB7" s="15" t="str">
        <f>_xlfn.CONCAT(AA7,"…",TEXT(U7,"+00;-00;+00;"))</f>
        <v>122-032…+08</v>
      </c>
      <c r="AC7" s="23" t="str">
        <f>_xlfn.CONCAT(TEXT(P7,"+00;-00;+00;"),"…",TEXT(Q7,"+00;-00;+00;"))</f>
        <v>-03…-11</v>
      </c>
      <c r="AD7" s="14" t="str">
        <f>IF(X7="","?","")</f>
        <v/>
      </c>
      <c r="AE7" s="15" t="str">
        <f>_xlfn.CONCAT(AA7,"…",TEXT(P7,"+00;-00;+00;"),"...",TEXT(Q7,"+00;-00;+00;"))</f>
        <v>122-032…-03...-11</v>
      </c>
      <c r="AF7" s="13" t="str">
        <f>_xlfn.CONCAT(R7,"…",TEXT(P7,"+00;-00;+00;"),"...",TEXT(Q7,"+00;-00;+00;"))</f>
        <v>DLDWL…-03...-11</v>
      </c>
    </row>
    <row r="8" spans="1:32" x14ac:dyDescent="0.25">
      <c r="A8" s="12" t="s">
        <v>88</v>
      </c>
      <c r="B8" s="13" t="s">
        <v>59</v>
      </c>
      <c r="C8" s="14" t="s">
        <v>33</v>
      </c>
      <c r="D8" s="13" t="s">
        <v>99</v>
      </c>
      <c r="E8" s="13" t="s">
        <v>100</v>
      </c>
      <c r="F8" s="15" t="s">
        <v>29</v>
      </c>
      <c r="G8" s="15" t="s">
        <v>31</v>
      </c>
      <c r="H8" s="15" t="s">
        <v>31</v>
      </c>
      <c r="I8" s="15" t="s">
        <v>29</v>
      </c>
      <c r="J8" s="15" t="s">
        <v>31</v>
      </c>
      <c r="K8" s="15" t="s">
        <v>31</v>
      </c>
      <c r="L8" s="15" t="s">
        <v>31</v>
      </c>
      <c r="M8" s="15" t="s">
        <v>31</v>
      </c>
      <c r="N8" s="15" t="s">
        <v>29</v>
      </c>
      <c r="O8" s="15" t="s">
        <v>29</v>
      </c>
      <c r="P8" s="16">
        <v>-10</v>
      </c>
      <c r="Q8" s="16">
        <v>1</v>
      </c>
      <c r="R8" s="13" t="str">
        <f>_xlfn.CONCAT(F8,G8,H8,I8,J8)</f>
        <v>DLLDL</v>
      </c>
      <c r="S8" s="13" t="str">
        <f>_xlfn.CONCAT(K8,L8,M8,N8,O8)</f>
        <v>LLLDD</v>
      </c>
      <c r="T8" s="13" t="str">
        <f>_xlfn.CONCAT(R8,"***",S8)</f>
        <v>DLLDL***LLLDD</v>
      </c>
      <c r="U8" s="19">
        <f>(P8-Q8)</f>
        <v>-11</v>
      </c>
      <c r="V8" s="14">
        <v>2</v>
      </c>
      <c r="W8" s="14">
        <v>0</v>
      </c>
      <c r="X8" s="20" t="str">
        <f>IF(ISBLANK(V8),"",IF(V8&gt;W8,"1",IF(V8&lt;W8,"2",IF(V8=W8,"X"))))</f>
        <v>1</v>
      </c>
      <c r="Y8" s="23" t="str">
        <f>COUNTIF(F8:J8, "W")&amp;COUNTIF(F8:J8, "d")&amp;COUNTIF(F8:J8, "l")</f>
        <v>023</v>
      </c>
      <c r="Z8" s="13" t="str">
        <f>COUNTIF(K8:O8, "W")&amp;COUNTIF(K8:O8, "d")&amp;COUNTIF(K8:O8, "l")</f>
        <v>023</v>
      </c>
      <c r="AA8" s="23" t="str">
        <f>_xlfn.CONCAT(Y8,"-",Z8)</f>
        <v>023-023</v>
      </c>
      <c r="AB8" s="15" t="str">
        <f>_xlfn.CONCAT(AA8,"…",TEXT(U8,"+00;-00;+00;"))</f>
        <v>023-023…-11</v>
      </c>
      <c r="AC8" s="23" t="str">
        <f>_xlfn.CONCAT(TEXT(P8,"+00;-00;+00;"),"…",TEXT(Q8,"+00;-00;+00;"))</f>
        <v>-10…+01</v>
      </c>
      <c r="AD8" s="14" t="str">
        <f>IF(X8="","?","")</f>
        <v/>
      </c>
      <c r="AE8" s="15" t="str">
        <f>_xlfn.CONCAT(AA8,"…",TEXT(P8,"+00;-00;+00;"),"...",TEXT(Q8,"+00;-00;+00;"))</f>
        <v>023-023…-10...+01</v>
      </c>
      <c r="AF8" s="13" t="str">
        <f>_xlfn.CONCAT(R8,"…",TEXT(P8,"+00;-00;+00;"),"...",TEXT(Q8,"+00;-00;+00;"))</f>
        <v>DLLDL…-10...+01</v>
      </c>
    </row>
    <row r="9" spans="1:32" x14ac:dyDescent="0.25">
      <c r="A9" s="12" t="s">
        <v>88</v>
      </c>
      <c r="B9" s="13" t="s">
        <v>59</v>
      </c>
      <c r="C9" s="14" t="s">
        <v>33</v>
      </c>
      <c r="D9" s="13" t="s">
        <v>101</v>
      </c>
      <c r="E9" s="13" t="s">
        <v>102</v>
      </c>
      <c r="F9" s="15" t="s">
        <v>31</v>
      </c>
      <c r="G9" s="15" t="s">
        <v>29</v>
      </c>
      <c r="H9" s="15" t="s">
        <v>29</v>
      </c>
      <c r="I9" s="15" t="s">
        <v>31</v>
      </c>
      <c r="J9" s="15" t="s">
        <v>29</v>
      </c>
      <c r="K9" s="15" t="s">
        <v>29</v>
      </c>
      <c r="L9" s="15" t="s">
        <v>30</v>
      </c>
      <c r="M9" s="15" t="s">
        <v>29</v>
      </c>
      <c r="N9" s="15" t="s">
        <v>31</v>
      </c>
      <c r="O9" s="15" t="s">
        <v>29</v>
      </c>
      <c r="P9" s="16">
        <v>2</v>
      </c>
      <c r="Q9" s="16">
        <v>-5</v>
      </c>
      <c r="R9" s="13" t="str">
        <f>_xlfn.CONCAT(F9,G9,H9,I9,J9)</f>
        <v>LDDLD</v>
      </c>
      <c r="S9" s="13" t="str">
        <f>_xlfn.CONCAT(K9,L9,M9,N9,O9)</f>
        <v>DWDLD</v>
      </c>
      <c r="T9" s="13" t="str">
        <f>_xlfn.CONCAT(R9,"***",S9)</f>
        <v>LDDLD***DWDLD</v>
      </c>
      <c r="U9" s="19">
        <f>(P9-Q9)</f>
        <v>7</v>
      </c>
      <c r="V9" s="14">
        <v>0</v>
      </c>
      <c r="W9" s="14">
        <v>2</v>
      </c>
      <c r="X9" s="20" t="str">
        <f>IF(ISBLANK(V9),"",IF(V9&gt;W9,"1",IF(V9&lt;W9,"2",IF(V9=W9,"X"))))</f>
        <v>2</v>
      </c>
      <c r="Y9" s="23" t="str">
        <f>COUNTIF(F9:J9, "W")&amp;COUNTIF(F9:J9, "d")&amp;COUNTIF(F9:J9, "l")</f>
        <v>032</v>
      </c>
      <c r="Z9" s="13" t="str">
        <f>COUNTIF(K9:O9, "W")&amp;COUNTIF(K9:O9, "d")&amp;COUNTIF(K9:O9, "l")</f>
        <v>131</v>
      </c>
      <c r="AA9" s="23" t="str">
        <f>_xlfn.CONCAT(Y9,"-",Z9)</f>
        <v>032-131</v>
      </c>
      <c r="AB9" s="15" t="str">
        <f>_xlfn.CONCAT(AA9,"…",TEXT(U9,"+00;-00;+00;"))</f>
        <v>032-131…+07</v>
      </c>
      <c r="AC9" s="23" t="str">
        <f>_xlfn.CONCAT(TEXT(P9,"+00;-00;+00;"),"…",TEXT(Q9,"+00;-00;+00;"))</f>
        <v>+02…-05</v>
      </c>
      <c r="AD9" s="14" t="str">
        <f>IF(X9="","?","")</f>
        <v/>
      </c>
      <c r="AE9" s="15" t="str">
        <f>_xlfn.CONCAT(AA9,"…",TEXT(P9,"+00;-00;+00;"),"...",TEXT(Q9,"+00;-00;+00;"))</f>
        <v>032-131…+02...-05</v>
      </c>
      <c r="AF9" s="13" t="str">
        <f>_xlfn.CONCAT(R9,"…",TEXT(P9,"+00;-00;+00;"),"...",TEXT(Q9,"+00;-00;+00;"))</f>
        <v>LDDLD…+02...-05</v>
      </c>
    </row>
    <row r="10" spans="1:32" x14ac:dyDescent="0.25">
      <c r="A10" s="12" t="s">
        <v>277</v>
      </c>
      <c r="B10" s="13" t="s">
        <v>250</v>
      </c>
      <c r="C10" s="14">
        <v>2</v>
      </c>
      <c r="D10" s="13" t="s">
        <v>287</v>
      </c>
      <c r="E10" s="13" t="s">
        <v>288</v>
      </c>
      <c r="F10" s="15" t="s">
        <v>31</v>
      </c>
      <c r="G10" s="15" t="s">
        <v>30</v>
      </c>
      <c r="H10" s="15" t="s">
        <v>30</v>
      </c>
      <c r="I10" s="15" t="s">
        <v>31</v>
      </c>
      <c r="J10" s="15" t="s">
        <v>29</v>
      </c>
      <c r="K10" s="15" t="s">
        <v>31</v>
      </c>
      <c r="L10" s="15" t="s">
        <v>30</v>
      </c>
      <c r="M10" s="15" t="s">
        <v>30</v>
      </c>
      <c r="N10" s="15" t="s">
        <v>31</v>
      </c>
      <c r="O10" s="15" t="s">
        <v>31</v>
      </c>
      <c r="P10" s="16">
        <v>4</v>
      </c>
      <c r="Q10" s="16">
        <v>-7</v>
      </c>
      <c r="R10" s="13" t="str">
        <f>_xlfn.CONCAT(F10,G10,H10,I10,J10)</f>
        <v>LWWLD</v>
      </c>
      <c r="S10" s="13" t="str">
        <f>_xlfn.CONCAT(K10,L10,M10,N10,O10)</f>
        <v>LWWLL</v>
      </c>
      <c r="T10" s="13" t="str">
        <f>_xlfn.CONCAT(R10,"***",S10)</f>
        <v>LWWLD***LWWLL</v>
      </c>
      <c r="U10" s="19">
        <f>(P10-Q10)</f>
        <v>11</v>
      </c>
      <c r="V10" s="14">
        <v>0</v>
      </c>
      <c r="W10" s="14">
        <v>0</v>
      </c>
      <c r="X10" s="20" t="str">
        <f>IF(ISBLANK(V10),"",IF(V10&gt;W10,"1",IF(V10&lt;W10,"2",IF(V10=W10,"X"))))</f>
        <v>X</v>
      </c>
      <c r="Y10" s="23" t="str">
        <f>COUNTIF(F10:J10, "W")&amp;COUNTIF(F10:J10, "d")&amp;COUNTIF(F10:J10, "l")</f>
        <v>212</v>
      </c>
      <c r="Z10" s="13" t="str">
        <f>COUNTIF(K10:O10, "W")&amp;COUNTIF(K10:O10, "d")&amp;COUNTIF(K10:O10, "l")</f>
        <v>203</v>
      </c>
      <c r="AA10" s="23" t="str">
        <f>_xlfn.CONCAT(Y10,"-",Z10)</f>
        <v>212-203</v>
      </c>
      <c r="AB10" s="15" t="str">
        <f>_xlfn.CONCAT(AA10,"…",TEXT(U10,"+00;-00;+00;"))</f>
        <v>212-203…+11</v>
      </c>
      <c r="AC10" s="23" t="str">
        <f>_xlfn.CONCAT(TEXT(P10,"+00;-00;+00;"),"…",TEXT(Q10,"+00;-00;+00;"))</f>
        <v>+04…-07</v>
      </c>
      <c r="AD10" s="14" t="str">
        <f>IF(X10="","?","")</f>
        <v/>
      </c>
      <c r="AE10" s="15" t="str">
        <f>_xlfn.CONCAT(AA10,"…",TEXT(P10,"+00;-00;+00;"),"...",TEXT(Q10,"+00;-00;+00;"))</f>
        <v>212-203…+04...-07</v>
      </c>
      <c r="AF10" s="13" t="str">
        <f>_xlfn.CONCAT(R10,"…",TEXT(P10,"+00;-00;+00;"),"...",TEXT(Q10,"+00;-00;+00;"))</f>
        <v>LWWLD…+04...-07</v>
      </c>
    </row>
    <row r="11" spans="1:32" x14ac:dyDescent="0.25">
      <c r="A11" s="12" t="s">
        <v>439</v>
      </c>
      <c r="B11" s="13" t="s">
        <v>438</v>
      </c>
      <c r="C11" s="14">
        <v>1</v>
      </c>
      <c r="D11" s="13" t="s">
        <v>448</v>
      </c>
      <c r="E11" s="13" t="s">
        <v>445</v>
      </c>
      <c r="F11" s="15" t="s">
        <v>29</v>
      </c>
      <c r="G11" s="15" t="s">
        <v>31</v>
      </c>
      <c r="H11" s="15" t="s">
        <v>31</v>
      </c>
      <c r="I11" s="15" t="s">
        <v>31</v>
      </c>
      <c r="J11" s="15" t="s">
        <v>31</v>
      </c>
      <c r="K11" s="15" t="s">
        <v>29</v>
      </c>
      <c r="L11" s="15" t="s">
        <v>29</v>
      </c>
      <c r="M11" s="15" t="s">
        <v>31</v>
      </c>
      <c r="N11" s="15" t="s">
        <v>29</v>
      </c>
      <c r="O11" s="15" t="s">
        <v>30</v>
      </c>
      <c r="P11" s="16">
        <v>-9</v>
      </c>
      <c r="Q11" s="16">
        <v>2</v>
      </c>
      <c r="R11" s="13" t="str">
        <f>_xlfn.CONCAT(F11,G11,H11,I11,J11)</f>
        <v>DLLLL</v>
      </c>
      <c r="S11" s="13" t="str">
        <f>_xlfn.CONCAT(K11,L11,M11,N11,O11)</f>
        <v>DDLDW</v>
      </c>
      <c r="T11" s="13" t="str">
        <f>_xlfn.CONCAT(R11,"***",S11)</f>
        <v>DLLLL***DDLDW</v>
      </c>
      <c r="U11" s="19">
        <f>(P11-Q11)</f>
        <v>-11</v>
      </c>
      <c r="V11" s="14">
        <v>4</v>
      </c>
      <c r="W11" s="14">
        <v>0</v>
      </c>
      <c r="X11" s="20" t="str">
        <f>IF(ISBLANK(V11),"",IF(V11&gt;W11,"1",IF(V11&lt;W11,"2",IF(V11=W11,"X"))))</f>
        <v>1</v>
      </c>
      <c r="Y11" s="23" t="str">
        <f>COUNTIF(F11:J11, "W")&amp;COUNTIF(F11:J11, "d")&amp;COUNTIF(F11:J11, "l")</f>
        <v>014</v>
      </c>
      <c r="Z11" s="13" t="str">
        <f>COUNTIF(K11:O11, "W")&amp;COUNTIF(K11:O11, "d")&amp;COUNTIF(K11:O11, "l")</f>
        <v>131</v>
      </c>
      <c r="AA11" s="23" t="str">
        <f>_xlfn.CONCAT(Y11,"-",Z11)</f>
        <v>014-131</v>
      </c>
      <c r="AB11" s="15" t="str">
        <f>_xlfn.CONCAT(AA11,"…",TEXT(U11,"+00;-00;+00;"))</f>
        <v>014-131…-11</v>
      </c>
      <c r="AC11" s="23" t="str">
        <f>_xlfn.CONCAT(TEXT(P11,"+00;-00;+00;"),"…",TEXT(Q11,"+00;-00;+00;"))</f>
        <v>-09…+02</v>
      </c>
      <c r="AD11" s="14" t="str">
        <f>IF(X11="","?","")</f>
        <v/>
      </c>
      <c r="AE11" s="15" t="str">
        <f>_xlfn.CONCAT(AA11,"…",TEXT(P11,"+00;-00;+00;"),"...",TEXT(Q11,"+00;-00;+00;"))</f>
        <v>014-131…-09...+02</v>
      </c>
      <c r="AF11" s="13" t="str">
        <f>_xlfn.CONCAT(R11,"…",TEXT(P11,"+00;-00;+00;"),"...",TEXT(Q11,"+00;-00;+00;"))</f>
        <v>DLLLL…-09...+02</v>
      </c>
    </row>
    <row r="12" spans="1:32" x14ac:dyDescent="0.25">
      <c r="A12" s="12" t="s">
        <v>89</v>
      </c>
      <c r="B12" s="13" t="s">
        <v>59</v>
      </c>
      <c r="C12" s="14" t="s">
        <v>33</v>
      </c>
      <c r="D12" s="13" t="s">
        <v>103</v>
      </c>
      <c r="E12" s="13" t="s">
        <v>104</v>
      </c>
      <c r="F12" s="15" t="s">
        <v>29</v>
      </c>
      <c r="G12" s="15" t="s">
        <v>29</v>
      </c>
      <c r="H12" s="15" t="s">
        <v>31</v>
      </c>
      <c r="I12" s="15" t="s">
        <v>31</v>
      </c>
      <c r="J12" s="15" t="s">
        <v>30</v>
      </c>
      <c r="K12" s="15" t="s">
        <v>30</v>
      </c>
      <c r="L12" s="15" t="s">
        <v>29</v>
      </c>
      <c r="M12" s="15" t="s">
        <v>30</v>
      </c>
      <c r="N12" s="15" t="s">
        <v>30</v>
      </c>
      <c r="O12" s="15" t="s">
        <v>29</v>
      </c>
      <c r="P12" s="16">
        <v>8</v>
      </c>
      <c r="Q12" s="16">
        <v>-1</v>
      </c>
      <c r="R12" s="13" t="str">
        <f>_xlfn.CONCAT(F12,G12,H12,I12,J12)</f>
        <v>DDLLW</v>
      </c>
      <c r="S12" s="13" t="str">
        <f>_xlfn.CONCAT(K12,L12,M12,N12,O12)</f>
        <v>WDWWD</v>
      </c>
      <c r="T12" s="13" t="str">
        <f>_xlfn.CONCAT(R12,"***",S12)</f>
        <v>DDLLW***WDWWD</v>
      </c>
      <c r="U12" s="19">
        <f>(P12-Q12)</f>
        <v>9</v>
      </c>
      <c r="V12" s="14">
        <v>2</v>
      </c>
      <c r="W12" s="14">
        <v>0</v>
      </c>
      <c r="X12" s="20" t="str">
        <f>IF(ISBLANK(V12),"",IF(V12&gt;W12,"1",IF(V12&lt;W12,"2",IF(V12=W12,"X"))))</f>
        <v>1</v>
      </c>
      <c r="Y12" s="23" t="str">
        <f>COUNTIF(F12:J12, "W")&amp;COUNTIF(F12:J12, "d")&amp;COUNTIF(F12:J12, "l")</f>
        <v>122</v>
      </c>
      <c r="Z12" s="13" t="str">
        <f>COUNTIF(K12:O12, "W")&amp;COUNTIF(K12:O12, "d")&amp;COUNTIF(K12:O12, "l")</f>
        <v>320</v>
      </c>
      <c r="AA12" s="23" t="str">
        <f>_xlfn.CONCAT(Y12,"-",Z12)</f>
        <v>122-320</v>
      </c>
      <c r="AB12" s="15" t="str">
        <f>_xlfn.CONCAT(AA12,"…",TEXT(U12,"+00;-00;+00;"))</f>
        <v>122-320…+09</v>
      </c>
      <c r="AC12" s="23" t="str">
        <f>_xlfn.CONCAT(TEXT(P12,"+00;-00;+00;"),"…",TEXT(Q12,"+00;-00;+00;"))</f>
        <v>+08…-01</v>
      </c>
      <c r="AD12" s="14" t="str">
        <f>IF(X12="","?","")</f>
        <v/>
      </c>
      <c r="AE12" s="15" t="str">
        <f>_xlfn.CONCAT(AA12,"…",TEXT(P12,"+00;-00;+00;"),"...",TEXT(Q12,"+00;-00;+00;"))</f>
        <v>122-320…+08...-01</v>
      </c>
      <c r="AF12" s="13" t="str">
        <f>_xlfn.CONCAT(R12,"…",TEXT(P12,"+00;-00;+00;"),"...",TEXT(Q12,"+00;-00;+00;"))</f>
        <v>DDLLW…+08...-01</v>
      </c>
    </row>
    <row r="13" spans="1:32" x14ac:dyDescent="0.25">
      <c r="A13" s="12" t="s">
        <v>398</v>
      </c>
      <c r="B13" s="13" t="s">
        <v>397</v>
      </c>
      <c r="C13" s="14" t="s">
        <v>0</v>
      </c>
      <c r="D13" s="13" t="s">
        <v>399</v>
      </c>
      <c r="E13" s="13" t="s">
        <v>400</v>
      </c>
      <c r="F13" s="15" t="s">
        <v>31</v>
      </c>
      <c r="G13" s="15" t="s">
        <v>29</v>
      </c>
      <c r="H13" s="15" t="s">
        <v>31</v>
      </c>
      <c r="I13" s="15" t="s">
        <v>31</v>
      </c>
      <c r="J13" s="15" t="s">
        <v>31</v>
      </c>
      <c r="K13" s="15" t="s">
        <v>31</v>
      </c>
      <c r="L13" s="15" t="s">
        <v>31</v>
      </c>
      <c r="M13" s="15" t="s">
        <v>31</v>
      </c>
      <c r="N13" s="15" t="s">
        <v>30</v>
      </c>
      <c r="O13" s="15" t="s">
        <v>30</v>
      </c>
      <c r="P13" s="16">
        <v>-1</v>
      </c>
      <c r="Q13" s="16">
        <v>1</v>
      </c>
      <c r="R13" s="13" t="str">
        <f>_xlfn.CONCAT(F13,G13,H13,I13,J13)</f>
        <v>LDLLL</v>
      </c>
      <c r="S13" s="13" t="str">
        <f>_xlfn.CONCAT(K13,L13,M13,N13,O13)</f>
        <v>LLLWW</v>
      </c>
      <c r="T13" s="13" t="str">
        <f>_xlfn.CONCAT(R13,"***",S13)</f>
        <v>LDLLL***LLLWW</v>
      </c>
      <c r="U13" s="19">
        <f>(P13-Q13)</f>
        <v>-2</v>
      </c>
      <c r="V13" s="14">
        <v>0</v>
      </c>
      <c r="W13" s="14">
        <v>1</v>
      </c>
      <c r="X13" s="20" t="str">
        <f>IF(ISBLANK(V13),"",IF(V13&gt;W13,"1",IF(V13&lt;W13,"2",IF(V13=W13,"X"))))</f>
        <v>2</v>
      </c>
      <c r="Y13" s="23" t="str">
        <f>COUNTIF(F13:J13, "W")&amp;COUNTIF(F13:J13, "d")&amp;COUNTIF(F13:J13, "l")</f>
        <v>014</v>
      </c>
      <c r="Z13" s="13" t="str">
        <f>COUNTIF(K13:O13, "W")&amp;COUNTIF(K13:O13, "d")&amp;COUNTIF(K13:O13, "l")</f>
        <v>203</v>
      </c>
      <c r="AA13" s="23" t="str">
        <f>_xlfn.CONCAT(Y13,"-",Z13)</f>
        <v>014-203</v>
      </c>
      <c r="AB13" s="15" t="str">
        <f>_xlfn.CONCAT(AA13,"…",TEXT(U13,"+00;-00;+00;"))</f>
        <v>014-203…-02</v>
      </c>
      <c r="AC13" s="23" t="str">
        <f>_xlfn.CONCAT(TEXT(P13,"+00;-00;+00;"),"…",TEXT(Q13,"+00;-00;+00;"))</f>
        <v>-01…+01</v>
      </c>
      <c r="AD13" s="14" t="str">
        <f>IF(X13="","?","")</f>
        <v/>
      </c>
      <c r="AE13" s="15" t="str">
        <f>_xlfn.CONCAT(AA13,"…",TEXT(P13,"+00;-00;+00;"),"...",TEXT(Q13,"+00;-00;+00;"))</f>
        <v>014-203…-01...+01</v>
      </c>
      <c r="AF13" s="13" t="str">
        <f>_xlfn.CONCAT(R13,"…",TEXT(P13,"+00;-00;+00;"),"...",TEXT(Q13,"+00;-00;+00;"))</f>
        <v>LDLLL…-01...+01</v>
      </c>
    </row>
    <row r="14" spans="1:32" x14ac:dyDescent="0.25">
      <c r="A14" s="12" t="s">
        <v>460</v>
      </c>
      <c r="B14" s="13" t="s">
        <v>438</v>
      </c>
      <c r="C14" s="14">
        <v>1</v>
      </c>
      <c r="D14" s="13" t="s">
        <v>446</v>
      </c>
      <c r="E14" s="13" t="s">
        <v>447</v>
      </c>
      <c r="F14" s="15" t="s">
        <v>31</v>
      </c>
      <c r="G14" s="15" t="s">
        <v>29</v>
      </c>
      <c r="H14" s="15" t="s">
        <v>30</v>
      </c>
      <c r="I14" s="15" t="s">
        <v>31</v>
      </c>
      <c r="J14" s="15" t="s">
        <v>31</v>
      </c>
      <c r="K14" s="15" t="s">
        <v>29</v>
      </c>
      <c r="L14" s="15" t="s">
        <v>30</v>
      </c>
      <c r="M14" s="15" t="s">
        <v>31</v>
      </c>
      <c r="N14" s="15" t="s">
        <v>29</v>
      </c>
      <c r="O14" s="15" t="s">
        <v>29</v>
      </c>
      <c r="P14" s="16">
        <v>-3</v>
      </c>
      <c r="Q14" s="16">
        <v>-2</v>
      </c>
      <c r="R14" s="13" t="str">
        <f>_xlfn.CONCAT(F14,G14,H14,I14,J14)</f>
        <v>LDWLL</v>
      </c>
      <c r="S14" s="13" t="str">
        <f>_xlfn.CONCAT(K14,L14,M14,N14,O14)</f>
        <v>DWLDD</v>
      </c>
      <c r="T14" s="13" t="str">
        <f>_xlfn.CONCAT(R14,"***",S14)</f>
        <v>LDWLL***DWLDD</v>
      </c>
      <c r="U14" s="19">
        <f>(P14-Q14)</f>
        <v>-1</v>
      </c>
      <c r="V14" s="14">
        <v>1</v>
      </c>
      <c r="W14" s="14">
        <v>0</v>
      </c>
      <c r="X14" s="20" t="str">
        <f>IF(ISBLANK(V14),"",IF(V14&gt;W14,"1",IF(V14&lt;W14,"2",IF(V14=W14,"X"))))</f>
        <v>1</v>
      </c>
      <c r="Y14" s="23" t="str">
        <f>COUNTIF(F14:J14, "W")&amp;COUNTIF(F14:J14, "d")&amp;COUNTIF(F14:J14, "l")</f>
        <v>113</v>
      </c>
      <c r="Z14" s="13" t="str">
        <f>COUNTIF(K14:O14, "W")&amp;COUNTIF(K14:O14, "d")&amp;COUNTIF(K14:O14, "l")</f>
        <v>131</v>
      </c>
      <c r="AA14" s="23" t="str">
        <f>_xlfn.CONCAT(Y14,"-",Z14)</f>
        <v>113-131</v>
      </c>
      <c r="AB14" s="15" t="str">
        <f>_xlfn.CONCAT(AA14,"…",TEXT(U14,"+00;-00;+00;"))</f>
        <v>113-131…-01</v>
      </c>
      <c r="AC14" s="23" t="str">
        <f>_xlfn.CONCAT(TEXT(P14,"+00;-00;+00;"),"…",TEXT(Q14,"+00;-00;+00;"))</f>
        <v>-03…-02</v>
      </c>
      <c r="AD14" s="14" t="str">
        <f>IF(X14="","?","")</f>
        <v/>
      </c>
      <c r="AE14" s="15" t="str">
        <f>_xlfn.CONCAT(AA14,"…",TEXT(P14,"+00;-00;+00;"),"...",TEXT(Q14,"+00;-00;+00;"))</f>
        <v>113-131…-03...-02</v>
      </c>
      <c r="AF14" s="13" t="str">
        <f>_xlfn.CONCAT(R14,"…",TEXT(P14,"+00;-00;+00;"),"...",TEXT(Q14,"+00;-00;+00;"))</f>
        <v>LDWLL…-03...-02</v>
      </c>
    </row>
    <row r="15" spans="1:32" x14ac:dyDescent="0.25">
      <c r="A15" s="12" t="s">
        <v>278</v>
      </c>
      <c r="B15" s="13" t="s">
        <v>250</v>
      </c>
      <c r="C15" s="14">
        <v>2</v>
      </c>
      <c r="D15" s="13" t="s">
        <v>289</v>
      </c>
      <c r="E15" s="13" t="s">
        <v>290</v>
      </c>
      <c r="F15" s="15" t="s">
        <v>31</v>
      </c>
      <c r="G15" s="15" t="s">
        <v>31</v>
      </c>
      <c r="H15" s="15" t="s">
        <v>30</v>
      </c>
      <c r="I15" s="15" t="s">
        <v>30</v>
      </c>
      <c r="J15" s="15" t="s">
        <v>30</v>
      </c>
      <c r="K15" s="15" t="s">
        <v>30</v>
      </c>
      <c r="L15" s="15" t="s">
        <v>29</v>
      </c>
      <c r="M15" s="15" t="s">
        <v>29</v>
      </c>
      <c r="N15" s="15" t="s">
        <v>30</v>
      </c>
      <c r="O15" s="15" t="s">
        <v>30</v>
      </c>
      <c r="P15" s="16">
        <v>6</v>
      </c>
      <c r="Q15" s="16">
        <v>10</v>
      </c>
      <c r="R15" s="13" t="str">
        <f>_xlfn.CONCAT(F15,G15,H15,I15,J15)</f>
        <v>LLWWW</v>
      </c>
      <c r="S15" s="13" t="str">
        <f>_xlfn.CONCAT(K15,L15,M15,N15,O15)</f>
        <v>WDDWW</v>
      </c>
      <c r="T15" s="13" t="str">
        <f>_xlfn.CONCAT(R15,"***",S15)</f>
        <v>LLWWW***WDDWW</v>
      </c>
      <c r="U15" s="19">
        <f>(P15-Q15)</f>
        <v>-4</v>
      </c>
      <c r="V15" s="14">
        <v>0</v>
      </c>
      <c r="W15" s="14">
        <v>1</v>
      </c>
      <c r="X15" s="20" t="str">
        <f>IF(ISBLANK(V15),"",IF(V15&gt;W15,"1",IF(V15&lt;W15,"2",IF(V15=W15,"X"))))</f>
        <v>2</v>
      </c>
      <c r="Y15" s="23" t="str">
        <f>COUNTIF(F15:J15, "W")&amp;COUNTIF(F15:J15, "d")&amp;COUNTIF(F15:J15, "l")</f>
        <v>302</v>
      </c>
      <c r="Z15" s="13" t="str">
        <f>COUNTIF(K15:O15, "W")&amp;COUNTIF(K15:O15, "d")&amp;COUNTIF(K15:O15, "l")</f>
        <v>320</v>
      </c>
      <c r="AA15" s="23" t="str">
        <f>_xlfn.CONCAT(Y15,"-",Z15)</f>
        <v>302-320</v>
      </c>
      <c r="AB15" s="15" t="str">
        <f>_xlfn.CONCAT(AA15,"…",TEXT(U15,"+00;-00;+00;"))</f>
        <v>302-320…-04</v>
      </c>
      <c r="AC15" s="23" t="str">
        <f>_xlfn.CONCAT(TEXT(P15,"+00;-00;+00;"),"…",TEXT(Q15,"+00;-00;+00;"))</f>
        <v>+06…+10</v>
      </c>
      <c r="AD15" s="14" t="str">
        <f>IF(X15="","?","")</f>
        <v/>
      </c>
      <c r="AE15" s="15" t="str">
        <f>_xlfn.CONCAT(AA15,"…",TEXT(P15,"+00;-00;+00;"),"...",TEXT(Q15,"+00;-00;+00;"))</f>
        <v>302-320…+06...+10</v>
      </c>
      <c r="AF15" s="13" t="str">
        <f>_xlfn.CONCAT(R15,"…",TEXT(P15,"+00;-00;+00;"),"...",TEXT(Q15,"+00;-00;+00;"))</f>
        <v>LLWWW…+06...+10</v>
      </c>
    </row>
    <row r="16" spans="1:32" x14ac:dyDescent="0.25">
      <c r="A16" s="12" t="s">
        <v>90</v>
      </c>
      <c r="B16" s="13" t="s">
        <v>59</v>
      </c>
      <c r="C16" s="14" t="s">
        <v>33</v>
      </c>
      <c r="D16" s="13" t="s">
        <v>105</v>
      </c>
      <c r="E16" s="13" t="s">
        <v>106</v>
      </c>
      <c r="F16" s="15" t="s">
        <v>30</v>
      </c>
      <c r="G16" s="15" t="s">
        <v>30</v>
      </c>
      <c r="H16" s="15" t="s">
        <v>30</v>
      </c>
      <c r="I16" s="15" t="s">
        <v>29</v>
      </c>
      <c r="J16" s="15" t="s">
        <v>31</v>
      </c>
      <c r="K16" s="15" t="s">
        <v>30</v>
      </c>
      <c r="L16" s="15" t="s">
        <v>31</v>
      </c>
      <c r="M16" s="15" t="s">
        <v>29</v>
      </c>
      <c r="N16" s="15" t="s">
        <v>31</v>
      </c>
      <c r="O16" s="15" t="s">
        <v>30</v>
      </c>
      <c r="P16" s="16">
        <v>3</v>
      </c>
      <c r="Q16" s="16">
        <v>-2</v>
      </c>
      <c r="R16" s="13" t="str">
        <f>_xlfn.CONCAT(F16,G16,H16,I16,J16)</f>
        <v>WWWDL</v>
      </c>
      <c r="S16" s="13" t="str">
        <f>_xlfn.CONCAT(K16,L16,M16,N16,O16)</f>
        <v>WLDLW</v>
      </c>
      <c r="T16" s="13" t="str">
        <f>_xlfn.CONCAT(R16,"***",S16)</f>
        <v>WWWDL***WLDLW</v>
      </c>
      <c r="U16" s="19">
        <f>(P16-Q16)</f>
        <v>5</v>
      </c>
      <c r="V16" s="14">
        <v>1</v>
      </c>
      <c r="W16" s="14">
        <v>1</v>
      </c>
      <c r="X16" s="20" t="str">
        <f>IF(ISBLANK(V16),"",IF(V16&gt;W16,"1",IF(V16&lt;W16,"2",IF(V16=W16,"X"))))</f>
        <v>X</v>
      </c>
      <c r="Y16" s="23" t="str">
        <f>COUNTIF(F16:J16, "W")&amp;COUNTIF(F16:J16, "d")&amp;COUNTIF(F16:J16, "l")</f>
        <v>311</v>
      </c>
      <c r="Z16" s="13" t="str">
        <f>COUNTIF(K16:O16, "W")&amp;COUNTIF(K16:O16, "d")&amp;COUNTIF(K16:O16, "l")</f>
        <v>212</v>
      </c>
      <c r="AA16" s="23" t="str">
        <f>_xlfn.CONCAT(Y16,"-",Z16)</f>
        <v>311-212</v>
      </c>
      <c r="AB16" s="15" t="str">
        <f>_xlfn.CONCAT(AA16,"…",TEXT(U16,"+00;-00;+00;"))</f>
        <v>311-212…+05</v>
      </c>
      <c r="AC16" s="23" t="str">
        <f>_xlfn.CONCAT(TEXT(P16,"+00;-00;+00;"),"…",TEXT(Q16,"+00;-00;+00;"))</f>
        <v>+03…-02</v>
      </c>
      <c r="AD16" s="14" t="str">
        <f>IF(X16="","?","")</f>
        <v/>
      </c>
      <c r="AE16" s="15" t="str">
        <f>_xlfn.CONCAT(AA16,"…",TEXT(P16,"+00;-00;+00;"),"...",TEXT(Q16,"+00;-00;+00;"))</f>
        <v>311-212…+03...-02</v>
      </c>
      <c r="AF16" s="13" t="str">
        <f>_xlfn.CONCAT(R16,"…",TEXT(P16,"+00;-00;+00;"),"...",TEXT(Q16,"+00;-00;+00;"))</f>
        <v>WWWDL…+03...-02</v>
      </c>
    </row>
    <row r="17" spans="1:32" s="8" customFormat="1" x14ac:dyDescent="0.25">
      <c r="A17" s="12" t="s">
        <v>90</v>
      </c>
      <c r="B17" s="13" t="s">
        <v>438</v>
      </c>
      <c r="C17" s="14">
        <v>1</v>
      </c>
      <c r="D17" s="13" t="s">
        <v>19</v>
      </c>
      <c r="E17" s="13" t="s">
        <v>450</v>
      </c>
      <c r="F17" s="15" t="s">
        <v>29</v>
      </c>
      <c r="G17" s="15" t="s">
        <v>30</v>
      </c>
      <c r="H17" s="15" t="s">
        <v>30</v>
      </c>
      <c r="I17" s="15" t="s">
        <v>30</v>
      </c>
      <c r="J17" s="15" t="s">
        <v>30</v>
      </c>
      <c r="K17" s="15" t="s">
        <v>30</v>
      </c>
      <c r="L17" s="15" t="s">
        <v>31</v>
      </c>
      <c r="M17" s="15" t="s">
        <v>29</v>
      </c>
      <c r="N17" s="15" t="s">
        <v>30</v>
      </c>
      <c r="O17" s="15" t="s">
        <v>30</v>
      </c>
      <c r="P17" s="16">
        <v>10</v>
      </c>
      <c r="Q17" s="16">
        <v>1</v>
      </c>
      <c r="R17" s="13" t="str">
        <f>_xlfn.CONCAT(F17,G17,H17,I17,J17)</f>
        <v>DWWWW</v>
      </c>
      <c r="S17" s="13" t="str">
        <f>_xlfn.CONCAT(K17,L17,M17,N17,O17)</f>
        <v>WLDWW</v>
      </c>
      <c r="T17" s="13" t="str">
        <f>_xlfn.CONCAT(R17,"***",S17)</f>
        <v>DWWWW***WLDWW</v>
      </c>
      <c r="U17" s="19">
        <f>(P17-Q17)</f>
        <v>9</v>
      </c>
      <c r="V17" s="14">
        <v>2</v>
      </c>
      <c r="W17" s="14">
        <v>3</v>
      </c>
      <c r="X17" s="20" t="str">
        <f>IF(ISBLANK(V17),"",IF(V17&gt;W17,"1",IF(V17&lt;W17,"2",IF(V17=W17,"X"))))</f>
        <v>2</v>
      </c>
      <c r="Y17" s="23" t="str">
        <f>COUNTIF(F17:J17, "W")&amp;COUNTIF(F17:J17, "d")&amp;COUNTIF(F17:J17, "l")</f>
        <v>410</v>
      </c>
      <c r="Z17" s="13" t="str">
        <f>COUNTIF(K17:O17, "W")&amp;COUNTIF(K17:O17, "d")&amp;COUNTIF(K17:O17, "l")</f>
        <v>311</v>
      </c>
      <c r="AA17" s="23" t="str">
        <f>_xlfn.CONCAT(Y17,"-",Z17)</f>
        <v>410-311</v>
      </c>
      <c r="AB17" s="15" t="str">
        <f>_xlfn.CONCAT(AA17,"…",TEXT(U17,"+00;-00;+00;"))</f>
        <v>410-311…+09</v>
      </c>
      <c r="AC17" s="23" t="str">
        <f>_xlfn.CONCAT(TEXT(P17,"+00;-00;+00;"),"…",TEXT(Q17,"+00;-00;+00;"))</f>
        <v>+10…+01</v>
      </c>
      <c r="AD17" s="14" t="str">
        <f>IF(X17="","?","")</f>
        <v/>
      </c>
      <c r="AE17" s="15" t="str">
        <f>_xlfn.CONCAT(AA17,"…",TEXT(P17,"+00;-00;+00;"),"...",TEXT(Q17,"+00;-00;+00;"))</f>
        <v>410-311…+10...+01</v>
      </c>
      <c r="AF17" s="13" t="str">
        <f>_xlfn.CONCAT(R17,"…",TEXT(P17,"+00;-00;+00;"),"...",TEXT(Q17,"+00;-00;+00;"))</f>
        <v>DWWWW…+10...+01</v>
      </c>
    </row>
    <row r="18" spans="1:32" x14ac:dyDescent="0.25">
      <c r="A18" s="12" t="s">
        <v>279</v>
      </c>
      <c r="B18" s="13" t="s">
        <v>250</v>
      </c>
      <c r="C18" s="14">
        <v>2</v>
      </c>
      <c r="D18" s="13" t="s">
        <v>291</v>
      </c>
      <c r="E18" s="13" t="s">
        <v>292</v>
      </c>
      <c r="F18" s="15" t="s">
        <v>31</v>
      </c>
      <c r="G18" s="15" t="s">
        <v>31</v>
      </c>
      <c r="H18" s="15" t="s">
        <v>31</v>
      </c>
      <c r="I18" s="15" t="s">
        <v>31</v>
      </c>
      <c r="J18" s="15" t="s">
        <v>29</v>
      </c>
      <c r="K18" s="15" t="s">
        <v>30</v>
      </c>
      <c r="L18" s="15" t="s">
        <v>31</v>
      </c>
      <c r="M18" s="15" t="s">
        <v>30</v>
      </c>
      <c r="N18" s="15" t="s">
        <v>31</v>
      </c>
      <c r="O18" s="15" t="s">
        <v>31</v>
      </c>
      <c r="P18" s="16">
        <v>-10</v>
      </c>
      <c r="Q18" s="16">
        <v>-4</v>
      </c>
      <c r="R18" s="13" t="str">
        <f>_xlfn.CONCAT(F18,G18,H18,I18,J18)</f>
        <v>LLLLD</v>
      </c>
      <c r="S18" s="13" t="str">
        <f>_xlfn.CONCAT(K18,L18,M18,N18,O18)</f>
        <v>WLWLL</v>
      </c>
      <c r="T18" s="13" t="str">
        <f>_xlfn.CONCAT(R18,"***",S18)</f>
        <v>LLLLD***WLWLL</v>
      </c>
      <c r="U18" s="19">
        <f>(P18-Q18)</f>
        <v>-6</v>
      </c>
      <c r="V18" s="14">
        <v>2</v>
      </c>
      <c r="W18" s="14">
        <v>0</v>
      </c>
      <c r="X18" s="20" t="str">
        <f>IF(ISBLANK(V18),"",IF(V18&gt;W18,"1",IF(V18&lt;W18,"2",IF(V18=W18,"X"))))</f>
        <v>1</v>
      </c>
      <c r="Y18" s="23" t="str">
        <f>COUNTIF(F18:J18, "W")&amp;COUNTIF(F18:J18, "d")&amp;COUNTIF(F18:J18, "l")</f>
        <v>014</v>
      </c>
      <c r="Z18" s="13" t="str">
        <f>COUNTIF(K18:O18, "W")&amp;COUNTIF(K18:O18, "d")&amp;COUNTIF(K18:O18, "l")</f>
        <v>203</v>
      </c>
      <c r="AA18" s="23" t="str">
        <f>_xlfn.CONCAT(Y18,"-",Z18)</f>
        <v>014-203</v>
      </c>
      <c r="AB18" s="15" t="str">
        <f>_xlfn.CONCAT(AA18,"…",TEXT(U18,"+00;-00;+00;"))</f>
        <v>014-203…-06</v>
      </c>
      <c r="AC18" s="23" t="str">
        <f>_xlfn.CONCAT(TEXT(P18,"+00;-00;+00;"),"…",TEXT(Q18,"+00;-00;+00;"))</f>
        <v>-10…-04</v>
      </c>
      <c r="AD18" s="14" t="str">
        <f>IF(X18="","?","")</f>
        <v/>
      </c>
      <c r="AE18" s="15" t="str">
        <f>_xlfn.CONCAT(AA18,"…",TEXT(P18,"+00;-00;+00;"),"...",TEXT(Q18,"+00;-00;+00;"))</f>
        <v>014-203…-10...-04</v>
      </c>
      <c r="AF18" s="13" t="str">
        <f>_xlfn.CONCAT(R18,"…",TEXT(P18,"+00;-00;+00;"),"...",TEXT(Q18,"+00;-00;+00;"))</f>
        <v>LLLLD…-10...-04</v>
      </c>
    </row>
    <row r="19" spans="1:32" x14ac:dyDescent="0.25">
      <c r="A19" s="12" t="s">
        <v>91</v>
      </c>
      <c r="B19" s="13" t="s">
        <v>59</v>
      </c>
      <c r="C19" s="14" t="s">
        <v>33</v>
      </c>
      <c r="D19" s="13" t="s">
        <v>109</v>
      </c>
      <c r="E19" s="13" t="s">
        <v>110</v>
      </c>
      <c r="F19" s="15" t="s">
        <v>29</v>
      </c>
      <c r="G19" s="15" t="s">
        <v>29</v>
      </c>
      <c r="H19" s="15" t="s">
        <v>30</v>
      </c>
      <c r="I19" s="15" t="s">
        <v>29</v>
      </c>
      <c r="J19" s="15" t="s">
        <v>30</v>
      </c>
      <c r="K19" s="15" t="s">
        <v>29</v>
      </c>
      <c r="L19" s="15" t="s">
        <v>29</v>
      </c>
      <c r="M19" s="15" t="s">
        <v>30</v>
      </c>
      <c r="N19" s="15" t="s">
        <v>30</v>
      </c>
      <c r="O19" s="15" t="s">
        <v>29</v>
      </c>
      <c r="P19" s="16">
        <v>4</v>
      </c>
      <c r="Q19" s="16">
        <v>8</v>
      </c>
      <c r="R19" s="13" t="str">
        <f>_xlfn.CONCAT(F19,G19,H19,I19,J19)</f>
        <v>DDWDW</v>
      </c>
      <c r="S19" s="13" t="str">
        <f>_xlfn.CONCAT(K19,L19,M19,N19,O19)</f>
        <v>DDWWD</v>
      </c>
      <c r="T19" s="13" t="str">
        <f>_xlfn.CONCAT(R19,"***",S19)</f>
        <v>DDWDW***DDWWD</v>
      </c>
      <c r="U19" s="19">
        <f>(P19-Q19)</f>
        <v>-4</v>
      </c>
      <c r="V19" s="14">
        <v>2</v>
      </c>
      <c r="W19" s="14">
        <v>1</v>
      </c>
      <c r="X19" s="20" t="str">
        <f>IF(ISBLANK(V19),"",IF(V19&gt;W19,"1",IF(V19&lt;W19,"2",IF(V19=W19,"X"))))</f>
        <v>1</v>
      </c>
      <c r="Y19" s="23" t="str">
        <f>COUNTIF(F19:J19, "W")&amp;COUNTIF(F19:J19, "d")&amp;COUNTIF(F19:J19, "l")</f>
        <v>230</v>
      </c>
      <c r="Z19" s="13" t="str">
        <f>COUNTIF(K19:O19, "W")&amp;COUNTIF(K19:O19, "d")&amp;COUNTIF(K19:O19, "l")</f>
        <v>230</v>
      </c>
      <c r="AA19" s="23" t="str">
        <f>_xlfn.CONCAT(Y19,"-",Z19)</f>
        <v>230-230</v>
      </c>
      <c r="AB19" s="15" t="str">
        <f>_xlfn.CONCAT(AA19,"…",TEXT(U19,"+00;-00;+00;"))</f>
        <v>230-230…-04</v>
      </c>
      <c r="AC19" s="23" t="str">
        <f>_xlfn.CONCAT(TEXT(P19,"+00;-00;+00;"),"…",TEXT(Q19,"+00;-00;+00;"))</f>
        <v>+04…+08</v>
      </c>
      <c r="AD19" s="14" t="str">
        <f>IF(X19="","?","")</f>
        <v/>
      </c>
      <c r="AE19" s="15" t="str">
        <f>_xlfn.CONCAT(AA19,"…",TEXT(P19,"+00;-00;+00;"),"...",TEXT(Q19,"+00;-00;+00;"))</f>
        <v>230-230…+04...+08</v>
      </c>
      <c r="AF19" s="13" t="str">
        <f>_xlfn.CONCAT(R19,"…",TEXT(P19,"+00;-00;+00;"),"...",TEXT(Q19,"+00;-00;+00;"))</f>
        <v>DDWDW…+04...+08</v>
      </c>
    </row>
    <row r="20" spans="1:32" x14ac:dyDescent="0.25">
      <c r="A20" s="12" t="s">
        <v>91</v>
      </c>
      <c r="B20" s="13" t="s">
        <v>59</v>
      </c>
      <c r="C20" s="14" t="s">
        <v>33</v>
      </c>
      <c r="D20" s="13" t="s">
        <v>107</v>
      </c>
      <c r="E20" s="13" t="s">
        <v>108</v>
      </c>
      <c r="F20" s="15" t="s">
        <v>30</v>
      </c>
      <c r="G20" s="15" t="s">
        <v>30</v>
      </c>
      <c r="H20" s="15" t="s">
        <v>30</v>
      </c>
      <c r="I20" s="15" t="s">
        <v>29</v>
      </c>
      <c r="J20" s="15" t="s">
        <v>29</v>
      </c>
      <c r="K20" s="15" t="s">
        <v>31</v>
      </c>
      <c r="L20" s="15" t="s">
        <v>29</v>
      </c>
      <c r="M20" s="15" t="s">
        <v>30</v>
      </c>
      <c r="N20" s="15" t="s">
        <v>30</v>
      </c>
      <c r="O20" s="15" t="s">
        <v>29</v>
      </c>
      <c r="P20" s="16">
        <v>0</v>
      </c>
      <c r="Q20" s="16">
        <v>-2</v>
      </c>
      <c r="R20" s="13" t="str">
        <f>_xlfn.CONCAT(F20,G20,H20,I20,J20)</f>
        <v>WWWDD</v>
      </c>
      <c r="S20" s="13" t="str">
        <f>_xlfn.CONCAT(K20,L20,M20,N20,O20)</f>
        <v>LDWWD</v>
      </c>
      <c r="T20" s="13" t="str">
        <f>_xlfn.CONCAT(R20,"***",S20)</f>
        <v>WWWDD***LDWWD</v>
      </c>
      <c r="U20" s="19">
        <f>(P20-Q20)</f>
        <v>2</v>
      </c>
      <c r="V20" s="14">
        <v>2</v>
      </c>
      <c r="W20" s="14">
        <v>2</v>
      </c>
      <c r="X20" s="20" t="str">
        <f>IF(ISBLANK(V20),"",IF(V20&gt;W20,"1",IF(V20&lt;W20,"2",IF(V20=W20,"X"))))</f>
        <v>X</v>
      </c>
      <c r="Y20" s="23" t="str">
        <f>COUNTIF(F20:J20, "W")&amp;COUNTIF(F20:J20, "d")&amp;COUNTIF(F20:J20, "l")</f>
        <v>320</v>
      </c>
      <c r="Z20" s="13" t="str">
        <f>COUNTIF(K20:O20, "W")&amp;COUNTIF(K20:O20, "d")&amp;COUNTIF(K20:O20, "l")</f>
        <v>221</v>
      </c>
      <c r="AA20" s="23" t="str">
        <f>_xlfn.CONCAT(Y20,"-",Z20)</f>
        <v>320-221</v>
      </c>
      <c r="AB20" s="15" t="str">
        <f>_xlfn.CONCAT(AA20,"…",TEXT(U20,"+00;-00;+00;"))</f>
        <v>320-221…+02</v>
      </c>
      <c r="AC20" s="23" t="str">
        <f>_xlfn.CONCAT(TEXT(P20,"+00;-00;+00;"),"…",TEXT(Q20,"+00;-00;+00;"))</f>
        <v>+00…-02</v>
      </c>
      <c r="AD20" s="14" t="str">
        <f>IF(X20="","?","")</f>
        <v/>
      </c>
      <c r="AE20" s="15" t="str">
        <f>_xlfn.CONCAT(AA20,"…",TEXT(P20,"+00;-00;+00;"),"...",TEXT(Q20,"+00;-00;+00;"))</f>
        <v>320-221…+00...-02</v>
      </c>
      <c r="AF20" s="13" t="str">
        <f>_xlfn.CONCAT(R20,"…",TEXT(P20,"+00;-00;+00;"),"...",TEXT(Q20,"+00;-00;+00;"))</f>
        <v>WWWDD…+00...-02</v>
      </c>
    </row>
    <row r="21" spans="1:32" x14ac:dyDescent="0.25">
      <c r="A21" s="12" t="s">
        <v>280</v>
      </c>
      <c r="B21" s="13" t="s">
        <v>250</v>
      </c>
      <c r="C21" s="14">
        <v>2</v>
      </c>
      <c r="D21" s="13" t="s">
        <v>293</v>
      </c>
      <c r="E21" s="13" t="s">
        <v>294</v>
      </c>
      <c r="F21" s="15" t="s">
        <v>30</v>
      </c>
      <c r="G21" s="15" t="s">
        <v>31</v>
      </c>
      <c r="H21" s="15" t="s">
        <v>29</v>
      </c>
      <c r="I21" s="15" t="s">
        <v>30</v>
      </c>
      <c r="J21" s="15" t="s">
        <v>31</v>
      </c>
      <c r="K21" s="15" t="s">
        <v>29</v>
      </c>
      <c r="L21" s="15" t="s">
        <v>30</v>
      </c>
      <c r="M21" s="15" t="s">
        <v>31</v>
      </c>
      <c r="N21" s="15" t="s">
        <v>29</v>
      </c>
      <c r="O21" s="15" t="s">
        <v>29</v>
      </c>
      <c r="P21" s="16">
        <v>5</v>
      </c>
      <c r="Q21" s="16">
        <v>5</v>
      </c>
      <c r="R21" s="13" t="str">
        <f>_xlfn.CONCAT(F21,G21,H21,I21,J21)</f>
        <v>WLDWL</v>
      </c>
      <c r="S21" s="13" t="str">
        <f>_xlfn.CONCAT(K21,L21,M21,N21,O21)</f>
        <v>DWLDD</v>
      </c>
      <c r="T21" s="13" t="str">
        <f>_xlfn.CONCAT(R21,"***",S21)</f>
        <v>WLDWL***DWLDD</v>
      </c>
      <c r="U21" s="19">
        <f>(P21-Q21)</f>
        <v>0</v>
      </c>
      <c r="V21" s="14">
        <v>1</v>
      </c>
      <c r="W21" s="14">
        <v>2</v>
      </c>
      <c r="X21" s="20" t="str">
        <f>IF(ISBLANK(V21),"",IF(V21&gt;W21,"1",IF(V21&lt;W21,"2",IF(V21=W21,"X"))))</f>
        <v>2</v>
      </c>
      <c r="Y21" s="23" t="str">
        <f>COUNTIF(F21:J21, "W")&amp;COUNTIF(F21:J21, "d")&amp;COUNTIF(F21:J21, "l")</f>
        <v>212</v>
      </c>
      <c r="Z21" s="13" t="str">
        <f>COUNTIF(K21:O21, "W")&amp;COUNTIF(K21:O21, "d")&amp;COUNTIF(K21:O21, "l")</f>
        <v>131</v>
      </c>
      <c r="AA21" s="23" t="str">
        <f>_xlfn.CONCAT(Y21,"-",Z21)</f>
        <v>212-131</v>
      </c>
      <c r="AB21" s="15" t="str">
        <f>_xlfn.CONCAT(AA21,"…",TEXT(U21,"+00;-00;+00;"))</f>
        <v>212-131…+00</v>
      </c>
      <c r="AC21" s="23" t="str">
        <f>_xlfn.CONCAT(TEXT(P21,"+00;-00;+00;"),"…",TEXT(Q21,"+00;-00;+00;"))</f>
        <v>+05…+05</v>
      </c>
      <c r="AD21" s="14" t="str">
        <f>IF(X21="","?","")</f>
        <v/>
      </c>
      <c r="AE21" s="15" t="str">
        <f>_xlfn.CONCAT(AA21,"…",TEXT(P21,"+00;-00;+00;"),"...",TEXT(Q21,"+00;-00;+00;"))</f>
        <v>212-131…+05...+05</v>
      </c>
      <c r="AF21" s="13" t="str">
        <f>_xlfn.CONCAT(R21,"…",TEXT(P21,"+00;-00;+00;"),"...",TEXT(Q21,"+00;-00;+00;"))</f>
        <v>WLDWL…+05...+05</v>
      </c>
    </row>
    <row r="22" spans="1:32" x14ac:dyDescent="0.25">
      <c r="A22" s="12" t="s">
        <v>92</v>
      </c>
      <c r="B22" s="13" t="s">
        <v>59</v>
      </c>
      <c r="C22" s="14" t="s">
        <v>33</v>
      </c>
      <c r="D22" s="13" t="s">
        <v>111</v>
      </c>
      <c r="E22" s="13" t="s">
        <v>112</v>
      </c>
      <c r="F22" s="15" t="s">
        <v>29</v>
      </c>
      <c r="G22" s="15" t="s">
        <v>31</v>
      </c>
      <c r="H22" s="15" t="s">
        <v>31</v>
      </c>
      <c r="I22" s="15" t="s">
        <v>29</v>
      </c>
      <c r="J22" s="15" t="s">
        <v>31</v>
      </c>
      <c r="K22" s="15" t="s">
        <v>29</v>
      </c>
      <c r="L22" s="15" t="s">
        <v>29</v>
      </c>
      <c r="M22" s="15" t="s">
        <v>29</v>
      </c>
      <c r="N22" s="15" t="s">
        <v>31</v>
      </c>
      <c r="O22" s="15" t="s">
        <v>31</v>
      </c>
      <c r="P22" s="16">
        <v>-13</v>
      </c>
      <c r="Q22" s="16">
        <v>-6</v>
      </c>
      <c r="R22" s="13" t="str">
        <f>_xlfn.CONCAT(F22,G22,H22,I22,J22)</f>
        <v>DLLDL</v>
      </c>
      <c r="S22" s="13" t="str">
        <f>_xlfn.CONCAT(K22,L22,M22,N22,O22)</f>
        <v>DDDLL</v>
      </c>
      <c r="T22" s="13" t="str">
        <f>_xlfn.CONCAT(R22,"***",S22)</f>
        <v>DLLDL***DDDLL</v>
      </c>
      <c r="U22" s="19">
        <f>(P22-Q22)</f>
        <v>-7</v>
      </c>
      <c r="V22" s="14">
        <v>1</v>
      </c>
      <c r="W22" s="14">
        <v>1</v>
      </c>
      <c r="X22" s="20" t="str">
        <f>IF(ISBLANK(V22),"",IF(V22&gt;W22,"1",IF(V22&lt;W22,"2",IF(V22=W22,"X"))))</f>
        <v>X</v>
      </c>
      <c r="Y22" s="23" t="str">
        <f>COUNTIF(F22:J22, "W")&amp;COUNTIF(F22:J22, "d")&amp;COUNTIF(F22:J22, "l")</f>
        <v>023</v>
      </c>
      <c r="Z22" s="13" t="str">
        <f>COUNTIF(K22:O22, "W")&amp;COUNTIF(K22:O22, "d")&amp;COUNTIF(K22:O22, "l")</f>
        <v>032</v>
      </c>
      <c r="AA22" s="23" t="str">
        <f>_xlfn.CONCAT(Y22,"-",Z22)</f>
        <v>023-032</v>
      </c>
      <c r="AB22" s="15" t="str">
        <f>_xlfn.CONCAT(AA22,"…",TEXT(U22,"+00;-00;+00;"))</f>
        <v>023-032…-07</v>
      </c>
      <c r="AC22" s="23" t="str">
        <f>_xlfn.CONCAT(TEXT(P22,"+00;-00;+00;"),"…",TEXT(Q22,"+00;-00;+00;"))</f>
        <v>-13…-06</v>
      </c>
      <c r="AD22" s="14" t="str">
        <f>IF(X22="","?","")</f>
        <v/>
      </c>
      <c r="AE22" s="15" t="str">
        <f>_xlfn.CONCAT(AA22,"…",TEXT(P22,"+00;-00;+00;"),"...",TEXT(Q22,"+00;-00;+00;"))</f>
        <v>023-032…-13...-06</v>
      </c>
      <c r="AF22" s="13" t="str">
        <f>_xlfn.CONCAT(R22,"…",TEXT(P22,"+00;-00;+00;"),"...",TEXT(Q22,"+00;-00;+00;"))</f>
        <v>DLLDL…-13...-06</v>
      </c>
    </row>
    <row r="23" spans="1:32" x14ac:dyDescent="0.25">
      <c r="A23" s="12" t="s">
        <v>92</v>
      </c>
      <c r="B23" s="13" t="s">
        <v>59</v>
      </c>
      <c r="C23" s="14" t="s">
        <v>33</v>
      </c>
      <c r="D23" s="13" t="s">
        <v>113</v>
      </c>
      <c r="E23" s="13" t="s">
        <v>114</v>
      </c>
      <c r="F23" s="15" t="s">
        <v>30</v>
      </c>
      <c r="G23" s="15" t="s">
        <v>31</v>
      </c>
      <c r="H23" s="15" t="s">
        <v>31</v>
      </c>
      <c r="I23" s="15" t="s">
        <v>31</v>
      </c>
      <c r="J23" s="15" t="s">
        <v>31</v>
      </c>
      <c r="K23" s="15" t="s">
        <v>31</v>
      </c>
      <c r="L23" s="15" t="s">
        <v>31</v>
      </c>
      <c r="M23" s="15" t="s">
        <v>30</v>
      </c>
      <c r="N23" s="15" t="s">
        <v>31</v>
      </c>
      <c r="O23" s="15" t="s">
        <v>30</v>
      </c>
      <c r="P23" s="16">
        <v>-5</v>
      </c>
      <c r="Q23" s="16">
        <v>-7</v>
      </c>
      <c r="R23" s="13" t="str">
        <f>_xlfn.CONCAT(F23,G23,H23,I23,J23)</f>
        <v>WLLLL</v>
      </c>
      <c r="S23" s="13" t="str">
        <f>_xlfn.CONCAT(K23,L23,M23,N23,O23)</f>
        <v>LLWLW</v>
      </c>
      <c r="T23" s="13" t="str">
        <f>_xlfn.CONCAT(R23,"***",S23)</f>
        <v>WLLLL***LLWLW</v>
      </c>
      <c r="U23" s="19">
        <f>(P23-Q23)</f>
        <v>2</v>
      </c>
      <c r="V23" s="14">
        <v>0</v>
      </c>
      <c r="W23" s="14">
        <v>0</v>
      </c>
      <c r="X23" s="20" t="str">
        <f>IF(ISBLANK(V23),"",IF(V23&gt;W23,"1",IF(V23&lt;W23,"2",IF(V23=W23,"X"))))</f>
        <v>X</v>
      </c>
      <c r="Y23" s="23" t="str">
        <f>COUNTIF(F23:J23, "W")&amp;COUNTIF(F23:J23, "d")&amp;COUNTIF(F23:J23, "l")</f>
        <v>104</v>
      </c>
      <c r="Z23" s="13" t="str">
        <f>COUNTIF(K23:O23, "W")&amp;COUNTIF(K23:O23, "d")&amp;COUNTIF(K23:O23, "l")</f>
        <v>203</v>
      </c>
      <c r="AA23" s="23" t="str">
        <f>_xlfn.CONCAT(Y23,"-",Z23)</f>
        <v>104-203</v>
      </c>
      <c r="AB23" s="15" t="str">
        <f>_xlfn.CONCAT(AA23,"…",TEXT(U23,"+00;-00;+00;"))</f>
        <v>104-203…+02</v>
      </c>
      <c r="AC23" s="23" t="str">
        <f>_xlfn.CONCAT(TEXT(P23,"+00;-00;+00;"),"…",TEXT(Q23,"+00;-00;+00;"))</f>
        <v>-05…-07</v>
      </c>
      <c r="AD23" s="14" t="str">
        <f>IF(X23="","?","")</f>
        <v/>
      </c>
      <c r="AE23" s="15" t="str">
        <f>_xlfn.CONCAT(AA23,"…",TEXT(P23,"+00;-00;+00;"),"...",TEXT(Q23,"+00;-00;+00;"))</f>
        <v>104-203…-05...-07</v>
      </c>
      <c r="AF23" s="13" t="str">
        <f>_xlfn.CONCAT(R23,"…",TEXT(P23,"+00;-00;+00;"),"...",TEXT(Q23,"+00;-00;+00;"))</f>
        <v>WLLLL…-05...-07</v>
      </c>
    </row>
    <row r="24" spans="1:32" x14ac:dyDescent="0.25">
      <c r="A24" s="12" t="s">
        <v>440</v>
      </c>
      <c r="B24" s="13" t="s">
        <v>438</v>
      </c>
      <c r="C24" s="14">
        <v>1</v>
      </c>
      <c r="D24" s="13" t="s">
        <v>449</v>
      </c>
      <c r="E24" s="13" t="s">
        <v>451</v>
      </c>
      <c r="F24" s="15" t="s">
        <v>30</v>
      </c>
      <c r="G24" s="15" t="s">
        <v>29</v>
      </c>
      <c r="H24" s="15" t="s">
        <v>30</v>
      </c>
      <c r="I24" s="15" t="s">
        <v>29</v>
      </c>
      <c r="J24" s="15" t="s">
        <v>29</v>
      </c>
      <c r="K24" s="15" t="s">
        <v>29</v>
      </c>
      <c r="L24" s="15" t="s">
        <v>29</v>
      </c>
      <c r="M24" s="15" t="s">
        <v>31</v>
      </c>
      <c r="N24" s="15" t="s">
        <v>30</v>
      </c>
      <c r="O24" s="15" t="s">
        <v>30</v>
      </c>
      <c r="P24" s="16">
        <v>0</v>
      </c>
      <c r="Q24" s="16">
        <v>6</v>
      </c>
      <c r="R24" s="13" t="str">
        <f>_xlfn.CONCAT(F24,G24,H24,I24,J24)</f>
        <v>WDWDD</v>
      </c>
      <c r="S24" s="13" t="str">
        <f>_xlfn.CONCAT(K24,L24,M24,N24,O24)</f>
        <v>DDLWW</v>
      </c>
      <c r="T24" s="13" t="str">
        <f>_xlfn.CONCAT(R24,"***",S24)</f>
        <v>WDWDD***DDLWW</v>
      </c>
      <c r="U24" s="19">
        <f>(P24-Q24)</f>
        <v>-6</v>
      </c>
      <c r="V24" s="14">
        <v>2</v>
      </c>
      <c r="W24" s="14">
        <v>1</v>
      </c>
      <c r="X24" s="20" t="str">
        <f>IF(ISBLANK(V24),"",IF(V24&gt;W24,"1",IF(V24&lt;W24,"2",IF(V24=W24,"X"))))</f>
        <v>1</v>
      </c>
      <c r="Y24" s="23" t="str">
        <f>COUNTIF(F24:J24, "W")&amp;COUNTIF(F24:J24, "d")&amp;COUNTIF(F24:J24, "l")</f>
        <v>230</v>
      </c>
      <c r="Z24" s="13" t="str">
        <f>COUNTIF(K24:O24, "W")&amp;COUNTIF(K24:O24, "d")&amp;COUNTIF(K24:O24, "l")</f>
        <v>221</v>
      </c>
      <c r="AA24" s="23" t="str">
        <f>_xlfn.CONCAT(Y24,"-",Z24)</f>
        <v>230-221</v>
      </c>
      <c r="AB24" s="15" t="str">
        <f>_xlfn.CONCAT(AA24,"…",TEXT(U24,"+00;-00;+00;"))</f>
        <v>230-221…-06</v>
      </c>
      <c r="AC24" s="23" t="str">
        <f>_xlfn.CONCAT(TEXT(P24,"+00;-00;+00;"),"…",TEXT(Q24,"+00;-00;+00;"))</f>
        <v>+00…+06</v>
      </c>
      <c r="AD24" s="14" t="str">
        <f>IF(X24="","?","")</f>
        <v/>
      </c>
      <c r="AE24" s="15" t="str">
        <f>_xlfn.CONCAT(AA24,"…",TEXT(P24,"+00;-00;+00;"),"...",TEXT(Q24,"+00;-00;+00;"))</f>
        <v>230-221…+00...+06</v>
      </c>
      <c r="AF24" s="13" t="str">
        <f>_xlfn.CONCAT(R24,"…",TEXT(P24,"+00;-00;+00;"),"...",TEXT(Q24,"+00;-00;+00;"))</f>
        <v>WDWDD…+00...+06</v>
      </c>
    </row>
    <row r="25" spans="1:32" x14ac:dyDescent="0.25">
      <c r="A25" s="12" t="s">
        <v>441</v>
      </c>
      <c r="B25" s="13" t="s">
        <v>438</v>
      </c>
      <c r="C25" s="14">
        <v>1</v>
      </c>
      <c r="D25" s="13" t="s">
        <v>452</v>
      </c>
      <c r="E25" s="13" t="s">
        <v>453</v>
      </c>
      <c r="F25" s="15" t="s">
        <v>30</v>
      </c>
      <c r="G25" s="15" t="s">
        <v>31</v>
      </c>
      <c r="H25" s="15" t="s">
        <v>31</v>
      </c>
      <c r="I25" s="15" t="s">
        <v>30</v>
      </c>
      <c r="J25" s="15" t="s">
        <v>29</v>
      </c>
      <c r="K25" s="15" t="s">
        <v>30</v>
      </c>
      <c r="L25" s="15" t="s">
        <v>31</v>
      </c>
      <c r="M25" s="15" t="s">
        <v>29</v>
      </c>
      <c r="N25" s="15" t="s">
        <v>29</v>
      </c>
      <c r="O25" s="15" t="s">
        <v>30</v>
      </c>
      <c r="P25" s="16">
        <v>1</v>
      </c>
      <c r="Q25" s="16">
        <v>0</v>
      </c>
      <c r="R25" s="13" t="str">
        <f>_xlfn.CONCAT(F25,G25,H25,I25,J25)</f>
        <v>WLLWD</v>
      </c>
      <c r="S25" s="13" t="str">
        <f>_xlfn.CONCAT(K25,L25,M25,N25,O25)</f>
        <v>WLDDW</v>
      </c>
      <c r="T25" s="13" t="str">
        <f>_xlfn.CONCAT(R25,"***",S25)</f>
        <v>WLLWD***WLDDW</v>
      </c>
      <c r="U25" s="19">
        <f>(P25-Q25)</f>
        <v>1</v>
      </c>
      <c r="V25" s="14">
        <v>1</v>
      </c>
      <c r="W25" s="14">
        <v>0</v>
      </c>
      <c r="X25" s="20" t="str">
        <f>IF(ISBLANK(V25),"",IF(V25&gt;W25,"1",IF(V25&lt;W25,"2",IF(V25=W25,"X"))))</f>
        <v>1</v>
      </c>
      <c r="Y25" s="23" t="str">
        <f>COUNTIF(F25:J25, "W")&amp;COUNTIF(F25:J25, "d")&amp;COUNTIF(F25:J25, "l")</f>
        <v>212</v>
      </c>
      <c r="Z25" s="13" t="str">
        <f>COUNTIF(K25:O25, "W")&amp;COUNTIF(K25:O25, "d")&amp;COUNTIF(K25:O25, "l")</f>
        <v>221</v>
      </c>
      <c r="AA25" s="23" t="str">
        <f>_xlfn.CONCAT(Y25,"-",Z25)</f>
        <v>212-221</v>
      </c>
      <c r="AB25" s="15" t="str">
        <f>_xlfn.CONCAT(AA25,"…",TEXT(U25,"+00;-00;+00;"))</f>
        <v>212-221…+01</v>
      </c>
      <c r="AC25" s="23" t="str">
        <f>_xlfn.CONCAT(TEXT(P25,"+00;-00;+00;"),"…",TEXT(Q25,"+00;-00;+00;"))</f>
        <v>+01…+00</v>
      </c>
      <c r="AD25" s="14" t="str">
        <f>IF(X25="","?","")</f>
        <v/>
      </c>
      <c r="AE25" s="15" t="str">
        <f>_xlfn.CONCAT(AA25,"…",TEXT(P25,"+00;-00;+00;"),"...",TEXT(Q25,"+00;-00;+00;"))</f>
        <v>212-221…+01...+00</v>
      </c>
      <c r="AF25" s="13" t="str">
        <f>_xlfn.CONCAT(R25,"…",TEXT(P25,"+00;-00;+00;"),"...",TEXT(Q25,"+00;-00;+00;"))</f>
        <v>WLLWD…+01...+00</v>
      </c>
    </row>
    <row r="26" spans="1:32" x14ac:dyDescent="0.25">
      <c r="A26" s="12" t="s">
        <v>442</v>
      </c>
      <c r="B26" s="13" t="s">
        <v>438</v>
      </c>
      <c r="C26" s="14">
        <v>1</v>
      </c>
      <c r="D26" s="13" t="s">
        <v>454</v>
      </c>
      <c r="E26" s="13" t="s">
        <v>455</v>
      </c>
      <c r="F26" s="15" t="s">
        <v>31</v>
      </c>
      <c r="G26" s="15" t="s">
        <v>31</v>
      </c>
      <c r="H26" s="15" t="s">
        <v>30</v>
      </c>
      <c r="I26" s="15" t="s">
        <v>31</v>
      </c>
      <c r="J26" s="15" t="s">
        <v>31</v>
      </c>
      <c r="K26" s="15" t="s">
        <v>30</v>
      </c>
      <c r="L26" s="15" t="s">
        <v>29</v>
      </c>
      <c r="M26" s="15" t="s">
        <v>31</v>
      </c>
      <c r="N26" s="15" t="s">
        <v>31</v>
      </c>
      <c r="O26" s="15" t="s">
        <v>29</v>
      </c>
      <c r="P26" s="16">
        <v>-10</v>
      </c>
      <c r="Q26" s="16">
        <v>-4</v>
      </c>
      <c r="R26" s="13" t="str">
        <f>_xlfn.CONCAT(F26,G26,H26,I26,J26)</f>
        <v>LLWLL</v>
      </c>
      <c r="S26" s="13" t="str">
        <f>_xlfn.CONCAT(K26,L26,M26,N26,O26)</f>
        <v>WDLLD</v>
      </c>
      <c r="T26" s="13" t="str">
        <f>_xlfn.CONCAT(R26,"***",S26)</f>
        <v>LLWLL***WDLLD</v>
      </c>
      <c r="U26" s="19">
        <f>(P26-Q26)</f>
        <v>-6</v>
      </c>
      <c r="V26" s="14">
        <v>2</v>
      </c>
      <c r="W26" s="14">
        <v>1</v>
      </c>
      <c r="X26" s="20" t="str">
        <f>IF(ISBLANK(V26),"",IF(V26&gt;W26,"1",IF(V26&lt;W26,"2",IF(V26=W26,"X"))))</f>
        <v>1</v>
      </c>
      <c r="Y26" s="23" t="str">
        <f>COUNTIF(F26:J26, "W")&amp;COUNTIF(F26:J26, "d")&amp;COUNTIF(F26:J26, "l")</f>
        <v>104</v>
      </c>
      <c r="Z26" s="13" t="str">
        <f>COUNTIF(K26:O26, "W")&amp;COUNTIF(K26:O26, "d")&amp;COUNTIF(K26:O26, "l")</f>
        <v>122</v>
      </c>
      <c r="AA26" s="23" t="str">
        <f>_xlfn.CONCAT(Y26,"-",Z26)</f>
        <v>104-122</v>
      </c>
      <c r="AB26" s="15" t="str">
        <f>_xlfn.CONCAT(AA26,"…",TEXT(U26,"+00;-00;+00;"))</f>
        <v>104-122…-06</v>
      </c>
      <c r="AC26" s="23" t="str">
        <f>_xlfn.CONCAT(TEXT(P26,"+00;-00;+00;"),"…",TEXT(Q26,"+00;-00;+00;"))</f>
        <v>-10…-04</v>
      </c>
      <c r="AD26" s="14" t="str">
        <f>IF(X26="","?","")</f>
        <v/>
      </c>
      <c r="AE26" s="15" t="str">
        <f>_xlfn.CONCAT(AA26,"…",TEXT(P26,"+00;-00;+00;"),"...",TEXT(Q26,"+00;-00;+00;"))</f>
        <v>104-122…-10...-04</v>
      </c>
      <c r="AF26" s="13" t="str">
        <f>_xlfn.CONCAT(R26,"…",TEXT(P26,"+00;-00;+00;"),"...",TEXT(Q26,"+00;-00;+00;"))</f>
        <v>LLWLL…-10...-04</v>
      </c>
    </row>
    <row r="27" spans="1:32" x14ac:dyDescent="0.25">
      <c r="A27" s="12" t="s">
        <v>443</v>
      </c>
      <c r="B27" s="13" t="s">
        <v>438</v>
      </c>
      <c r="C27" s="14">
        <v>1</v>
      </c>
      <c r="D27" s="13" t="s">
        <v>456</v>
      </c>
      <c r="E27" s="13" t="s">
        <v>290</v>
      </c>
      <c r="F27" s="15" t="s">
        <v>31</v>
      </c>
      <c r="G27" s="15" t="s">
        <v>30</v>
      </c>
      <c r="H27" s="15" t="s">
        <v>29</v>
      </c>
      <c r="I27" s="15" t="s">
        <v>29</v>
      </c>
      <c r="J27" s="15" t="s">
        <v>31</v>
      </c>
      <c r="K27" s="15" t="s">
        <v>31</v>
      </c>
      <c r="L27" s="15" t="s">
        <v>29</v>
      </c>
      <c r="M27" s="15" t="s">
        <v>30</v>
      </c>
      <c r="N27" s="15" t="s">
        <v>31</v>
      </c>
      <c r="O27" s="15" t="s">
        <v>31</v>
      </c>
      <c r="P27" s="16">
        <v>-5</v>
      </c>
      <c r="Q27" s="16">
        <v>-1</v>
      </c>
      <c r="R27" s="13" t="str">
        <f>_xlfn.CONCAT(F27,G27,H27,I27,J27)</f>
        <v>LWDDL</v>
      </c>
      <c r="S27" s="13" t="str">
        <f>_xlfn.CONCAT(K27,L27,M27,N27,O27)</f>
        <v>LDWLL</v>
      </c>
      <c r="T27" s="13" t="str">
        <f>_xlfn.CONCAT(R27,"***",S27)</f>
        <v>LWDDL***LDWLL</v>
      </c>
      <c r="U27" s="19">
        <f>(P27-Q27)</f>
        <v>-4</v>
      </c>
      <c r="V27" s="14">
        <v>1</v>
      </c>
      <c r="W27" s="14">
        <v>1</v>
      </c>
      <c r="X27" s="20" t="str">
        <f>IF(ISBLANK(V27),"",IF(V27&gt;W27,"1",IF(V27&lt;W27,"2",IF(V27=W27,"X"))))</f>
        <v>X</v>
      </c>
      <c r="Y27" s="23" t="str">
        <f>COUNTIF(F27:J27, "W")&amp;COUNTIF(F27:J27, "d")&amp;COUNTIF(F27:J27, "l")</f>
        <v>122</v>
      </c>
      <c r="Z27" s="13" t="str">
        <f>COUNTIF(K27:O27, "W")&amp;COUNTIF(K27:O27, "d")&amp;COUNTIF(K27:O27, "l")</f>
        <v>113</v>
      </c>
      <c r="AA27" s="23" t="str">
        <f>_xlfn.CONCAT(Y27,"-",Z27)</f>
        <v>122-113</v>
      </c>
      <c r="AB27" s="15" t="str">
        <f>_xlfn.CONCAT(AA27,"…",TEXT(U27,"+00;-00;+00;"))</f>
        <v>122-113…-04</v>
      </c>
      <c r="AC27" s="23" t="str">
        <f>_xlfn.CONCAT(TEXT(P27,"+00;-00;+00;"),"…",TEXT(Q27,"+00;-00;+00;"))</f>
        <v>-05…-01</v>
      </c>
      <c r="AD27" s="14" t="str">
        <f>IF(X27="","?","")</f>
        <v/>
      </c>
      <c r="AE27" s="15" t="str">
        <f>_xlfn.CONCAT(AA27,"…",TEXT(P27,"+00;-00;+00;"),"...",TEXT(Q27,"+00;-00;+00;"))</f>
        <v>122-113…-05...-01</v>
      </c>
      <c r="AF27" s="13" t="str">
        <f>_xlfn.CONCAT(R27,"…",TEXT(P27,"+00;-00;+00;"),"...",TEXT(Q27,"+00;-00;+00;"))</f>
        <v>LWDDL…-05...-01</v>
      </c>
    </row>
    <row r="28" spans="1:32" x14ac:dyDescent="0.25">
      <c r="A28" s="12" t="s">
        <v>93</v>
      </c>
      <c r="B28" s="13" t="s">
        <v>59</v>
      </c>
      <c r="C28" s="14" t="s">
        <v>33</v>
      </c>
      <c r="D28" s="13" t="s">
        <v>115</v>
      </c>
      <c r="E28" s="13" t="s">
        <v>116</v>
      </c>
      <c r="F28" s="15" t="s">
        <v>31</v>
      </c>
      <c r="G28" s="15" t="s">
        <v>29</v>
      </c>
      <c r="H28" s="15" t="s">
        <v>31</v>
      </c>
      <c r="I28" s="15" t="s">
        <v>29</v>
      </c>
      <c r="J28" s="15" t="s">
        <v>30</v>
      </c>
      <c r="K28" s="15" t="s">
        <v>31</v>
      </c>
      <c r="L28" s="15" t="s">
        <v>31</v>
      </c>
      <c r="M28" s="15" t="s">
        <v>31</v>
      </c>
      <c r="N28" s="15" t="s">
        <v>30</v>
      </c>
      <c r="O28" s="15" t="s">
        <v>30</v>
      </c>
      <c r="P28" s="16">
        <v>3</v>
      </c>
      <c r="Q28" s="16">
        <v>1</v>
      </c>
      <c r="R28" s="13" t="str">
        <f>_xlfn.CONCAT(F28,G28,H28,I28,J28)</f>
        <v>LDLDW</v>
      </c>
      <c r="S28" s="13" t="str">
        <f>_xlfn.CONCAT(K28,L28,M28,N28,O28)</f>
        <v>LLLWW</v>
      </c>
      <c r="T28" s="13" t="str">
        <f>_xlfn.CONCAT(R28,"***",S28)</f>
        <v>LDLDW***LLLWW</v>
      </c>
      <c r="U28" s="19">
        <f>(P28-Q28)</f>
        <v>2</v>
      </c>
      <c r="V28" s="14">
        <v>2</v>
      </c>
      <c r="W28" s="14">
        <v>4</v>
      </c>
      <c r="X28" s="20" t="str">
        <f>IF(ISBLANK(V28),"",IF(V28&gt;W28,"1",IF(V28&lt;W28,"2",IF(V28=W28,"X"))))</f>
        <v>2</v>
      </c>
      <c r="Y28" s="23" t="str">
        <f>COUNTIF(F28:J28, "W")&amp;COUNTIF(F28:J28, "d")&amp;COUNTIF(F28:J28, "l")</f>
        <v>122</v>
      </c>
      <c r="Z28" s="13" t="str">
        <f>COUNTIF(K28:O28, "W")&amp;COUNTIF(K28:O28, "d")&amp;COUNTIF(K28:O28, "l")</f>
        <v>203</v>
      </c>
      <c r="AA28" s="23" t="str">
        <f>_xlfn.CONCAT(Y28,"-",Z28)</f>
        <v>122-203</v>
      </c>
      <c r="AB28" s="15" t="str">
        <f>_xlfn.CONCAT(AA28,"…",TEXT(U28,"+00;-00;+00;"))</f>
        <v>122-203…+02</v>
      </c>
      <c r="AC28" s="23" t="str">
        <f>_xlfn.CONCAT(TEXT(P28,"+00;-00;+00;"),"…",TEXT(Q28,"+00;-00;+00;"))</f>
        <v>+03…+01</v>
      </c>
      <c r="AD28" s="14" t="str">
        <f>IF(X28="","?","")</f>
        <v/>
      </c>
      <c r="AE28" s="15" t="str">
        <f>_xlfn.CONCAT(AA28,"…",TEXT(P28,"+00;-00;+00;"),"...",TEXT(Q28,"+00;-00;+00;"))</f>
        <v>122-203…+03...+01</v>
      </c>
      <c r="AF28" s="13" t="str">
        <f>_xlfn.CONCAT(R28,"…",TEXT(P28,"+00;-00;+00;"),"...",TEXT(Q28,"+00;-00;+00;"))</f>
        <v>LDLDW…+03...+01</v>
      </c>
    </row>
    <row r="29" spans="1:32" x14ac:dyDescent="0.25">
      <c r="A29" s="12" t="s">
        <v>444</v>
      </c>
      <c r="B29" s="13" t="s">
        <v>438</v>
      </c>
      <c r="C29" s="14">
        <v>1</v>
      </c>
      <c r="D29" s="13" t="s">
        <v>457</v>
      </c>
      <c r="E29" s="13" t="s">
        <v>458</v>
      </c>
      <c r="F29" s="15" t="s">
        <v>29</v>
      </c>
      <c r="G29" s="15" t="s">
        <v>30</v>
      </c>
      <c r="H29" s="15" t="s">
        <v>30</v>
      </c>
      <c r="I29" s="15" t="s">
        <v>30</v>
      </c>
      <c r="J29" s="15" t="s">
        <v>31</v>
      </c>
      <c r="K29" s="15" t="s">
        <v>31</v>
      </c>
      <c r="L29" s="15" t="s">
        <v>30</v>
      </c>
      <c r="M29" s="15" t="s">
        <v>29</v>
      </c>
      <c r="N29" s="15" t="s">
        <v>29</v>
      </c>
      <c r="O29" s="15" t="s">
        <v>30</v>
      </c>
      <c r="P29" s="16">
        <v>9</v>
      </c>
      <c r="Q29" s="16">
        <v>5</v>
      </c>
      <c r="R29" s="13" t="str">
        <f>_xlfn.CONCAT(F29,G29,H29,I29,J29)</f>
        <v>DWWWL</v>
      </c>
      <c r="S29" s="13" t="str">
        <f>_xlfn.CONCAT(K29,L29,M29,N29,O29)</f>
        <v>LWDDW</v>
      </c>
      <c r="T29" s="13" t="str">
        <f>_xlfn.CONCAT(R29,"***",S29)</f>
        <v>DWWWL***LWDDW</v>
      </c>
      <c r="U29" s="19">
        <f>(P29-Q29)</f>
        <v>4</v>
      </c>
      <c r="V29" s="14">
        <v>2</v>
      </c>
      <c r="W29" s="14">
        <v>0</v>
      </c>
      <c r="X29" s="20" t="str">
        <f>IF(ISBLANK(V29),"",IF(V29&gt;W29,"1",IF(V29&lt;W29,"2",IF(V29=W29,"X"))))</f>
        <v>1</v>
      </c>
      <c r="Y29" s="23" t="str">
        <f>COUNTIF(F29:J29, "W")&amp;COUNTIF(F29:J29, "d")&amp;COUNTIF(F29:J29, "l")</f>
        <v>311</v>
      </c>
      <c r="Z29" s="13" t="str">
        <f>COUNTIF(K29:O29, "W")&amp;COUNTIF(K29:O29, "d")&amp;COUNTIF(K29:O29, "l")</f>
        <v>221</v>
      </c>
      <c r="AA29" s="23" t="str">
        <f>_xlfn.CONCAT(Y29,"-",Z29)</f>
        <v>311-221</v>
      </c>
      <c r="AB29" s="15" t="str">
        <f>_xlfn.CONCAT(AA29,"…",TEXT(U29,"+00;-00;+00;"))</f>
        <v>311-221…+04</v>
      </c>
      <c r="AC29" s="23" t="str">
        <f>_xlfn.CONCAT(TEXT(P29,"+00;-00;+00;"),"…",TEXT(Q29,"+00;-00;+00;"))</f>
        <v>+09…+05</v>
      </c>
      <c r="AD29" s="14" t="str">
        <f>IF(X29="","?","")</f>
        <v/>
      </c>
      <c r="AE29" s="15" t="str">
        <f>_xlfn.CONCAT(AA29,"…",TEXT(P29,"+00;-00;+00;"),"...",TEXT(Q29,"+00;-00;+00;"))</f>
        <v>311-221…+09...+05</v>
      </c>
      <c r="AF29" s="13" t="str">
        <f>_xlfn.CONCAT(R29,"…",TEXT(P29,"+00;-00;+00;"),"...",TEXT(Q29,"+00;-00;+00;"))</f>
        <v>DWWWL…+09...+05</v>
      </c>
    </row>
    <row r="30" spans="1:32" x14ac:dyDescent="0.25">
      <c r="A30" s="12" t="s">
        <v>418</v>
      </c>
      <c r="B30" s="13" t="s">
        <v>417</v>
      </c>
      <c r="C30" s="14">
        <v>1</v>
      </c>
      <c r="D30" s="13" t="s">
        <v>420</v>
      </c>
      <c r="E30" s="13" t="s">
        <v>421</v>
      </c>
      <c r="F30" s="15" t="s">
        <v>29</v>
      </c>
      <c r="G30" s="15" t="s">
        <v>29</v>
      </c>
      <c r="H30" s="15" t="s">
        <v>30</v>
      </c>
      <c r="I30" s="15" t="s">
        <v>31</v>
      </c>
      <c r="J30" s="15" t="s">
        <v>30</v>
      </c>
      <c r="K30" s="15" t="s">
        <v>29</v>
      </c>
      <c r="L30" s="15" t="s">
        <v>29</v>
      </c>
      <c r="M30" s="15" t="s">
        <v>31</v>
      </c>
      <c r="N30" s="15" t="s">
        <v>29</v>
      </c>
      <c r="O30" s="15" t="s">
        <v>31</v>
      </c>
      <c r="P30" s="16">
        <v>2</v>
      </c>
      <c r="Q30" s="16">
        <v>11</v>
      </c>
      <c r="R30" s="13" t="str">
        <f>_xlfn.CONCAT(F30,G30,H30,I30,J30)</f>
        <v>DDWLW</v>
      </c>
      <c r="S30" s="13" t="str">
        <f>_xlfn.CONCAT(K30,L30,M30,N30,O30)</f>
        <v>DDLDL</v>
      </c>
      <c r="T30" s="13" t="str">
        <f>_xlfn.CONCAT(R30,"***",S30)</f>
        <v>DDWLW***DDLDL</v>
      </c>
      <c r="U30" s="19">
        <f>(P30-Q30)</f>
        <v>-9</v>
      </c>
      <c r="V30" s="14">
        <v>2</v>
      </c>
      <c r="W30" s="14">
        <v>0</v>
      </c>
      <c r="X30" s="20" t="str">
        <f>IF(ISBLANK(V30),"",IF(V30&gt;W30,"1",IF(V30&lt;W30,"2",IF(V30=W30,"X"))))</f>
        <v>1</v>
      </c>
      <c r="Y30" s="23" t="str">
        <f>COUNTIF(F30:J30, "W")&amp;COUNTIF(F30:J30, "d")&amp;COUNTIF(F30:J30, "l")</f>
        <v>221</v>
      </c>
      <c r="Z30" s="13" t="str">
        <f>COUNTIF(K30:O30, "W")&amp;COUNTIF(K30:O30, "d")&amp;COUNTIF(K30:O30, "l")</f>
        <v>032</v>
      </c>
      <c r="AA30" s="23" t="str">
        <f>_xlfn.CONCAT(Y30,"-",Z30)</f>
        <v>221-032</v>
      </c>
      <c r="AB30" s="15" t="str">
        <f>_xlfn.CONCAT(AA30,"…",TEXT(U30,"+00;-00;+00;"))</f>
        <v>221-032…-09</v>
      </c>
      <c r="AC30" s="23" t="str">
        <f>_xlfn.CONCAT(TEXT(P30,"+00;-00;+00;"),"…",TEXT(Q30,"+00;-00;+00;"))</f>
        <v>+02…+11</v>
      </c>
      <c r="AD30" s="14" t="str">
        <f>IF(X30="","?","")</f>
        <v/>
      </c>
      <c r="AE30" s="15" t="str">
        <f>_xlfn.CONCAT(AA30,"…",TEXT(P30,"+00;-00;+00;"),"...",TEXT(Q30,"+00;-00;+00;"))</f>
        <v>221-032…+02...+11</v>
      </c>
      <c r="AF30" s="13" t="str">
        <f>_xlfn.CONCAT(R30,"…",TEXT(P30,"+00;-00;+00;"),"...",TEXT(Q30,"+00;-00;+00;"))</f>
        <v>DDWLW…+02...+11</v>
      </c>
    </row>
    <row r="31" spans="1:32" s="8" customFormat="1" x14ac:dyDescent="0.25">
      <c r="A31" s="12" t="s">
        <v>418</v>
      </c>
      <c r="B31" s="13" t="s">
        <v>417</v>
      </c>
      <c r="C31" s="14">
        <v>1</v>
      </c>
      <c r="D31" s="13" t="s">
        <v>422</v>
      </c>
      <c r="E31" s="13" t="s">
        <v>423</v>
      </c>
      <c r="F31" s="15" t="s">
        <v>30</v>
      </c>
      <c r="G31" s="15" t="s">
        <v>30</v>
      </c>
      <c r="H31" s="15" t="s">
        <v>30</v>
      </c>
      <c r="I31" s="15" t="s">
        <v>31</v>
      </c>
      <c r="J31" s="15" t="s">
        <v>30</v>
      </c>
      <c r="K31" s="15" t="s">
        <v>29</v>
      </c>
      <c r="L31" s="15" t="s">
        <v>30</v>
      </c>
      <c r="M31" s="15" t="s">
        <v>29</v>
      </c>
      <c r="N31" s="15" t="s">
        <v>30</v>
      </c>
      <c r="O31" s="15" t="s">
        <v>30</v>
      </c>
      <c r="P31" s="16">
        <v>25</v>
      </c>
      <c r="Q31" s="16">
        <v>-5</v>
      </c>
      <c r="R31" s="13" t="str">
        <f>_xlfn.CONCAT(F31,G31,H31,I31,J31)</f>
        <v>WWWLW</v>
      </c>
      <c r="S31" s="13" t="str">
        <f>_xlfn.CONCAT(K31,L31,M31,N31,O31)</f>
        <v>DWDWW</v>
      </c>
      <c r="T31" s="13" t="str">
        <f>_xlfn.CONCAT(R31,"***",S31)</f>
        <v>WWWLW***DWDWW</v>
      </c>
      <c r="U31" s="19">
        <f>(P31-Q31)</f>
        <v>30</v>
      </c>
      <c r="V31" s="14">
        <v>0</v>
      </c>
      <c r="W31" s="14">
        <v>0</v>
      </c>
      <c r="X31" s="20" t="str">
        <f>IF(ISBLANK(V31),"",IF(V31&gt;W31,"1",IF(V31&lt;W31,"2",IF(V31=W31,"X"))))</f>
        <v>X</v>
      </c>
      <c r="Y31" s="23" t="str">
        <f>COUNTIF(F31:J31, "W")&amp;COUNTIF(F31:J31, "d")&amp;COUNTIF(F31:J31, "l")</f>
        <v>401</v>
      </c>
      <c r="Z31" s="13" t="str">
        <f>COUNTIF(K31:O31, "W")&amp;COUNTIF(K31:O31, "d")&amp;COUNTIF(K31:O31, "l")</f>
        <v>320</v>
      </c>
      <c r="AA31" s="23" t="str">
        <f>_xlfn.CONCAT(Y31,"-",Z31)</f>
        <v>401-320</v>
      </c>
      <c r="AB31" s="15" t="str">
        <f>_xlfn.CONCAT(AA31,"…",TEXT(U31,"+00;-00;+00;"))</f>
        <v>401-320…+30</v>
      </c>
      <c r="AC31" s="23" t="str">
        <f>_xlfn.CONCAT(TEXT(P31,"+00;-00;+00;"),"…",TEXT(Q31,"+00;-00;+00;"))</f>
        <v>+25…-05</v>
      </c>
      <c r="AD31" s="14" t="str">
        <f>IF(X31="","?","")</f>
        <v/>
      </c>
      <c r="AE31" s="15" t="str">
        <f>_xlfn.CONCAT(AA31,"…",TEXT(P31,"+00;-00;+00;"),"...",TEXT(Q31,"+00;-00;+00;"))</f>
        <v>401-320…+25...-05</v>
      </c>
      <c r="AF31" s="13" t="str">
        <f>_xlfn.CONCAT(R31,"…",TEXT(P31,"+00;-00;+00;"),"...",TEXT(Q31,"+00;-00;+00;"))</f>
        <v>WWWLW…+25...-05</v>
      </c>
    </row>
    <row r="32" spans="1:32" x14ac:dyDescent="0.25">
      <c r="A32" s="12" t="s">
        <v>402</v>
      </c>
      <c r="B32" s="13" t="s">
        <v>401</v>
      </c>
      <c r="C32" s="14">
        <v>1</v>
      </c>
      <c r="D32" s="13" t="s">
        <v>403</v>
      </c>
      <c r="E32" s="13" t="s">
        <v>404</v>
      </c>
      <c r="F32" s="15" t="s">
        <v>29</v>
      </c>
      <c r="G32" s="15" t="s">
        <v>31</v>
      </c>
      <c r="H32" s="15" t="s">
        <v>31</v>
      </c>
      <c r="I32" s="15" t="s">
        <v>29</v>
      </c>
      <c r="J32" s="15" t="s">
        <v>30</v>
      </c>
      <c r="K32" s="15" t="s">
        <v>31</v>
      </c>
      <c r="L32" s="15" t="s">
        <v>29</v>
      </c>
      <c r="M32" s="15" t="s">
        <v>30</v>
      </c>
      <c r="N32" s="15" t="s">
        <v>31</v>
      </c>
      <c r="O32" s="15" t="s">
        <v>31</v>
      </c>
      <c r="P32" s="16">
        <v>-2</v>
      </c>
      <c r="Q32" s="16">
        <v>-11</v>
      </c>
      <c r="R32" s="13" t="str">
        <f>_xlfn.CONCAT(F32,G32,H32,I32,J32)</f>
        <v>DLLDW</v>
      </c>
      <c r="S32" s="13" t="str">
        <f>_xlfn.CONCAT(K32,L32,M32,N32,O32)</f>
        <v>LDWLL</v>
      </c>
      <c r="T32" s="13" t="str">
        <f>_xlfn.CONCAT(R32,"***",S32)</f>
        <v>DLLDW***LDWLL</v>
      </c>
      <c r="U32" s="19">
        <f>(P32-Q32)</f>
        <v>9</v>
      </c>
      <c r="V32" s="14">
        <v>1</v>
      </c>
      <c r="W32" s="14">
        <v>1</v>
      </c>
      <c r="X32" s="20" t="str">
        <f>IF(ISBLANK(V32),"",IF(V32&gt;W32,"1",IF(V32&lt;W32,"2",IF(V32=W32,"X"))))</f>
        <v>X</v>
      </c>
      <c r="Y32" s="23" t="str">
        <f>COUNTIF(F32:J32, "W")&amp;COUNTIF(F32:J32, "d")&amp;COUNTIF(F32:J32, "l")</f>
        <v>122</v>
      </c>
      <c r="Z32" s="13" t="str">
        <f>COUNTIF(K32:O32, "W")&amp;COUNTIF(K32:O32, "d")&amp;COUNTIF(K32:O32, "l")</f>
        <v>113</v>
      </c>
      <c r="AA32" s="23" t="str">
        <f>_xlfn.CONCAT(Y32,"-",Z32)</f>
        <v>122-113</v>
      </c>
      <c r="AB32" s="15" t="str">
        <f>_xlfn.CONCAT(AA32,"…",TEXT(U32,"+00;-00;+00;"))</f>
        <v>122-113…+09</v>
      </c>
      <c r="AC32" s="23" t="str">
        <f>_xlfn.CONCAT(TEXT(P32,"+00;-00;+00;"),"…",TEXT(Q32,"+00;-00;+00;"))</f>
        <v>-02…-11</v>
      </c>
      <c r="AD32" s="14" t="str">
        <f>IF(X32="","?","")</f>
        <v/>
      </c>
      <c r="AE32" s="15" t="str">
        <f>_xlfn.CONCAT(AA32,"…",TEXT(P32,"+00;-00;+00;"),"...",TEXT(Q32,"+00;-00;+00;"))</f>
        <v>122-113…-02...-11</v>
      </c>
      <c r="AF32" s="13" t="str">
        <f>_xlfn.CONCAT(R32,"…",TEXT(P32,"+00;-00;+00;"),"...",TEXT(Q32,"+00;-00;+00;"))</f>
        <v>DLLDW…-02...-11</v>
      </c>
    </row>
    <row r="33" spans="1:32" x14ac:dyDescent="0.25">
      <c r="A33" s="12" t="s">
        <v>228</v>
      </c>
      <c r="B33" s="13" t="s">
        <v>208</v>
      </c>
      <c r="C33" s="14">
        <v>2</v>
      </c>
      <c r="D33" s="13" t="s">
        <v>234</v>
      </c>
      <c r="E33" s="13" t="s">
        <v>235</v>
      </c>
      <c r="F33" s="15" t="s">
        <v>29</v>
      </c>
      <c r="G33" s="15" t="s">
        <v>30</v>
      </c>
      <c r="H33" s="15" t="s">
        <v>31</v>
      </c>
      <c r="I33" s="15" t="s">
        <v>30</v>
      </c>
      <c r="J33" s="15" t="s">
        <v>31</v>
      </c>
      <c r="K33" s="15" t="s">
        <v>29</v>
      </c>
      <c r="L33" s="15" t="s">
        <v>29</v>
      </c>
      <c r="M33" s="15" t="s">
        <v>30</v>
      </c>
      <c r="N33" s="15" t="s">
        <v>31</v>
      </c>
      <c r="O33" s="15" t="s">
        <v>30</v>
      </c>
      <c r="P33" s="16">
        <v>11</v>
      </c>
      <c r="Q33" s="16">
        <v>2</v>
      </c>
      <c r="R33" s="13" t="str">
        <f>_xlfn.CONCAT(F33,G33,H33,I33,J33)</f>
        <v>DWLWL</v>
      </c>
      <c r="S33" s="13" t="str">
        <f>_xlfn.CONCAT(K33,L33,M33,N33,O33)</f>
        <v>DDWLW</v>
      </c>
      <c r="T33" s="13" t="str">
        <f>_xlfn.CONCAT(R33,"***",S33)</f>
        <v>DWLWL***DDWLW</v>
      </c>
      <c r="U33" s="19">
        <f>(P33-Q33)</f>
        <v>9</v>
      </c>
      <c r="V33" s="14">
        <v>2</v>
      </c>
      <c r="W33" s="14">
        <v>2</v>
      </c>
      <c r="X33" s="20" t="str">
        <f>IF(ISBLANK(V33),"",IF(V33&gt;W33,"1",IF(V33&lt;W33,"2",IF(V33=W33,"X"))))</f>
        <v>X</v>
      </c>
      <c r="Y33" s="23" t="str">
        <f>COUNTIF(F33:J33, "W")&amp;COUNTIF(F33:J33, "d")&amp;COUNTIF(F33:J33, "l")</f>
        <v>212</v>
      </c>
      <c r="Z33" s="13" t="str">
        <f>COUNTIF(K33:O33, "W")&amp;COUNTIF(K33:O33, "d")&amp;COUNTIF(K33:O33, "l")</f>
        <v>221</v>
      </c>
      <c r="AA33" s="23" t="str">
        <f>_xlfn.CONCAT(Y33,"-",Z33)</f>
        <v>212-221</v>
      </c>
      <c r="AB33" s="15" t="str">
        <f>_xlfn.CONCAT(AA33,"…",TEXT(U33,"+00;-00;+00;"))</f>
        <v>212-221…+09</v>
      </c>
      <c r="AC33" s="23" t="str">
        <f>_xlfn.CONCAT(TEXT(P33,"+00;-00;+00;"),"…",TEXT(Q33,"+00;-00;+00;"))</f>
        <v>+11…+02</v>
      </c>
      <c r="AD33" s="14" t="str">
        <f>IF(X33="","?","")</f>
        <v/>
      </c>
      <c r="AE33" s="15" t="str">
        <f>_xlfn.CONCAT(AA33,"…",TEXT(P33,"+00;-00;+00;"),"...",TEXT(Q33,"+00;-00;+00;"))</f>
        <v>212-221…+11...+02</v>
      </c>
      <c r="AF33" s="13" t="str">
        <f>_xlfn.CONCAT(R33,"…",TEXT(P33,"+00;-00;+00;"),"...",TEXT(Q33,"+00;-00;+00;"))</f>
        <v>DWLWL…+11...+02</v>
      </c>
    </row>
    <row r="34" spans="1:32" s="8" customFormat="1" x14ac:dyDescent="0.25">
      <c r="A34" s="12" t="s">
        <v>228</v>
      </c>
      <c r="B34" s="13" t="s">
        <v>208</v>
      </c>
      <c r="C34" s="14">
        <v>2</v>
      </c>
      <c r="D34" s="13" t="s">
        <v>232</v>
      </c>
      <c r="E34" s="13" t="s">
        <v>233</v>
      </c>
      <c r="F34" s="15" t="s">
        <v>31</v>
      </c>
      <c r="G34" s="15" t="s">
        <v>30</v>
      </c>
      <c r="H34" s="15" t="s">
        <v>29</v>
      </c>
      <c r="I34" s="15" t="s">
        <v>30</v>
      </c>
      <c r="J34" s="15" t="s">
        <v>29</v>
      </c>
      <c r="K34" s="15" t="s">
        <v>30</v>
      </c>
      <c r="L34" s="15" t="s">
        <v>31</v>
      </c>
      <c r="M34" s="15" t="s">
        <v>31</v>
      </c>
      <c r="N34" s="15" t="s">
        <v>31</v>
      </c>
      <c r="O34" s="15" t="s">
        <v>31</v>
      </c>
      <c r="P34" s="16">
        <v>9</v>
      </c>
      <c r="Q34" s="16">
        <v>-16</v>
      </c>
      <c r="R34" s="13" t="str">
        <f>_xlfn.CONCAT(F34,G34,H34,I34,J34)</f>
        <v>LWDWD</v>
      </c>
      <c r="S34" s="13" t="str">
        <f>_xlfn.CONCAT(K34,L34,M34,N34,O34)</f>
        <v>WLLLL</v>
      </c>
      <c r="T34" s="13" t="str">
        <f>_xlfn.CONCAT(R34,"***",S34)</f>
        <v>LWDWD***WLLLL</v>
      </c>
      <c r="U34" s="19">
        <f>(P34-Q34)</f>
        <v>25</v>
      </c>
      <c r="V34" s="14">
        <v>2</v>
      </c>
      <c r="W34" s="14">
        <v>1</v>
      </c>
      <c r="X34" s="20" t="str">
        <f>IF(ISBLANK(V34),"",IF(V34&gt;W34,"1",IF(V34&lt;W34,"2",IF(V34=W34,"X"))))</f>
        <v>1</v>
      </c>
      <c r="Y34" s="23" t="str">
        <f>COUNTIF(F34:J34, "W")&amp;COUNTIF(F34:J34, "d")&amp;COUNTIF(F34:J34, "l")</f>
        <v>221</v>
      </c>
      <c r="Z34" s="13" t="str">
        <f>COUNTIF(K34:O34, "W")&amp;COUNTIF(K34:O34, "d")&amp;COUNTIF(K34:O34, "l")</f>
        <v>104</v>
      </c>
      <c r="AA34" s="23" t="str">
        <f>_xlfn.CONCAT(Y34,"-",Z34)</f>
        <v>221-104</v>
      </c>
      <c r="AB34" s="15" t="str">
        <f>_xlfn.CONCAT(AA34,"…",TEXT(U34,"+00;-00;+00;"))</f>
        <v>221-104…+25</v>
      </c>
      <c r="AC34" s="23" t="str">
        <f>_xlfn.CONCAT(TEXT(P34,"+00;-00;+00;"),"…",TEXT(Q34,"+00;-00;+00;"))</f>
        <v>+09…-16</v>
      </c>
      <c r="AD34" s="14" t="str">
        <f>IF(X34="","?","")</f>
        <v/>
      </c>
      <c r="AE34" s="15" t="str">
        <f>_xlfn.CONCAT(AA34,"…",TEXT(P34,"+00;-00;+00;"),"...",TEXT(Q34,"+00;-00;+00;"))</f>
        <v>221-104…+09...-16</v>
      </c>
      <c r="AF34" s="13" t="str">
        <f>_xlfn.CONCAT(R34,"…",TEXT(P34,"+00;-00;+00;"),"...",TEXT(Q34,"+00;-00;+00;"))</f>
        <v>LWDWD…+09...-16</v>
      </c>
    </row>
    <row r="35" spans="1:32" x14ac:dyDescent="0.25">
      <c r="A35" s="12" t="s">
        <v>365</v>
      </c>
      <c r="B35" s="13" t="s">
        <v>364</v>
      </c>
      <c r="C35" s="14">
        <v>1</v>
      </c>
      <c r="D35" s="13" t="s">
        <v>367</v>
      </c>
      <c r="E35" s="13" t="s">
        <v>368</v>
      </c>
      <c r="F35" s="15" t="s">
        <v>30</v>
      </c>
      <c r="G35" s="15" t="s">
        <v>31</v>
      </c>
      <c r="H35" s="15" t="s">
        <v>31</v>
      </c>
      <c r="I35" s="15" t="s">
        <v>31</v>
      </c>
      <c r="J35" s="15" t="s">
        <v>31</v>
      </c>
      <c r="K35" s="15" t="s">
        <v>30</v>
      </c>
      <c r="L35" s="15" t="s">
        <v>31</v>
      </c>
      <c r="M35" s="15" t="s">
        <v>29</v>
      </c>
      <c r="N35" s="15" t="s">
        <v>31</v>
      </c>
      <c r="O35" s="15" t="s">
        <v>30</v>
      </c>
      <c r="P35" s="16">
        <v>-22</v>
      </c>
      <c r="Q35" s="16">
        <v>-5</v>
      </c>
      <c r="R35" s="13" t="str">
        <f>_xlfn.CONCAT(F35,G35,H35,I35,J35)</f>
        <v>WLLLL</v>
      </c>
      <c r="S35" s="13" t="str">
        <f>_xlfn.CONCAT(K35,L35,M35,N35,O35)</f>
        <v>WLDLW</v>
      </c>
      <c r="T35" s="13" t="str">
        <f>_xlfn.CONCAT(R35,"***",S35)</f>
        <v>WLLLL***WLDLW</v>
      </c>
      <c r="U35" s="19">
        <f>(P35-Q35)</f>
        <v>-17</v>
      </c>
      <c r="V35" s="14">
        <v>1</v>
      </c>
      <c r="W35" s="14">
        <v>1</v>
      </c>
      <c r="X35" s="20" t="str">
        <f>IF(ISBLANK(V35),"",IF(V35&gt;W35,"1",IF(V35&lt;W35,"2",IF(V35=W35,"X"))))</f>
        <v>X</v>
      </c>
      <c r="Y35" s="23" t="str">
        <f>COUNTIF(F35:J35, "W")&amp;COUNTIF(F35:J35, "d")&amp;COUNTIF(F35:J35, "l")</f>
        <v>104</v>
      </c>
      <c r="Z35" s="13" t="str">
        <f>COUNTIF(K35:O35, "W")&amp;COUNTIF(K35:O35, "d")&amp;COUNTIF(K35:O35, "l")</f>
        <v>212</v>
      </c>
      <c r="AA35" s="23" t="str">
        <f>_xlfn.CONCAT(Y35,"-",Z35)</f>
        <v>104-212</v>
      </c>
      <c r="AB35" s="15" t="str">
        <f>_xlfn.CONCAT(AA35,"…",TEXT(U35,"+00;-00;+00;"))</f>
        <v>104-212…-17</v>
      </c>
      <c r="AC35" s="23" t="str">
        <f>_xlfn.CONCAT(TEXT(P35,"+00;-00;+00;"),"…",TEXT(Q35,"+00;-00;+00;"))</f>
        <v>-22…-05</v>
      </c>
      <c r="AD35" s="14" t="str">
        <f>IF(X35="","?","")</f>
        <v/>
      </c>
      <c r="AE35" s="15" t="str">
        <f>_xlfn.CONCAT(AA35,"…",TEXT(P35,"+00;-00;+00;"),"...",TEXT(Q35,"+00;-00;+00;"))</f>
        <v>104-212…-22...-05</v>
      </c>
      <c r="AF35" s="13" t="str">
        <f>_xlfn.CONCAT(R35,"…",TEXT(P35,"+00;-00;+00;"),"...",TEXT(Q35,"+00;-00;+00;"))</f>
        <v>WLLLL…-22...-05</v>
      </c>
    </row>
    <row r="36" spans="1:32" x14ac:dyDescent="0.25">
      <c r="A36" s="12" t="s">
        <v>146</v>
      </c>
      <c r="B36" s="13" t="s">
        <v>208</v>
      </c>
      <c r="C36" s="14">
        <v>1</v>
      </c>
      <c r="D36" s="13" t="s">
        <v>211</v>
      </c>
      <c r="E36" s="13" t="s">
        <v>212</v>
      </c>
      <c r="F36" s="15" t="s">
        <v>29</v>
      </c>
      <c r="G36" s="15" t="s">
        <v>29</v>
      </c>
      <c r="H36" s="15" t="s">
        <v>31</v>
      </c>
      <c r="I36" s="15" t="s">
        <v>30</v>
      </c>
      <c r="J36" s="15" t="s">
        <v>31</v>
      </c>
      <c r="K36" s="15" t="s">
        <v>30</v>
      </c>
      <c r="L36" s="15" t="s">
        <v>30</v>
      </c>
      <c r="M36" s="15" t="s">
        <v>30</v>
      </c>
      <c r="N36" s="15" t="s">
        <v>30</v>
      </c>
      <c r="O36" s="15" t="s">
        <v>30</v>
      </c>
      <c r="P36" s="16">
        <v>-14</v>
      </c>
      <c r="Q36" s="16">
        <v>33</v>
      </c>
      <c r="R36" s="13" t="str">
        <f>_xlfn.CONCAT(F36,G36,H36,I36,J36)</f>
        <v>DDLWL</v>
      </c>
      <c r="S36" s="13" t="str">
        <f>_xlfn.CONCAT(K36,L36,M36,N36,O36)</f>
        <v>WWWWW</v>
      </c>
      <c r="T36" s="13" t="str">
        <f>_xlfn.CONCAT(R36,"***",S36)</f>
        <v>DDLWL***WWWWW</v>
      </c>
      <c r="U36" s="19">
        <f>(P36-Q36)</f>
        <v>-47</v>
      </c>
      <c r="V36" s="14">
        <v>0</v>
      </c>
      <c r="W36" s="14">
        <v>1</v>
      </c>
      <c r="X36" s="20" t="str">
        <f>IF(ISBLANK(V36),"",IF(V36&gt;W36,"1",IF(V36&lt;W36,"2",IF(V36=W36,"X"))))</f>
        <v>2</v>
      </c>
      <c r="Y36" s="23" t="str">
        <f>COUNTIF(F36:J36, "W")&amp;COUNTIF(F36:J36, "d")&amp;COUNTIF(F36:J36, "l")</f>
        <v>122</v>
      </c>
      <c r="Z36" s="13" t="str">
        <f>COUNTIF(K36:O36, "W")&amp;COUNTIF(K36:O36, "d")&amp;COUNTIF(K36:O36, "l")</f>
        <v>500</v>
      </c>
      <c r="AA36" s="23" t="str">
        <f>_xlfn.CONCAT(Y36,"-",Z36)</f>
        <v>122-500</v>
      </c>
      <c r="AB36" s="15" t="str">
        <f>_xlfn.CONCAT(AA36,"…",TEXT(U36,"+00;-00;+00;"))</f>
        <v>122-500…-47</v>
      </c>
      <c r="AC36" s="23" t="str">
        <f>_xlfn.CONCAT(TEXT(P36,"+00;-00;+00;"),"…",TEXT(Q36,"+00;-00;+00;"))</f>
        <v>-14…+33</v>
      </c>
      <c r="AD36" s="14" t="str">
        <f>IF(X36="","?","")</f>
        <v/>
      </c>
      <c r="AE36" s="15" t="str">
        <f>_xlfn.CONCAT(AA36,"…",TEXT(P36,"+00;-00;+00;"),"...",TEXT(Q36,"+00;-00;+00;"))</f>
        <v>122-500…-14...+33</v>
      </c>
      <c r="AF36" s="13" t="str">
        <f>_xlfn.CONCAT(R36,"…",TEXT(P36,"+00;-00;+00;"),"...",TEXT(Q36,"+00;-00;+00;"))</f>
        <v>DDLWL…-14...+33</v>
      </c>
    </row>
    <row r="37" spans="1:32" x14ac:dyDescent="0.25">
      <c r="A37" s="12" t="s">
        <v>146</v>
      </c>
      <c r="B37" s="13" t="s">
        <v>117</v>
      </c>
      <c r="C37" s="14" t="s">
        <v>33</v>
      </c>
      <c r="D37" s="13" t="s">
        <v>147</v>
      </c>
      <c r="E37" s="13" t="s">
        <v>148</v>
      </c>
      <c r="F37" s="15" t="s">
        <v>30</v>
      </c>
      <c r="G37" s="15" t="s">
        <v>30</v>
      </c>
      <c r="H37" s="15" t="s">
        <v>31</v>
      </c>
      <c r="I37" s="15" t="s">
        <v>30</v>
      </c>
      <c r="J37" s="15" t="s">
        <v>29</v>
      </c>
      <c r="K37" s="15" t="s">
        <v>29</v>
      </c>
      <c r="L37" s="15" t="s">
        <v>29</v>
      </c>
      <c r="M37" s="15" t="s">
        <v>31</v>
      </c>
      <c r="N37" s="15" t="s">
        <v>29</v>
      </c>
      <c r="O37" s="15" t="s">
        <v>29</v>
      </c>
      <c r="P37" s="16">
        <v>-2</v>
      </c>
      <c r="Q37" s="16">
        <v>-8</v>
      </c>
      <c r="R37" s="13" t="str">
        <f>_xlfn.CONCAT(F37,G37,H37,I37,J37)</f>
        <v>WWLWD</v>
      </c>
      <c r="S37" s="13" t="str">
        <f>_xlfn.CONCAT(K37,L37,M37,N37,O37)</f>
        <v>DDLDD</v>
      </c>
      <c r="T37" s="13" t="str">
        <f>_xlfn.CONCAT(R37,"***",S37)</f>
        <v>WWLWD***DDLDD</v>
      </c>
      <c r="U37" s="19">
        <f>(P37-Q37)</f>
        <v>6</v>
      </c>
      <c r="V37" s="14">
        <v>2</v>
      </c>
      <c r="W37" s="14">
        <v>1</v>
      </c>
      <c r="X37" s="20" t="str">
        <f>IF(ISBLANK(V37),"",IF(V37&gt;W37,"1",IF(V37&lt;W37,"2",IF(V37=W37,"X"))))</f>
        <v>1</v>
      </c>
      <c r="Y37" s="23" t="str">
        <f>COUNTIF(F37:J37, "W")&amp;COUNTIF(F37:J37, "d")&amp;COUNTIF(F37:J37, "l")</f>
        <v>311</v>
      </c>
      <c r="Z37" s="13" t="str">
        <f>COUNTIF(K37:O37, "W")&amp;COUNTIF(K37:O37, "d")&amp;COUNTIF(K37:O37, "l")</f>
        <v>041</v>
      </c>
      <c r="AA37" s="23" t="str">
        <f>_xlfn.CONCAT(Y37,"-",Z37)</f>
        <v>311-041</v>
      </c>
      <c r="AB37" s="15" t="str">
        <f>_xlfn.CONCAT(AA37,"…",TEXT(U37,"+00;-00;+00;"))</f>
        <v>311-041…+06</v>
      </c>
      <c r="AC37" s="23" t="str">
        <f>_xlfn.CONCAT(TEXT(P37,"+00;-00;+00;"),"…",TEXT(Q37,"+00;-00;+00;"))</f>
        <v>-02…-08</v>
      </c>
      <c r="AD37" s="14" t="str">
        <f>IF(X37="","?","")</f>
        <v/>
      </c>
      <c r="AE37" s="15" t="str">
        <f>_xlfn.CONCAT(AA37,"…",TEXT(P37,"+00;-00;+00;"),"...",TEXT(Q37,"+00;-00;+00;"))</f>
        <v>311-041…-02...-08</v>
      </c>
      <c r="AF37" s="13" t="str">
        <f>_xlfn.CONCAT(R37,"…",TEXT(P37,"+00;-00;+00;"),"...",TEXT(Q37,"+00;-00;+00;"))</f>
        <v>WWLWD…-02...-08</v>
      </c>
    </row>
    <row r="38" spans="1:32" x14ac:dyDescent="0.25">
      <c r="A38" s="12" t="s">
        <v>319</v>
      </c>
      <c r="B38" s="13" t="s">
        <v>318</v>
      </c>
      <c r="C38" s="14">
        <v>1</v>
      </c>
      <c r="D38" s="13" t="s">
        <v>323</v>
      </c>
      <c r="E38" s="13" t="s">
        <v>324</v>
      </c>
      <c r="F38" s="15" t="s">
        <v>29</v>
      </c>
      <c r="G38" s="15" t="s">
        <v>29</v>
      </c>
      <c r="H38" s="15" t="s">
        <v>30</v>
      </c>
      <c r="I38" s="15" t="s">
        <v>31</v>
      </c>
      <c r="J38" s="15" t="s">
        <v>31</v>
      </c>
      <c r="K38" s="15" t="s">
        <v>30</v>
      </c>
      <c r="L38" s="15" t="s">
        <v>30</v>
      </c>
      <c r="M38" s="15" t="s">
        <v>31</v>
      </c>
      <c r="N38" s="15" t="s">
        <v>31</v>
      </c>
      <c r="O38" s="15" t="s">
        <v>30</v>
      </c>
      <c r="P38" s="16">
        <v>-6</v>
      </c>
      <c r="Q38" s="16">
        <v>17</v>
      </c>
      <c r="R38" s="13" t="str">
        <f>_xlfn.CONCAT(F38,G38,H38,I38,J38)</f>
        <v>DDWLL</v>
      </c>
      <c r="S38" s="13" t="str">
        <f>_xlfn.CONCAT(K38,L38,M38,N38,O38)</f>
        <v>WWLLW</v>
      </c>
      <c r="T38" s="13" t="str">
        <f>_xlfn.CONCAT(R38,"***",S38)</f>
        <v>DDWLL***WWLLW</v>
      </c>
      <c r="U38" s="19">
        <f>(P38-Q38)</f>
        <v>-23</v>
      </c>
      <c r="V38" s="14">
        <v>1</v>
      </c>
      <c r="W38" s="14">
        <v>1</v>
      </c>
      <c r="X38" s="20" t="str">
        <f>IF(ISBLANK(V38),"",IF(V38&gt;W38,"1",IF(V38&lt;W38,"2",IF(V38=W38,"X"))))</f>
        <v>X</v>
      </c>
      <c r="Y38" s="23" t="str">
        <f>COUNTIF(F38:J38, "W")&amp;COUNTIF(F38:J38, "d")&amp;COUNTIF(F38:J38, "l")</f>
        <v>122</v>
      </c>
      <c r="Z38" s="13" t="str">
        <f>COUNTIF(K38:O38, "W")&amp;COUNTIF(K38:O38, "d")&amp;COUNTIF(K38:O38, "l")</f>
        <v>302</v>
      </c>
      <c r="AA38" s="23" t="str">
        <f>_xlfn.CONCAT(Y38,"-",Z38)</f>
        <v>122-302</v>
      </c>
      <c r="AB38" s="15" t="str">
        <f>_xlfn.CONCAT(AA38,"…",TEXT(U38,"+00;-00;+00;"))</f>
        <v>122-302…-23</v>
      </c>
      <c r="AC38" s="23" t="str">
        <f>_xlfn.CONCAT(TEXT(P38,"+00;-00;+00;"),"…",TEXT(Q38,"+00;-00;+00;"))</f>
        <v>-06…+17</v>
      </c>
      <c r="AD38" s="14" t="str">
        <f>IF(X38="","?","")</f>
        <v/>
      </c>
      <c r="AE38" s="15" t="str">
        <f>_xlfn.CONCAT(AA38,"…",TEXT(P38,"+00;-00;+00;"),"...",TEXT(Q38,"+00;-00;+00;"))</f>
        <v>122-302…-06...+17</v>
      </c>
      <c r="AF38" s="13" t="str">
        <f>_xlfn.CONCAT(R38,"…",TEXT(P38,"+00;-00;+00;"),"...",TEXT(Q38,"+00;-00;+00;"))</f>
        <v>DDWLL…-06...+17</v>
      </c>
    </row>
    <row r="39" spans="1:32" x14ac:dyDescent="0.25">
      <c r="A39" s="12" t="s">
        <v>34</v>
      </c>
      <c r="B39" s="13" t="s">
        <v>59</v>
      </c>
      <c r="C39" s="14" t="s">
        <v>31</v>
      </c>
      <c r="D39" s="13" t="s">
        <v>60</v>
      </c>
      <c r="E39" s="13" t="s">
        <v>61</v>
      </c>
      <c r="F39" s="15" t="s">
        <v>31</v>
      </c>
      <c r="G39" s="15" t="s">
        <v>30</v>
      </c>
      <c r="H39" s="15" t="s">
        <v>31</v>
      </c>
      <c r="I39" s="15" t="s">
        <v>29</v>
      </c>
      <c r="J39" s="15" t="s">
        <v>29</v>
      </c>
      <c r="K39" s="15" t="s">
        <v>29</v>
      </c>
      <c r="L39" s="15" t="s">
        <v>31</v>
      </c>
      <c r="M39" s="15" t="s">
        <v>31</v>
      </c>
      <c r="N39" s="15" t="s">
        <v>31</v>
      </c>
      <c r="O39" s="15" t="s">
        <v>29</v>
      </c>
      <c r="P39" s="16">
        <v>-7</v>
      </c>
      <c r="Q39" s="16">
        <v>-12</v>
      </c>
      <c r="R39" s="13" t="str">
        <f>_xlfn.CONCAT(F39,G39,H39,I39,J39)</f>
        <v>LWLDD</v>
      </c>
      <c r="S39" s="13" t="str">
        <f>_xlfn.CONCAT(K39,L39,M39,N39,O39)</f>
        <v>DLLLD</v>
      </c>
      <c r="T39" s="13" t="str">
        <f>_xlfn.CONCAT(R39,"***",S39)</f>
        <v>LWLDD***DLLLD</v>
      </c>
      <c r="U39" s="19">
        <f>(P39-Q39)</f>
        <v>5</v>
      </c>
      <c r="V39" s="14">
        <v>3</v>
      </c>
      <c r="W39" s="14">
        <v>1</v>
      </c>
      <c r="X39" s="20" t="str">
        <f>IF(ISBLANK(V39),"",IF(V39&gt;W39,"1",IF(V39&lt;W39,"2",IF(V39=W39,"X"))))</f>
        <v>1</v>
      </c>
      <c r="Y39" s="23" t="str">
        <f>COUNTIF(F39:J39, "W")&amp;COUNTIF(F39:J39, "d")&amp;COUNTIF(F39:J39, "l")</f>
        <v>122</v>
      </c>
      <c r="Z39" s="13" t="str">
        <f>COUNTIF(K39:O39, "W")&amp;COUNTIF(K39:O39, "d")&amp;COUNTIF(K39:O39, "l")</f>
        <v>023</v>
      </c>
      <c r="AA39" s="23" t="str">
        <f>_xlfn.CONCAT(Y39,"-",Z39)</f>
        <v>122-023</v>
      </c>
      <c r="AB39" s="15" t="str">
        <f>_xlfn.CONCAT(AA39,"…",TEXT(U39,"+00;-00;+00;"))</f>
        <v>122-023…+05</v>
      </c>
      <c r="AC39" s="23" t="str">
        <f>_xlfn.CONCAT(TEXT(P39,"+00;-00;+00;"),"…",TEXT(Q39,"+00;-00;+00;"))</f>
        <v>-07…-12</v>
      </c>
      <c r="AD39" s="14" t="str">
        <f>IF(X39="","?","")</f>
        <v/>
      </c>
      <c r="AE39" s="15" t="str">
        <f>_xlfn.CONCAT(AA39,"…",TEXT(P39,"+00;-00;+00;"),"...",TEXT(Q39,"+00;-00;+00;"))</f>
        <v>122-023…-07...-12</v>
      </c>
      <c r="AF39" s="13" t="str">
        <f>_xlfn.CONCAT(R39,"…",TEXT(P39,"+00;-00;+00;"),"...",TEXT(Q39,"+00;-00;+00;"))</f>
        <v>LWLDD…-07...-12</v>
      </c>
    </row>
    <row r="40" spans="1:32" x14ac:dyDescent="0.25">
      <c r="A40" s="12" t="s">
        <v>34</v>
      </c>
      <c r="B40" s="13" t="s">
        <v>7</v>
      </c>
      <c r="C40" s="14" t="s">
        <v>32</v>
      </c>
      <c r="D40" s="13" t="s">
        <v>35</v>
      </c>
      <c r="E40" s="13" t="s">
        <v>36</v>
      </c>
      <c r="F40" s="15" t="s">
        <v>31</v>
      </c>
      <c r="G40" s="15" t="s">
        <v>29</v>
      </c>
      <c r="H40" s="15" t="s">
        <v>29</v>
      </c>
      <c r="I40" s="15" t="s">
        <v>31</v>
      </c>
      <c r="J40" s="15" t="s">
        <v>30</v>
      </c>
      <c r="K40" s="15" t="s">
        <v>30</v>
      </c>
      <c r="L40" s="15" t="s">
        <v>30</v>
      </c>
      <c r="M40" s="15" t="s">
        <v>30</v>
      </c>
      <c r="N40" s="15" t="s">
        <v>31</v>
      </c>
      <c r="O40" s="15" t="s">
        <v>30</v>
      </c>
      <c r="P40" s="16">
        <v>-17</v>
      </c>
      <c r="Q40" s="16">
        <v>11</v>
      </c>
      <c r="R40" s="13" t="str">
        <f>_xlfn.CONCAT(F40,G40,H40,I40,J40)</f>
        <v>LDDLW</v>
      </c>
      <c r="S40" s="13" t="str">
        <f>_xlfn.CONCAT(K40,L40,M40,N40,O40)</f>
        <v>WWWLW</v>
      </c>
      <c r="T40" s="13" t="str">
        <f>_xlfn.CONCAT(R40,"***",S40)</f>
        <v>LDDLW***WWWLW</v>
      </c>
      <c r="U40" s="19">
        <f>(P40-Q40)</f>
        <v>-28</v>
      </c>
      <c r="V40" s="14">
        <v>1</v>
      </c>
      <c r="W40" s="14">
        <v>1</v>
      </c>
      <c r="X40" s="20" t="str">
        <f>IF(ISBLANK(V40),"",IF(V40&gt;W40,"1",IF(V40&lt;W40,"2",IF(V40=W40,"X"))))</f>
        <v>X</v>
      </c>
      <c r="Y40" s="23" t="str">
        <f>COUNTIF(F40:J40, "W")&amp;COUNTIF(F40:J40, "d")&amp;COUNTIF(F40:J40, "l")</f>
        <v>122</v>
      </c>
      <c r="Z40" s="13" t="str">
        <f>COUNTIF(K40:O40, "W")&amp;COUNTIF(K40:O40, "d")&amp;COUNTIF(K40:O40, "l")</f>
        <v>401</v>
      </c>
      <c r="AA40" s="23" t="str">
        <f>_xlfn.CONCAT(Y40,"-",Z40)</f>
        <v>122-401</v>
      </c>
      <c r="AB40" s="15" t="str">
        <f>_xlfn.CONCAT(AA40,"…",TEXT(U40,"+00;-00;+00;"))</f>
        <v>122-401…-28</v>
      </c>
      <c r="AC40" s="23" t="str">
        <f>_xlfn.CONCAT(TEXT(P40,"+00;-00;+00;"),"…",TEXT(Q40,"+00;-00;+00;"))</f>
        <v>-17…+11</v>
      </c>
      <c r="AD40" s="14" t="str">
        <f>IF(X40="","?","")</f>
        <v/>
      </c>
      <c r="AE40" s="15" t="str">
        <f>_xlfn.CONCAT(AA40,"…",TEXT(P40,"+00;-00;+00;"),"...",TEXT(Q40,"+00;-00;+00;"))</f>
        <v>122-401…-17...+11</v>
      </c>
      <c r="AF40" s="13" t="str">
        <f>_xlfn.CONCAT(R40,"…",TEXT(P40,"+00;-00;+00;"),"...",TEXT(Q40,"+00;-00;+00;"))</f>
        <v>LDDLW…-17...+11</v>
      </c>
    </row>
    <row r="41" spans="1:32" s="8" customFormat="1" x14ac:dyDescent="0.25">
      <c r="A41" s="12" t="s">
        <v>34</v>
      </c>
      <c r="B41" s="13" t="s">
        <v>167</v>
      </c>
      <c r="C41" s="14">
        <v>1</v>
      </c>
      <c r="D41" s="13" t="s">
        <v>169</v>
      </c>
      <c r="E41" s="13" t="s">
        <v>170</v>
      </c>
      <c r="F41" s="15" t="s">
        <v>30</v>
      </c>
      <c r="G41" s="15" t="s">
        <v>30</v>
      </c>
      <c r="H41" s="15" t="s">
        <v>30</v>
      </c>
      <c r="I41" s="15" t="s">
        <v>30</v>
      </c>
      <c r="J41" s="15" t="s">
        <v>30</v>
      </c>
      <c r="K41" s="15" t="s">
        <v>29</v>
      </c>
      <c r="L41" s="15" t="s">
        <v>30</v>
      </c>
      <c r="M41" s="15" t="s">
        <v>31</v>
      </c>
      <c r="N41" s="15" t="s">
        <v>30</v>
      </c>
      <c r="O41" s="15" t="s">
        <v>30</v>
      </c>
      <c r="P41" s="16">
        <v>20</v>
      </c>
      <c r="Q41" s="16">
        <v>11</v>
      </c>
      <c r="R41" s="13" t="str">
        <f>_xlfn.CONCAT(F41,G41,H41,I41,J41)</f>
        <v>WWWWW</v>
      </c>
      <c r="S41" s="13" t="str">
        <f>_xlfn.CONCAT(K41,L41,M41,N41,O41)</f>
        <v>DWLWW</v>
      </c>
      <c r="T41" s="13" t="str">
        <f>_xlfn.CONCAT(R41,"***",S41)</f>
        <v>WWWWW***DWLWW</v>
      </c>
      <c r="U41" s="19">
        <f>(P41-Q41)</f>
        <v>9</v>
      </c>
      <c r="V41" s="14">
        <v>5</v>
      </c>
      <c r="W41" s="14">
        <v>2</v>
      </c>
      <c r="X41" s="20" t="str">
        <f>IF(ISBLANK(V41),"",IF(V41&gt;W41,"1",IF(V41&lt;W41,"2",IF(V41=W41,"X"))))</f>
        <v>1</v>
      </c>
      <c r="Y41" s="23" t="str">
        <f>COUNTIF(F41:J41, "W")&amp;COUNTIF(F41:J41, "d")&amp;COUNTIF(F41:J41, "l")</f>
        <v>500</v>
      </c>
      <c r="Z41" s="13" t="str">
        <f>COUNTIF(K41:O41, "W")&amp;COUNTIF(K41:O41, "d")&amp;COUNTIF(K41:O41, "l")</f>
        <v>311</v>
      </c>
      <c r="AA41" s="23" t="str">
        <f>_xlfn.CONCAT(Y41,"-",Z41)</f>
        <v>500-311</v>
      </c>
      <c r="AB41" s="15" t="str">
        <f>_xlfn.CONCAT(AA41,"…",TEXT(U41,"+00;-00;+00;"))</f>
        <v>500-311…+09</v>
      </c>
      <c r="AC41" s="23" t="str">
        <f>_xlfn.CONCAT(TEXT(P41,"+00;-00;+00;"),"…",TEXT(Q41,"+00;-00;+00;"))</f>
        <v>+20…+11</v>
      </c>
      <c r="AD41" s="14" t="str">
        <f>IF(X41="","?","")</f>
        <v/>
      </c>
      <c r="AE41" s="15" t="str">
        <f>_xlfn.CONCAT(AA41,"…",TEXT(P41,"+00;-00;+00;"),"...",TEXT(Q41,"+00;-00;+00;"))</f>
        <v>500-311…+20...+11</v>
      </c>
      <c r="AF41" s="13" t="str">
        <f>_xlfn.CONCAT(R41,"…",TEXT(P41,"+00;-00;+00;"),"...",TEXT(Q41,"+00;-00;+00;"))</f>
        <v>WWWWW…+20...+11</v>
      </c>
    </row>
    <row r="42" spans="1:32" x14ac:dyDescent="0.25">
      <c r="A42" s="12" t="s">
        <v>419</v>
      </c>
      <c r="B42" s="13" t="s">
        <v>417</v>
      </c>
      <c r="C42" s="14">
        <v>1</v>
      </c>
      <c r="D42" s="13" t="s">
        <v>424</v>
      </c>
      <c r="E42" s="13" t="s">
        <v>425</v>
      </c>
      <c r="F42" s="15" t="s">
        <v>31</v>
      </c>
      <c r="G42" s="15" t="s">
        <v>30</v>
      </c>
      <c r="H42" s="15" t="s">
        <v>29</v>
      </c>
      <c r="I42" s="15" t="s">
        <v>31</v>
      </c>
      <c r="J42" s="15" t="s">
        <v>31</v>
      </c>
      <c r="K42" s="15" t="s">
        <v>29</v>
      </c>
      <c r="L42" s="15" t="s">
        <v>31</v>
      </c>
      <c r="M42" s="15" t="s">
        <v>31</v>
      </c>
      <c r="N42" s="15" t="s">
        <v>31</v>
      </c>
      <c r="O42" s="15" t="s">
        <v>30</v>
      </c>
      <c r="P42" s="16">
        <v>7</v>
      </c>
      <c r="Q42" s="16">
        <v>-8</v>
      </c>
      <c r="R42" s="13" t="str">
        <f>_xlfn.CONCAT(F42,G42,H42,I42,J42)</f>
        <v>LWDLL</v>
      </c>
      <c r="S42" s="13" t="str">
        <f>_xlfn.CONCAT(K42,L42,M42,N42,O42)</f>
        <v>DLLLW</v>
      </c>
      <c r="T42" s="13" t="str">
        <f>_xlfn.CONCAT(R42,"***",S42)</f>
        <v>LWDLL***DLLLW</v>
      </c>
      <c r="U42" s="19">
        <f>(P42-Q42)</f>
        <v>15</v>
      </c>
      <c r="V42" s="14">
        <v>0</v>
      </c>
      <c r="W42" s="14">
        <v>1</v>
      </c>
      <c r="X42" s="20" t="str">
        <f>IF(ISBLANK(V42),"",IF(V42&gt;W42,"1",IF(V42&lt;W42,"2",IF(V42=W42,"X"))))</f>
        <v>2</v>
      </c>
      <c r="Y42" s="23" t="str">
        <f>COUNTIF(F42:J42, "W")&amp;COUNTIF(F42:J42, "d")&amp;COUNTIF(F42:J42, "l")</f>
        <v>113</v>
      </c>
      <c r="Z42" s="13" t="str">
        <f>COUNTIF(K42:O42, "W")&amp;COUNTIF(K42:O42, "d")&amp;COUNTIF(K42:O42, "l")</f>
        <v>113</v>
      </c>
      <c r="AA42" s="23" t="str">
        <f>_xlfn.CONCAT(Y42,"-",Z42)</f>
        <v>113-113</v>
      </c>
      <c r="AB42" s="15" t="str">
        <f>_xlfn.CONCAT(AA42,"…",TEXT(U42,"+00;-00;+00;"))</f>
        <v>113-113…+15</v>
      </c>
      <c r="AC42" s="23" t="str">
        <f>_xlfn.CONCAT(TEXT(P42,"+00;-00;+00;"),"…",TEXT(Q42,"+00;-00;+00;"))</f>
        <v>+07…-08</v>
      </c>
      <c r="AD42" s="14" t="str">
        <f>IF(X42="","?","")</f>
        <v/>
      </c>
      <c r="AE42" s="15" t="str">
        <f>_xlfn.CONCAT(AA42,"…",TEXT(P42,"+00;-00;+00;"),"...",TEXT(Q42,"+00;-00;+00;"))</f>
        <v>113-113…+07...-08</v>
      </c>
      <c r="AF42" s="13" t="str">
        <f>_xlfn.CONCAT(R42,"…",TEXT(P42,"+00;-00;+00;"),"...",TEXT(Q42,"+00;-00;+00;"))</f>
        <v>LWDLL…+07...-08</v>
      </c>
    </row>
    <row r="43" spans="1:32" x14ac:dyDescent="0.25">
      <c r="A43" s="12" t="s">
        <v>419</v>
      </c>
      <c r="B43" s="13" t="s">
        <v>417</v>
      </c>
      <c r="C43" s="14">
        <v>1</v>
      </c>
      <c r="D43" s="13" t="s">
        <v>428</v>
      </c>
      <c r="E43" s="13" t="s">
        <v>429</v>
      </c>
      <c r="F43" s="15" t="s">
        <v>29</v>
      </c>
      <c r="G43" s="15" t="s">
        <v>29</v>
      </c>
      <c r="H43" s="15" t="s">
        <v>31</v>
      </c>
      <c r="I43" s="15" t="s">
        <v>30</v>
      </c>
      <c r="J43" s="15" t="s">
        <v>31</v>
      </c>
      <c r="K43" s="15" t="s">
        <v>31</v>
      </c>
      <c r="L43" s="15" t="s">
        <v>29</v>
      </c>
      <c r="M43" s="15" t="s">
        <v>29</v>
      </c>
      <c r="N43" s="15" t="s">
        <v>30</v>
      </c>
      <c r="O43" s="15" t="s">
        <v>31</v>
      </c>
      <c r="P43" s="16">
        <v>-14</v>
      </c>
      <c r="Q43" s="16">
        <v>-3</v>
      </c>
      <c r="R43" s="13" t="str">
        <f>_xlfn.CONCAT(F43,G43,H43,I43,J43)</f>
        <v>DDLWL</v>
      </c>
      <c r="S43" s="13" t="str">
        <f>_xlfn.CONCAT(K43,L43,M43,N43,O43)</f>
        <v>LDDWL</v>
      </c>
      <c r="T43" s="13" t="str">
        <f>_xlfn.CONCAT(R43,"***",S43)</f>
        <v>DDLWL***LDDWL</v>
      </c>
      <c r="U43" s="19">
        <f>(P43-Q43)</f>
        <v>-11</v>
      </c>
      <c r="V43" s="14">
        <v>2</v>
      </c>
      <c r="W43" s="14">
        <v>2</v>
      </c>
      <c r="X43" s="20" t="str">
        <f>IF(ISBLANK(V43),"",IF(V43&gt;W43,"1",IF(V43&lt;W43,"2",IF(V43=W43,"X"))))</f>
        <v>X</v>
      </c>
      <c r="Y43" s="23" t="str">
        <f>COUNTIF(F43:J43, "W")&amp;COUNTIF(F43:J43, "d")&amp;COUNTIF(F43:J43, "l")</f>
        <v>122</v>
      </c>
      <c r="Z43" s="13" t="str">
        <f>COUNTIF(K43:O43, "W")&amp;COUNTIF(K43:O43, "d")&amp;COUNTIF(K43:O43, "l")</f>
        <v>122</v>
      </c>
      <c r="AA43" s="23" t="str">
        <f>_xlfn.CONCAT(Y43,"-",Z43)</f>
        <v>122-122</v>
      </c>
      <c r="AB43" s="15" t="str">
        <f>_xlfn.CONCAT(AA43,"…",TEXT(U43,"+00;-00;+00;"))</f>
        <v>122-122…-11</v>
      </c>
      <c r="AC43" s="23" t="str">
        <f>_xlfn.CONCAT(TEXT(P43,"+00;-00;+00;"),"…",TEXT(Q43,"+00;-00;+00;"))</f>
        <v>-14…-03</v>
      </c>
      <c r="AD43" s="14" t="str">
        <f>IF(X43="","?","")</f>
        <v/>
      </c>
      <c r="AE43" s="15" t="str">
        <f>_xlfn.CONCAT(AA43,"…",TEXT(P43,"+00;-00;+00;"),"...",TEXT(Q43,"+00;-00;+00;"))</f>
        <v>122-122…-14...-03</v>
      </c>
      <c r="AF43" s="13" t="str">
        <f>_xlfn.CONCAT(R43,"…",TEXT(P43,"+00;-00;+00;"),"...",TEXT(Q43,"+00;-00;+00;"))</f>
        <v>DDLWL…-14...-03</v>
      </c>
    </row>
    <row r="44" spans="1:32" x14ac:dyDescent="0.25">
      <c r="A44" s="12" t="s">
        <v>419</v>
      </c>
      <c r="B44" s="13" t="s">
        <v>417</v>
      </c>
      <c r="C44" s="14">
        <v>1</v>
      </c>
      <c r="D44" s="13" t="s">
        <v>426</v>
      </c>
      <c r="E44" s="13" t="s">
        <v>427</v>
      </c>
      <c r="F44" s="15" t="s">
        <v>29</v>
      </c>
      <c r="G44" s="15" t="s">
        <v>31</v>
      </c>
      <c r="H44" s="15" t="s">
        <v>31</v>
      </c>
      <c r="I44" s="15" t="s">
        <v>30</v>
      </c>
      <c r="J44" s="15" t="s">
        <v>30</v>
      </c>
      <c r="K44" s="15" t="s">
        <v>29</v>
      </c>
      <c r="L44" s="15" t="s">
        <v>30</v>
      </c>
      <c r="M44" s="15" t="s">
        <v>31</v>
      </c>
      <c r="N44" s="15" t="s">
        <v>31</v>
      </c>
      <c r="O44" s="15" t="s">
        <v>29</v>
      </c>
      <c r="P44" s="16">
        <v>-3</v>
      </c>
      <c r="Q44" s="16">
        <v>-5</v>
      </c>
      <c r="R44" s="13" t="str">
        <f>_xlfn.CONCAT(F44,G44,H44,I44,J44)</f>
        <v>DLLWW</v>
      </c>
      <c r="S44" s="13" t="str">
        <f>_xlfn.CONCAT(K44,L44,M44,N44,O44)</f>
        <v>DWLLD</v>
      </c>
      <c r="T44" s="13" t="str">
        <f>_xlfn.CONCAT(R44,"***",S44)</f>
        <v>DLLWW***DWLLD</v>
      </c>
      <c r="U44" s="19">
        <f>(P44-Q44)</f>
        <v>2</v>
      </c>
      <c r="V44" s="14">
        <v>1</v>
      </c>
      <c r="W44" s="14">
        <v>3</v>
      </c>
      <c r="X44" s="20" t="str">
        <f>IF(ISBLANK(V44),"",IF(V44&gt;W44,"1",IF(V44&lt;W44,"2",IF(V44=W44,"X"))))</f>
        <v>2</v>
      </c>
      <c r="Y44" s="23" t="str">
        <f>COUNTIF(F44:J44, "W")&amp;COUNTIF(F44:J44, "d")&amp;COUNTIF(F44:J44, "l")</f>
        <v>212</v>
      </c>
      <c r="Z44" s="13" t="str">
        <f>COUNTIF(K44:O44, "W")&amp;COUNTIF(K44:O44, "d")&amp;COUNTIF(K44:O44, "l")</f>
        <v>122</v>
      </c>
      <c r="AA44" s="23" t="str">
        <f>_xlfn.CONCAT(Y44,"-",Z44)</f>
        <v>212-122</v>
      </c>
      <c r="AB44" s="15" t="str">
        <f>_xlfn.CONCAT(AA44,"…",TEXT(U44,"+00;-00;+00;"))</f>
        <v>212-122…+02</v>
      </c>
      <c r="AC44" s="23" t="str">
        <f>_xlfn.CONCAT(TEXT(P44,"+00;-00;+00;"),"…",TEXT(Q44,"+00;-00;+00;"))</f>
        <v>-03…-05</v>
      </c>
      <c r="AD44" s="14" t="str">
        <f>IF(X44="","?","")</f>
        <v/>
      </c>
      <c r="AE44" s="15" t="str">
        <f>_xlfn.CONCAT(AA44,"…",TEXT(P44,"+00;-00;+00;"),"...",TEXT(Q44,"+00;-00;+00;"))</f>
        <v>212-122…-03...-05</v>
      </c>
      <c r="AF44" s="13" t="str">
        <f>_xlfn.CONCAT(R44,"…",TEXT(P44,"+00;-00;+00;"),"...",TEXT(Q44,"+00;-00;+00;"))</f>
        <v>DLLWW…-03...-05</v>
      </c>
    </row>
    <row r="45" spans="1:32" x14ac:dyDescent="0.25">
      <c r="A45" s="12" t="s">
        <v>419</v>
      </c>
      <c r="B45" s="13" t="s">
        <v>417</v>
      </c>
      <c r="C45" s="14">
        <v>1</v>
      </c>
      <c r="D45" s="13" t="s">
        <v>436</v>
      </c>
      <c r="E45" s="13" t="s">
        <v>437</v>
      </c>
      <c r="F45" s="15" t="s">
        <v>30</v>
      </c>
      <c r="G45" s="15" t="s">
        <v>31</v>
      </c>
      <c r="H45" s="15" t="s">
        <v>30</v>
      </c>
      <c r="I45" s="15" t="s">
        <v>29</v>
      </c>
      <c r="J45" s="15" t="s">
        <v>31</v>
      </c>
      <c r="K45" s="15" t="s">
        <v>30</v>
      </c>
      <c r="L45" s="15" t="s">
        <v>29</v>
      </c>
      <c r="M45" s="15" t="s">
        <v>30</v>
      </c>
      <c r="N45" s="15" t="s">
        <v>30</v>
      </c>
      <c r="O45" s="15" t="s">
        <v>31</v>
      </c>
      <c r="P45" s="16">
        <v>-25</v>
      </c>
      <c r="Q45" s="16">
        <v>-16</v>
      </c>
      <c r="R45" s="13" t="str">
        <f>_xlfn.CONCAT(F45,G45,H45,I45,J45)</f>
        <v>WLWDL</v>
      </c>
      <c r="S45" s="13" t="str">
        <f>_xlfn.CONCAT(K45,L45,M45,N45,O45)</f>
        <v>WDWWL</v>
      </c>
      <c r="T45" s="13" t="str">
        <f>_xlfn.CONCAT(R45,"***",S45)</f>
        <v>WLWDL***WDWWL</v>
      </c>
      <c r="U45" s="19">
        <f>(P45-Q45)</f>
        <v>-9</v>
      </c>
      <c r="V45" s="14">
        <v>0</v>
      </c>
      <c r="W45" s="14">
        <v>1</v>
      </c>
      <c r="X45" s="20" t="str">
        <f>IF(ISBLANK(V45),"",IF(V45&gt;W45,"1",IF(V45&lt;W45,"2",IF(V45=W45,"X"))))</f>
        <v>2</v>
      </c>
      <c r="Y45" s="23" t="str">
        <f>COUNTIF(F45:J45, "W")&amp;COUNTIF(F45:J45, "d")&amp;COUNTIF(F45:J45, "l")</f>
        <v>212</v>
      </c>
      <c r="Z45" s="13" t="str">
        <f>COUNTIF(K45:O45, "W")&amp;COUNTIF(K45:O45, "d")&amp;COUNTIF(K45:O45, "l")</f>
        <v>311</v>
      </c>
      <c r="AA45" s="23" t="str">
        <f>_xlfn.CONCAT(Y45,"-",Z45)</f>
        <v>212-311</v>
      </c>
      <c r="AB45" s="15" t="str">
        <f>_xlfn.CONCAT(AA45,"…",TEXT(U45,"+00;-00;+00;"))</f>
        <v>212-311…-09</v>
      </c>
      <c r="AC45" s="23" t="str">
        <f>_xlfn.CONCAT(TEXT(P45,"+00;-00;+00;"),"…",TEXT(Q45,"+00;-00;+00;"))</f>
        <v>-25…-16</v>
      </c>
      <c r="AD45" s="14" t="str">
        <f>IF(X45="","?","")</f>
        <v/>
      </c>
      <c r="AE45" s="15" t="str">
        <f>_xlfn.CONCAT(AA45,"…",TEXT(P45,"+00;-00;+00;"),"...",TEXT(Q45,"+00;-00;+00;"))</f>
        <v>212-311…-25...-16</v>
      </c>
      <c r="AF45" s="13" t="str">
        <f>_xlfn.CONCAT(R45,"…",TEXT(P45,"+00;-00;+00;"),"...",TEXT(Q45,"+00;-00;+00;"))</f>
        <v>WLWDL…-25...-16</v>
      </c>
    </row>
    <row r="46" spans="1:32" x14ac:dyDescent="0.25">
      <c r="A46" s="12" t="s">
        <v>419</v>
      </c>
      <c r="B46" s="13" t="s">
        <v>417</v>
      </c>
      <c r="C46" s="14">
        <v>1</v>
      </c>
      <c r="D46" s="13" t="s">
        <v>430</v>
      </c>
      <c r="E46" s="13" t="s">
        <v>431</v>
      </c>
      <c r="F46" s="15" t="s">
        <v>29</v>
      </c>
      <c r="G46" s="15" t="s">
        <v>30</v>
      </c>
      <c r="H46" s="15" t="s">
        <v>29</v>
      </c>
      <c r="I46" s="15" t="s">
        <v>30</v>
      </c>
      <c r="J46" s="15" t="s">
        <v>31</v>
      </c>
      <c r="K46" s="15" t="s">
        <v>31</v>
      </c>
      <c r="L46" s="15" t="s">
        <v>31</v>
      </c>
      <c r="M46" s="15" t="s">
        <v>31</v>
      </c>
      <c r="N46" s="15" t="s">
        <v>31</v>
      </c>
      <c r="O46" s="15" t="s">
        <v>31</v>
      </c>
      <c r="P46" s="16">
        <v>10</v>
      </c>
      <c r="Q46" s="16">
        <v>-19</v>
      </c>
      <c r="R46" s="13" t="str">
        <f>_xlfn.CONCAT(F46,G46,H46,I46,J46)</f>
        <v>DWDWL</v>
      </c>
      <c r="S46" s="13" t="str">
        <f>_xlfn.CONCAT(K46,L46,M46,N46,O46)</f>
        <v>LLLLL</v>
      </c>
      <c r="T46" s="13" t="str">
        <f>_xlfn.CONCAT(R46,"***",S46)</f>
        <v>DWDWL***LLLLL</v>
      </c>
      <c r="U46" s="19">
        <f>(P46-Q46)</f>
        <v>29</v>
      </c>
      <c r="V46" s="14">
        <v>3</v>
      </c>
      <c r="W46" s="14">
        <v>0</v>
      </c>
      <c r="X46" s="20" t="str">
        <f>IF(ISBLANK(V46),"",IF(V46&gt;W46,"1",IF(V46&lt;W46,"2",IF(V46=W46,"X"))))</f>
        <v>1</v>
      </c>
      <c r="Y46" s="23" t="str">
        <f>COUNTIF(F46:J46, "W")&amp;COUNTIF(F46:J46, "d")&amp;COUNTIF(F46:J46, "l")</f>
        <v>221</v>
      </c>
      <c r="Z46" s="13" t="str">
        <f>COUNTIF(K46:O46, "W")&amp;COUNTIF(K46:O46, "d")&amp;COUNTIF(K46:O46, "l")</f>
        <v>005</v>
      </c>
      <c r="AA46" s="23" t="str">
        <f>_xlfn.CONCAT(Y46,"-",Z46)</f>
        <v>221-005</v>
      </c>
      <c r="AB46" s="15" t="str">
        <f>_xlfn.CONCAT(AA46,"…",TEXT(U46,"+00;-00;+00;"))</f>
        <v>221-005…+29</v>
      </c>
      <c r="AC46" s="23" t="str">
        <f>_xlfn.CONCAT(TEXT(P46,"+00;-00;+00;"),"…",TEXT(Q46,"+00;-00;+00;"))</f>
        <v>+10…-19</v>
      </c>
      <c r="AD46" s="14" t="str">
        <f>IF(X46="","?","")</f>
        <v/>
      </c>
      <c r="AE46" s="15" t="str">
        <f>_xlfn.CONCAT(AA46,"…",TEXT(P46,"+00;-00;+00;"),"...",TEXT(Q46,"+00;-00;+00;"))</f>
        <v>221-005…+10...-19</v>
      </c>
      <c r="AF46" s="13" t="str">
        <f>_xlfn.CONCAT(R46,"…",TEXT(P46,"+00;-00;+00;"),"...",TEXT(Q46,"+00;-00;+00;"))</f>
        <v>DWDWL…+10...-19</v>
      </c>
    </row>
    <row r="47" spans="1:32" s="8" customFormat="1" x14ac:dyDescent="0.25">
      <c r="A47" s="12" t="s">
        <v>419</v>
      </c>
      <c r="B47" s="13" t="s">
        <v>417</v>
      </c>
      <c r="C47" s="14">
        <v>1</v>
      </c>
      <c r="D47" s="13" t="s">
        <v>432</v>
      </c>
      <c r="E47" s="13" t="s">
        <v>433</v>
      </c>
      <c r="F47" s="15" t="s">
        <v>31</v>
      </c>
      <c r="G47" s="15" t="s">
        <v>29</v>
      </c>
      <c r="H47" s="15" t="s">
        <v>30</v>
      </c>
      <c r="I47" s="15" t="s">
        <v>29</v>
      </c>
      <c r="J47" s="15" t="s">
        <v>30</v>
      </c>
      <c r="K47" s="15" t="s">
        <v>30</v>
      </c>
      <c r="L47" s="15" t="s">
        <v>31</v>
      </c>
      <c r="M47" s="15" t="s">
        <v>31</v>
      </c>
      <c r="N47" s="15" t="s">
        <v>29</v>
      </c>
      <c r="O47" s="15" t="s">
        <v>30</v>
      </c>
      <c r="P47" s="16">
        <v>14</v>
      </c>
      <c r="Q47" s="16">
        <v>-6</v>
      </c>
      <c r="R47" s="13" t="str">
        <f>_xlfn.CONCAT(F47,G47,H47,I47,J47)</f>
        <v>LDWDW</v>
      </c>
      <c r="S47" s="13" t="str">
        <f>_xlfn.CONCAT(K47,L47,M47,N47,O47)</f>
        <v>WLLDW</v>
      </c>
      <c r="T47" s="13" t="str">
        <f>_xlfn.CONCAT(R47,"***",S47)</f>
        <v>LDWDW***WLLDW</v>
      </c>
      <c r="U47" s="19">
        <f>(P47-Q47)</f>
        <v>20</v>
      </c>
      <c r="V47" s="14">
        <v>2</v>
      </c>
      <c r="W47" s="14">
        <v>3</v>
      </c>
      <c r="X47" s="20" t="str">
        <f>IF(ISBLANK(V47),"",IF(V47&gt;W47,"1",IF(V47&lt;W47,"2",IF(V47=W47,"X"))))</f>
        <v>2</v>
      </c>
      <c r="Y47" s="23" t="str">
        <f>COUNTIF(F47:J47, "W")&amp;COUNTIF(F47:J47, "d")&amp;COUNTIF(F47:J47, "l")</f>
        <v>221</v>
      </c>
      <c r="Z47" s="13" t="str">
        <f>COUNTIF(K47:O47, "W")&amp;COUNTIF(K47:O47, "d")&amp;COUNTIF(K47:O47, "l")</f>
        <v>212</v>
      </c>
      <c r="AA47" s="23" t="str">
        <f>_xlfn.CONCAT(Y47,"-",Z47)</f>
        <v>221-212</v>
      </c>
      <c r="AB47" s="15" t="str">
        <f>_xlfn.CONCAT(AA47,"…",TEXT(U47,"+00;-00;+00;"))</f>
        <v>221-212…+20</v>
      </c>
      <c r="AC47" s="23" t="str">
        <f>_xlfn.CONCAT(TEXT(P47,"+00;-00;+00;"),"…",TEXT(Q47,"+00;-00;+00;"))</f>
        <v>+14…-06</v>
      </c>
      <c r="AD47" s="14" t="str">
        <f>IF(X47="","?","")</f>
        <v/>
      </c>
      <c r="AE47" s="15" t="str">
        <f>_xlfn.CONCAT(AA47,"…",TEXT(P47,"+00;-00;+00;"),"...",TEXT(Q47,"+00;-00;+00;"))</f>
        <v>221-212…+14...-06</v>
      </c>
      <c r="AF47" s="13" t="str">
        <f>_xlfn.CONCAT(R47,"…",TEXT(P47,"+00;-00;+00;"),"...",TEXT(Q47,"+00;-00;+00;"))</f>
        <v>LDWDW…+14...-06</v>
      </c>
    </row>
    <row r="48" spans="1:32" s="8" customFormat="1" x14ac:dyDescent="0.25">
      <c r="A48" s="12" t="s">
        <v>419</v>
      </c>
      <c r="B48" s="13" t="s">
        <v>417</v>
      </c>
      <c r="C48" s="14">
        <v>1</v>
      </c>
      <c r="D48" s="13" t="s">
        <v>434</v>
      </c>
      <c r="E48" s="13" t="s">
        <v>435</v>
      </c>
      <c r="F48" s="15" t="s">
        <v>30</v>
      </c>
      <c r="G48" s="15" t="s">
        <v>29</v>
      </c>
      <c r="H48" s="15" t="s">
        <v>30</v>
      </c>
      <c r="I48" s="15" t="s">
        <v>30</v>
      </c>
      <c r="J48" s="15" t="s">
        <v>30</v>
      </c>
      <c r="K48" s="15" t="s">
        <v>31</v>
      </c>
      <c r="L48" s="15" t="s">
        <v>30</v>
      </c>
      <c r="M48" s="15" t="s">
        <v>29</v>
      </c>
      <c r="N48" s="15" t="s">
        <v>31</v>
      </c>
      <c r="O48" s="15" t="s">
        <v>29</v>
      </c>
      <c r="P48" s="16">
        <v>29</v>
      </c>
      <c r="Q48" s="16">
        <v>6</v>
      </c>
      <c r="R48" s="13" t="str">
        <f>_xlfn.CONCAT(F48,G48,H48,I48,J48)</f>
        <v>WDWWW</v>
      </c>
      <c r="S48" s="13" t="str">
        <f>_xlfn.CONCAT(K48,L48,M48,N48,O48)</f>
        <v>LWDLD</v>
      </c>
      <c r="T48" s="13" t="str">
        <f>_xlfn.CONCAT(R48,"***",S48)</f>
        <v>WDWWW***LWDLD</v>
      </c>
      <c r="U48" s="19">
        <f>(P48-Q48)</f>
        <v>23</v>
      </c>
      <c r="V48" s="14">
        <v>2</v>
      </c>
      <c r="W48" s="14">
        <v>1</v>
      </c>
      <c r="X48" s="20" t="str">
        <f>IF(ISBLANK(V48),"",IF(V48&gt;W48,"1",IF(V48&lt;W48,"2",IF(V48=W48,"X"))))</f>
        <v>1</v>
      </c>
      <c r="Y48" s="23" t="str">
        <f>COUNTIF(F48:J48, "W")&amp;COUNTIF(F48:J48, "d")&amp;COUNTIF(F48:J48, "l")</f>
        <v>410</v>
      </c>
      <c r="Z48" s="13" t="str">
        <f>COUNTIF(K48:O48, "W")&amp;COUNTIF(K48:O48, "d")&amp;COUNTIF(K48:O48, "l")</f>
        <v>122</v>
      </c>
      <c r="AA48" s="23" t="str">
        <f>_xlfn.CONCAT(Y48,"-",Z48)</f>
        <v>410-122</v>
      </c>
      <c r="AB48" s="15" t="str">
        <f>_xlfn.CONCAT(AA48,"…",TEXT(U48,"+00;-00;+00;"))</f>
        <v>410-122…+23</v>
      </c>
      <c r="AC48" s="23" t="str">
        <f>_xlfn.CONCAT(TEXT(P48,"+00;-00;+00;"),"…",TEXT(Q48,"+00;-00;+00;"))</f>
        <v>+29…+06</v>
      </c>
      <c r="AD48" s="14" t="str">
        <f>IF(X48="","?","")</f>
        <v/>
      </c>
      <c r="AE48" s="15" t="str">
        <f>_xlfn.CONCAT(AA48,"…",TEXT(P48,"+00;-00;+00;"),"...",TEXT(Q48,"+00;-00;+00;"))</f>
        <v>410-122…+29...+06</v>
      </c>
      <c r="AF48" s="13" t="str">
        <f>_xlfn.CONCAT(R48,"…",TEXT(P48,"+00;-00;+00;"),"...",TEXT(Q48,"+00;-00;+00;"))</f>
        <v>WDWWW…+29...+06</v>
      </c>
    </row>
    <row r="49" spans="1:32" x14ac:dyDescent="0.25">
      <c r="A49" s="12" t="s">
        <v>340</v>
      </c>
      <c r="B49" s="13" t="s">
        <v>339</v>
      </c>
      <c r="C49" s="14">
        <v>1</v>
      </c>
      <c r="D49" s="13" t="s">
        <v>344</v>
      </c>
      <c r="E49" s="13" t="s">
        <v>345</v>
      </c>
      <c r="F49" s="15" t="s">
        <v>31</v>
      </c>
      <c r="G49" s="15" t="s">
        <v>31</v>
      </c>
      <c r="H49" s="15" t="s">
        <v>31</v>
      </c>
      <c r="I49" s="15" t="s">
        <v>31</v>
      </c>
      <c r="J49" s="15" t="s">
        <v>30</v>
      </c>
      <c r="K49" s="15" t="s">
        <v>30</v>
      </c>
      <c r="L49" s="15" t="s">
        <v>31</v>
      </c>
      <c r="M49" s="15" t="s">
        <v>31</v>
      </c>
      <c r="N49" s="15" t="s">
        <v>31</v>
      </c>
      <c r="O49" s="15" t="s">
        <v>30</v>
      </c>
      <c r="P49" s="16">
        <v>-13</v>
      </c>
      <c r="Q49" s="16">
        <v>4</v>
      </c>
      <c r="R49" s="13" t="str">
        <f>_xlfn.CONCAT(F49,G49,H49,I49,J49)</f>
        <v>LLLLW</v>
      </c>
      <c r="S49" s="13" t="str">
        <f>_xlfn.CONCAT(K49,L49,M49,N49,O49)</f>
        <v>WLLLW</v>
      </c>
      <c r="T49" s="13" t="str">
        <f>_xlfn.CONCAT(R49,"***",S49)</f>
        <v>LLLLW***WLLLW</v>
      </c>
      <c r="U49" s="19">
        <f>(P49-Q49)</f>
        <v>-17</v>
      </c>
      <c r="V49" s="14">
        <v>2</v>
      </c>
      <c r="W49" s="14">
        <v>1</v>
      </c>
      <c r="X49" s="20" t="str">
        <f>IF(ISBLANK(V49),"",IF(V49&gt;W49,"1",IF(V49&lt;W49,"2",IF(V49=W49,"X"))))</f>
        <v>1</v>
      </c>
      <c r="Y49" s="23" t="str">
        <f>COUNTIF(F49:J49, "W")&amp;COUNTIF(F49:J49, "d")&amp;COUNTIF(F49:J49, "l")</f>
        <v>104</v>
      </c>
      <c r="Z49" s="13" t="str">
        <f>COUNTIF(K49:O49, "W")&amp;COUNTIF(K49:O49, "d")&amp;COUNTIF(K49:O49, "l")</f>
        <v>203</v>
      </c>
      <c r="AA49" s="23" t="str">
        <f>_xlfn.CONCAT(Y49,"-",Z49)</f>
        <v>104-203</v>
      </c>
      <c r="AB49" s="15" t="str">
        <f>_xlfn.CONCAT(AA49,"…",TEXT(U49,"+00;-00;+00;"))</f>
        <v>104-203…-17</v>
      </c>
      <c r="AC49" s="23" t="str">
        <f>_xlfn.CONCAT(TEXT(P49,"+00;-00;+00;"),"…",TEXT(Q49,"+00;-00;+00;"))</f>
        <v>-13…+04</v>
      </c>
      <c r="AD49" s="14" t="str">
        <f>IF(X49="","?","")</f>
        <v/>
      </c>
      <c r="AE49" s="15" t="str">
        <f>_xlfn.CONCAT(AA49,"…",TEXT(P49,"+00;-00;+00;"),"...",TEXT(Q49,"+00;-00;+00;"))</f>
        <v>104-203…-13...+04</v>
      </c>
      <c r="AF49" s="13" t="str">
        <f>_xlfn.CONCAT(R49,"…",TEXT(P49,"+00;-00;+00;"),"...",TEXT(Q49,"+00;-00;+00;"))</f>
        <v>LLLLW…-13...+04</v>
      </c>
    </row>
    <row r="50" spans="1:32" x14ac:dyDescent="0.25">
      <c r="A50" s="12" t="s">
        <v>229</v>
      </c>
      <c r="B50" s="13" t="s">
        <v>208</v>
      </c>
      <c r="C50" s="14">
        <v>2</v>
      </c>
      <c r="D50" s="13" t="s">
        <v>248</v>
      </c>
      <c r="E50" s="13" t="s">
        <v>240</v>
      </c>
      <c r="F50" s="15" t="s">
        <v>31</v>
      </c>
      <c r="G50" s="15" t="s">
        <v>29</v>
      </c>
      <c r="H50" s="15" t="s">
        <v>31</v>
      </c>
      <c r="I50" s="15" t="s">
        <v>31</v>
      </c>
      <c r="J50" s="15" t="s">
        <v>29</v>
      </c>
      <c r="K50" s="15" t="s">
        <v>31</v>
      </c>
      <c r="L50" s="15" t="s">
        <v>31</v>
      </c>
      <c r="M50" s="15" t="s">
        <v>31</v>
      </c>
      <c r="N50" s="15" t="s">
        <v>31</v>
      </c>
      <c r="O50" s="15" t="s">
        <v>29</v>
      </c>
      <c r="P50" s="16">
        <v>-17</v>
      </c>
      <c r="Q50" s="16">
        <v>-2</v>
      </c>
      <c r="R50" s="13" t="str">
        <f>_xlfn.CONCAT(F50,G50,H50,I50,J50)</f>
        <v>LDLLD</v>
      </c>
      <c r="S50" s="13" t="str">
        <f>_xlfn.CONCAT(K50,L50,M50,N50,O50)</f>
        <v>LLLLD</v>
      </c>
      <c r="T50" s="13" t="str">
        <f>_xlfn.CONCAT(R50,"***",S50)</f>
        <v>LDLLD***LLLLD</v>
      </c>
      <c r="U50" s="19">
        <f>(P50-Q50)</f>
        <v>-15</v>
      </c>
      <c r="V50" s="14">
        <v>0</v>
      </c>
      <c r="W50" s="14">
        <v>2</v>
      </c>
      <c r="X50" s="20" t="str">
        <f>IF(ISBLANK(V50),"",IF(V50&gt;W50,"1",IF(V50&lt;W50,"2",IF(V50=W50,"X"))))</f>
        <v>2</v>
      </c>
      <c r="Y50" s="23" t="str">
        <f>COUNTIF(F50:J50, "W")&amp;COUNTIF(F50:J50, "d")&amp;COUNTIF(F50:J50, "l")</f>
        <v>023</v>
      </c>
      <c r="Z50" s="13" t="str">
        <f>COUNTIF(K50:O50, "W")&amp;COUNTIF(K50:O50, "d")&amp;COUNTIF(K50:O50, "l")</f>
        <v>014</v>
      </c>
      <c r="AA50" s="23" t="str">
        <f>_xlfn.CONCAT(Y50,"-",Z50)</f>
        <v>023-014</v>
      </c>
      <c r="AB50" s="15" t="str">
        <f>_xlfn.CONCAT(AA50,"…",TEXT(U50,"+00;-00;+00;"))</f>
        <v>023-014…-15</v>
      </c>
      <c r="AC50" s="23" t="str">
        <f>_xlfn.CONCAT(TEXT(P50,"+00;-00;+00;"),"…",TEXT(Q50,"+00;-00;+00;"))</f>
        <v>-17…-02</v>
      </c>
      <c r="AD50" s="14" t="str">
        <f>IF(X50="","?","")</f>
        <v/>
      </c>
      <c r="AE50" s="15" t="str">
        <f>_xlfn.CONCAT(AA50,"…",TEXT(P50,"+00;-00;+00;"),"...",TEXT(Q50,"+00;-00;+00;"))</f>
        <v>023-014…-17...-02</v>
      </c>
      <c r="AF50" s="13" t="str">
        <f>_xlfn.CONCAT(R50,"…",TEXT(P50,"+00;-00;+00;"),"...",TEXT(Q50,"+00;-00;+00;"))</f>
        <v>LDLLD…-17...-02</v>
      </c>
    </row>
    <row r="51" spans="1:32" x14ac:dyDescent="0.25">
      <c r="A51" s="12" t="s">
        <v>229</v>
      </c>
      <c r="B51" s="13" t="s">
        <v>208</v>
      </c>
      <c r="C51" s="14">
        <v>2</v>
      </c>
      <c r="D51" s="13" t="s">
        <v>238</v>
      </c>
      <c r="E51" s="13" t="s">
        <v>239</v>
      </c>
      <c r="F51" s="15" t="s">
        <v>30</v>
      </c>
      <c r="G51" s="15" t="s">
        <v>29</v>
      </c>
      <c r="H51" s="15" t="s">
        <v>31</v>
      </c>
      <c r="I51" s="15" t="s">
        <v>31</v>
      </c>
      <c r="J51" s="15" t="s">
        <v>31</v>
      </c>
      <c r="K51" s="15" t="s">
        <v>29</v>
      </c>
      <c r="L51" s="15" t="s">
        <v>30</v>
      </c>
      <c r="M51" s="15" t="s">
        <v>30</v>
      </c>
      <c r="N51" s="15" t="s">
        <v>29</v>
      </c>
      <c r="O51" s="15" t="s">
        <v>30</v>
      </c>
      <c r="P51" s="16">
        <v>-5</v>
      </c>
      <c r="Q51" s="16">
        <v>15</v>
      </c>
      <c r="R51" s="13" t="str">
        <f>_xlfn.CONCAT(F51,G51,H51,I51,J51)</f>
        <v>WDLLL</v>
      </c>
      <c r="S51" s="13" t="str">
        <f>_xlfn.CONCAT(K51,L51,M51,N51,O51)</f>
        <v>DWWDW</v>
      </c>
      <c r="T51" s="13" t="str">
        <f>_xlfn.CONCAT(R51,"***",S51)</f>
        <v>WDLLL***DWWDW</v>
      </c>
      <c r="U51" s="19">
        <f>(P51-Q51)</f>
        <v>-20</v>
      </c>
      <c r="V51" s="14">
        <v>2</v>
      </c>
      <c r="W51" s="14">
        <v>3</v>
      </c>
      <c r="X51" s="20" t="str">
        <f>IF(ISBLANK(V51),"",IF(V51&gt;W51,"1",IF(V51&lt;W51,"2",IF(V51=W51,"X"))))</f>
        <v>2</v>
      </c>
      <c r="Y51" s="23" t="str">
        <f>COUNTIF(F51:J51, "W")&amp;COUNTIF(F51:J51, "d")&amp;COUNTIF(F51:J51, "l")</f>
        <v>113</v>
      </c>
      <c r="Z51" s="13" t="str">
        <f>COUNTIF(K51:O51, "W")&amp;COUNTIF(K51:O51, "d")&amp;COUNTIF(K51:O51, "l")</f>
        <v>320</v>
      </c>
      <c r="AA51" s="23" t="str">
        <f>_xlfn.CONCAT(Y51,"-",Z51)</f>
        <v>113-320</v>
      </c>
      <c r="AB51" s="15" t="str">
        <f>_xlfn.CONCAT(AA51,"…",TEXT(U51,"+00;-00;+00;"))</f>
        <v>113-320…-20</v>
      </c>
      <c r="AC51" s="23" t="str">
        <f>_xlfn.CONCAT(TEXT(P51,"+00;-00;+00;"),"…",TEXT(Q51,"+00;-00;+00;"))</f>
        <v>-05…+15</v>
      </c>
      <c r="AD51" s="14" t="str">
        <f>IF(X51="","?","")</f>
        <v/>
      </c>
      <c r="AE51" s="15" t="str">
        <f>_xlfn.CONCAT(AA51,"…",TEXT(P51,"+00;-00;+00;"),"...",TEXT(Q51,"+00;-00;+00;"))</f>
        <v>113-320…-05...+15</v>
      </c>
      <c r="AF51" s="13" t="str">
        <f>_xlfn.CONCAT(R51,"…",TEXT(P51,"+00;-00;+00;"),"...",TEXT(Q51,"+00;-00;+00;"))</f>
        <v>WDLLL…-05...+15</v>
      </c>
    </row>
    <row r="52" spans="1:32" x14ac:dyDescent="0.25">
      <c r="A52" s="12" t="s">
        <v>229</v>
      </c>
      <c r="B52" s="13" t="s">
        <v>208</v>
      </c>
      <c r="C52" s="14">
        <v>2</v>
      </c>
      <c r="D52" s="13" t="s">
        <v>236</v>
      </c>
      <c r="E52" s="13" t="s">
        <v>237</v>
      </c>
      <c r="F52" s="15" t="s">
        <v>30</v>
      </c>
      <c r="G52" s="15" t="s">
        <v>31</v>
      </c>
      <c r="H52" s="15" t="s">
        <v>30</v>
      </c>
      <c r="I52" s="15" t="s">
        <v>30</v>
      </c>
      <c r="J52" s="15" t="s">
        <v>29</v>
      </c>
      <c r="K52" s="15" t="s">
        <v>31</v>
      </c>
      <c r="L52" s="15" t="s">
        <v>30</v>
      </c>
      <c r="M52" s="15" t="s">
        <v>31</v>
      </c>
      <c r="N52" s="15" t="s">
        <v>29</v>
      </c>
      <c r="O52" s="15" t="s">
        <v>30</v>
      </c>
      <c r="P52" s="16">
        <v>0</v>
      </c>
      <c r="Q52" s="16">
        <v>-2</v>
      </c>
      <c r="R52" s="13" t="str">
        <f>_xlfn.CONCAT(F52,G52,H52,I52,J52)</f>
        <v>WLWWD</v>
      </c>
      <c r="S52" s="13" t="str">
        <f>_xlfn.CONCAT(K52,L52,M52,N52,O52)</f>
        <v>LWLDW</v>
      </c>
      <c r="T52" s="13" t="str">
        <f>_xlfn.CONCAT(R52,"***",S52)</f>
        <v>WLWWD***LWLDW</v>
      </c>
      <c r="U52" s="19">
        <f>(P52-Q52)</f>
        <v>2</v>
      </c>
      <c r="V52" s="14">
        <v>4</v>
      </c>
      <c r="W52" s="14">
        <v>1</v>
      </c>
      <c r="X52" s="20" t="str">
        <f>IF(ISBLANK(V52),"",IF(V52&gt;W52,"1",IF(V52&lt;W52,"2",IF(V52=W52,"X"))))</f>
        <v>1</v>
      </c>
      <c r="Y52" s="23" t="str">
        <f>COUNTIF(F52:J52, "W")&amp;COUNTIF(F52:J52, "d")&amp;COUNTIF(F52:J52, "l")</f>
        <v>311</v>
      </c>
      <c r="Z52" s="13" t="str">
        <f>COUNTIF(K52:O52, "W")&amp;COUNTIF(K52:O52, "d")&amp;COUNTIF(K52:O52, "l")</f>
        <v>212</v>
      </c>
      <c r="AA52" s="23" t="str">
        <f>_xlfn.CONCAT(Y52,"-",Z52)</f>
        <v>311-212</v>
      </c>
      <c r="AB52" s="15" t="str">
        <f>_xlfn.CONCAT(AA52,"…",TEXT(U52,"+00;-00;+00;"))</f>
        <v>311-212…+02</v>
      </c>
      <c r="AC52" s="23" t="str">
        <f>_xlfn.CONCAT(TEXT(P52,"+00;-00;+00;"),"…",TEXT(Q52,"+00;-00;+00;"))</f>
        <v>+00…-02</v>
      </c>
      <c r="AD52" s="14" t="str">
        <f>IF(X52="","?","")</f>
        <v/>
      </c>
      <c r="AE52" s="15" t="str">
        <f>_xlfn.CONCAT(AA52,"…",TEXT(P52,"+00;-00;+00;"),"...",TEXT(Q52,"+00;-00;+00;"))</f>
        <v>311-212…+00...-02</v>
      </c>
      <c r="AF52" s="13" t="str">
        <f>_xlfn.CONCAT(R52,"…",TEXT(P52,"+00;-00;+00;"),"...",TEXT(Q52,"+00;-00;+00;"))</f>
        <v>WLWWD…+00...-02</v>
      </c>
    </row>
    <row r="53" spans="1:32" x14ac:dyDescent="0.25">
      <c r="A53" s="12" t="s">
        <v>1</v>
      </c>
      <c r="B53" s="13" t="s">
        <v>7</v>
      </c>
      <c r="C53" s="14" t="s">
        <v>8</v>
      </c>
      <c r="D53" s="13" t="s">
        <v>9</v>
      </c>
      <c r="E53" s="13" t="s">
        <v>19</v>
      </c>
      <c r="F53" s="15" t="s">
        <v>29</v>
      </c>
      <c r="G53" s="15" t="s">
        <v>30</v>
      </c>
      <c r="H53" s="15" t="s">
        <v>30</v>
      </c>
      <c r="I53" s="15" t="s">
        <v>30</v>
      </c>
      <c r="J53" s="15" t="s">
        <v>31</v>
      </c>
      <c r="K53" s="15" t="s">
        <v>30</v>
      </c>
      <c r="L53" s="15" t="s">
        <v>29</v>
      </c>
      <c r="M53" s="15" t="s">
        <v>30</v>
      </c>
      <c r="N53" s="15" t="s">
        <v>30</v>
      </c>
      <c r="O53" s="15" t="s">
        <v>29</v>
      </c>
      <c r="P53" s="16">
        <v>20</v>
      </c>
      <c r="Q53" s="16">
        <v>17</v>
      </c>
      <c r="R53" s="13" t="str">
        <f>_xlfn.CONCAT(F53,G53,H53,I53,J53)</f>
        <v>DWWWL</v>
      </c>
      <c r="S53" s="13" t="str">
        <f>_xlfn.CONCAT(K53,L53,M53,N53,O53)</f>
        <v>WDWWD</v>
      </c>
      <c r="T53" s="13" t="str">
        <f>_xlfn.CONCAT(R53,"***",S53)</f>
        <v>DWWWL***WDWWD</v>
      </c>
      <c r="U53" s="19">
        <f>(P53-Q53)</f>
        <v>3</v>
      </c>
      <c r="V53" s="14">
        <v>1</v>
      </c>
      <c r="W53" s="14">
        <v>1</v>
      </c>
      <c r="X53" s="20" t="str">
        <f>IF(ISBLANK(V53),"",IF(V53&gt;W53,"1",IF(V53&lt;W53,"2",IF(V53=W53,"X"))))</f>
        <v>X</v>
      </c>
      <c r="Y53" s="23" t="str">
        <f>COUNTIF(F53:J53, "W")&amp;COUNTIF(F53:J53, "d")&amp;COUNTIF(F53:J53, "l")</f>
        <v>311</v>
      </c>
      <c r="Z53" s="13" t="str">
        <f>COUNTIF(K53:O53, "W")&amp;COUNTIF(K53:O53, "d")&amp;COUNTIF(K53:O53, "l")</f>
        <v>320</v>
      </c>
      <c r="AA53" s="23" t="str">
        <f>_xlfn.CONCAT(Y53,"-",Z53)</f>
        <v>311-320</v>
      </c>
      <c r="AB53" s="15" t="str">
        <f>_xlfn.CONCAT(AA53,"…",TEXT(U53,"+00;-00;+00;"))</f>
        <v>311-320…+03</v>
      </c>
      <c r="AC53" s="23" t="str">
        <f>_xlfn.CONCAT(TEXT(P53,"+00;-00;+00;"),"…",TEXT(Q53,"+00;-00;+00;"))</f>
        <v>+20…+17</v>
      </c>
      <c r="AD53" s="14" t="str">
        <f>IF(X53="","?","")</f>
        <v/>
      </c>
      <c r="AE53" s="15" t="str">
        <f>_xlfn.CONCAT(AA53,"…",TEXT(P53,"+00;-00;+00;"),"...",TEXT(Q53,"+00;-00;+00;"))</f>
        <v>311-320…+20...+17</v>
      </c>
      <c r="AF53" s="13" t="str">
        <f>_xlfn.CONCAT(R53,"…",TEXT(P53,"+00;-00;+00;"),"...",TEXT(Q53,"+00;-00;+00;"))</f>
        <v>DWWWL…+20...+17</v>
      </c>
    </row>
    <row r="54" spans="1:32" x14ac:dyDescent="0.25">
      <c r="A54" s="12" t="s">
        <v>62</v>
      </c>
      <c r="B54" s="13" t="s">
        <v>339</v>
      </c>
      <c r="C54" s="14">
        <v>1</v>
      </c>
      <c r="D54" s="13" t="s">
        <v>348</v>
      </c>
      <c r="E54" s="13" t="s">
        <v>349</v>
      </c>
      <c r="F54" s="15" t="s">
        <v>31</v>
      </c>
      <c r="G54" s="15" t="s">
        <v>29</v>
      </c>
      <c r="H54" s="15" t="s">
        <v>31</v>
      </c>
      <c r="I54" s="15" t="s">
        <v>31</v>
      </c>
      <c r="J54" s="15" t="s">
        <v>31</v>
      </c>
      <c r="K54" s="15" t="s">
        <v>31</v>
      </c>
      <c r="L54" s="15" t="s">
        <v>31</v>
      </c>
      <c r="M54" s="15" t="s">
        <v>30</v>
      </c>
      <c r="N54" s="15" t="s">
        <v>30</v>
      </c>
      <c r="O54" s="15" t="s">
        <v>31</v>
      </c>
      <c r="P54" s="16">
        <v>-7</v>
      </c>
      <c r="Q54" s="16">
        <v>-2</v>
      </c>
      <c r="R54" s="13" t="str">
        <f>_xlfn.CONCAT(F54,G54,H54,I54,J54)</f>
        <v>LDLLL</v>
      </c>
      <c r="S54" s="13" t="str">
        <f>_xlfn.CONCAT(K54,L54,M54,N54,O54)</f>
        <v>LLWWL</v>
      </c>
      <c r="T54" s="13" t="str">
        <f>_xlfn.CONCAT(R54,"***",S54)</f>
        <v>LDLLL***LLWWL</v>
      </c>
      <c r="U54" s="19">
        <f>(P54-Q54)</f>
        <v>-5</v>
      </c>
      <c r="V54" s="14">
        <v>2</v>
      </c>
      <c r="W54" s="14">
        <v>0</v>
      </c>
      <c r="X54" s="20" t="str">
        <f>IF(ISBLANK(V54),"",IF(V54&gt;W54,"1",IF(V54&lt;W54,"2",IF(V54=W54,"X"))))</f>
        <v>1</v>
      </c>
      <c r="Y54" s="23" t="str">
        <f>COUNTIF(F54:J54, "W")&amp;COUNTIF(F54:J54, "d")&amp;COUNTIF(F54:J54, "l")</f>
        <v>014</v>
      </c>
      <c r="Z54" s="13" t="str">
        <f>COUNTIF(K54:O54, "W")&amp;COUNTIF(K54:O54, "d")&amp;COUNTIF(K54:O54, "l")</f>
        <v>203</v>
      </c>
      <c r="AA54" s="23" t="str">
        <f>_xlfn.CONCAT(Y54,"-",Z54)</f>
        <v>014-203</v>
      </c>
      <c r="AB54" s="15" t="str">
        <f>_xlfn.CONCAT(AA54,"…",TEXT(U54,"+00;-00;+00;"))</f>
        <v>014-203…-05</v>
      </c>
      <c r="AC54" s="23" t="str">
        <f>_xlfn.CONCAT(TEXT(P54,"+00;-00;+00;"),"…",TEXT(Q54,"+00;-00;+00;"))</f>
        <v>-07…-02</v>
      </c>
      <c r="AD54" s="14" t="str">
        <f>IF(X54="","?","")</f>
        <v/>
      </c>
      <c r="AE54" s="15" t="str">
        <f>_xlfn.CONCAT(AA54,"…",TEXT(P54,"+00;-00;+00;"),"...",TEXT(Q54,"+00;-00;+00;"))</f>
        <v>014-203…-07...-02</v>
      </c>
      <c r="AF54" s="13" t="str">
        <f>_xlfn.CONCAT(R54,"…",TEXT(P54,"+00;-00;+00;"),"...",TEXT(Q54,"+00;-00;+00;"))</f>
        <v>LDLLL…-07...-02</v>
      </c>
    </row>
    <row r="55" spans="1:32" x14ac:dyDescent="0.25">
      <c r="A55" s="12" t="s">
        <v>62</v>
      </c>
      <c r="B55" s="13" t="s">
        <v>59</v>
      </c>
      <c r="C55" s="14" t="s">
        <v>31</v>
      </c>
      <c r="D55" s="13" t="s">
        <v>70</v>
      </c>
      <c r="E55" s="13" t="s">
        <v>69</v>
      </c>
      <c r="F55" s="15" t="s">
        <v>31</v>
      </c>
      <c r="G55" s="15" t="s">
        <v>29</v>
      </c>
      <c r="H55" s="15" t="s">
        <v>29</v>
      </c>
      <c r="I55" s="15" t="s">
        <v>30</v>
      </c>
      <c r="J55" s="15" t="s">
        <v>29</v>
      </c>
      <c r="K55" s="15" t="s">
        <v>30</v>
      </c>
      <c r="L55" s="15" t="s">
        <v>30</v>
      </c>
      <c r="M55" s="15" t="s">
        <v>31</v>
      </c>
      <c r="N55" s="15" t="s">
        <v>30</v>
      </c>
      <c r="O55" s="15" t="s">
        <v>29</v>
      </c>
      <c r="P55" s="16">
        <v>-2</v>
      </c>
      <c r="Q55" s="16">
        <v>13</v>
      </c>
      <c r="R55" s="13" t="str">
        <f>_xlfn.CONCAT(F55,G55,H55,I55,J55)</f>
        <v>LDDWD</v>
      </c>
      <c r="S55" s="13" t="str">
        <f>_xlfn.CONCAT(K55,L55,M55,N55,O55)</f>
        <v>WWLWD</v>
      </c>
      <c r="T55" s="13" t="str">
        <f>_xlfn.CONCAT(R55,"***",S55)</f>
        <v>LDDWD***WWLWD</v>
      </c>
      <c r="U55" s="19">
        <f>(P55-Q55)</f>
        <v>-15</v>
      </c>
      <c r="V55" s="14">
        <v>1</v>
      </c>
      <c r="W55" s="14">
        <v>1</v>
      </c>
      <c r="X55" s="20" t="str">
        <f>IF(ISBLANK(V55),"",IF(V55&gt;W55,"1",IF(V55&lt;W55,"2",IF(V55=W55,"X"))))</f>
        <v>X</v>
      </c>
      <c r="Y55" s="23" t="str">
        <f>COUNTIF(F55:J55, "W")&amp;COUNTIF(F55:J55, "d")&amp;COUNTIF(F55:J55, "l")</f>
        <v>131</v>
      </c>
      <c r="Z55" s="13" t="str">
        <f>COUNTIF(K55:O55, "W")&amp;COUNTIF(K55:O55, "d")&amp;COUNTIF(K55:O55, "l")</f>
        <v>311</v>
      </c>
      <c r="AA55" s="23" t="str">
        <f>_xlfn.CONCAT(Y55,"-",Z55)</f>
        <v>131-311</v>
      </c>
      <c r="AB55" s="15" t="str">
        <f>_xlfn.CONCAT(AA55,"…",TEXT(U55,"+00;-00;+00;"))</f>
        <v>131-311…-15</v>
      </c>
      <c r="AC55" s="23" t="str">
        <f>_xlfn.CONCAT(TEXT(P55,"+00;-00;+00;"),"…",TEXT(Q55,"+00;-00;+00;"))</f>
        <v>-02…+13</v>
      </c>
      <c r="AD55" s="14" t="str">
        <f>IF(X55="","?","")</f>
        <v/>
      </c>
      <c r="AE55" s="15" t="str">
        <f>_xlfn.CONCAT(AA55,"…",TEXT(P55,"+00;-00;+00;"),"...",TEXT(Q55,"+00;-00;+00;"))</f>
        <v>131-311…-02...+13</v>
      </c>
      <c r="AF55" s="13" t="str">
        <f>_xlfn.CONCAT(R55,"…",TEXT(P55,"+00;-00;+00;"),"...",TEXT(Q55,"+00;-00;+00;"))</f>
        <v>LDDWD…-02...+13</v>
      </c>
    </row>
    <row r="56" spans="1:32" x14ac:dyDescent="0.25">
      <c r="A56" s="12" t="s">
        <v>62</v>
      </c>
      <c r="B56" s="13" t="s">
        <v>117</v>
      </c>
      <c r="C56" s="14" t="s">
        <v>33</v>
      </c>
      <c r="D56" s="13" t="s">
        <v>153</v>
      </c>
      <c r="E56" s="13" t="s">
        <v>154</v>
      </c>
      <c r="F56" s="15" t="s">
        <v>30</v>
      </c>
      <c r="G56" s="15" t="s">
        <v>29</v>
      </c>
      <c r="H56" s="15" t="s">
        <v>30</v>
      </c>
      <c r="I56" s="15" t="s">
        <v>31</v>
      </c>
      <c r="J56" s="15" t="s">
        <v>31</v>
      </c>
      <c r="K56" s="15" t="s">
        <v>29</v>
      </c>
      <c r="L56" s="15" t="s">
        <v>29</v>
      </c>
      <c r="M56" s="15" t="s">
        <v>31</v>
      </c>
      <c r="N56" s="15" t="s">
        <v>31</v>
      </c>
      <c r="O56" s="15" t="s">
        <v>29</v>
      </c>
      <c r="P56" s="16">
        <v>2</v>
      </c>
      <c r="Q56" s="16">
        <v>-17</v>
      </c>
      <c r="R56" s="13" t="str">
        <f>_xlfn.CONCAT(F56,G56,H56,I56,J56)</f>
        <v>WDWLL</v>
      </c>
      <c r="S56" s="13" t="str">
        <f>_xlfn.CONCAT(K56,L56,M56,N56,O56)</f>
        <v>DDLLD</v>
      </c>
      <c r="T56" s="13" t="str">
        <f>_xlfn.CONCAT(R56,"***",S56)</f>
        <v>WDWLL***DDLLD</v>
      </c>
      <c r="U56" s="19">
        <f>(P56-Q56)</f>
        <v>19</v>
      </c>
      <c r="V56" s="14">
        <v>2</v>
      </c>
      <c r="W56" s="14">
        <v>1</v>
      </c>
      <c r="X56" s="20" t="str">
        <f>IF(ISBLANK(V56),"",IF(V56&gt;W56,"1",IF(V56&lt;W56,"2",IF(V56=W56,"X"))))</f>
        <v>1</v>
      </c>
      <c r="Y56" s="23" t="str">
        <f>COUNTIF(F56:J56, "W")&amp;COUNTIF(F56:J56, "d")&amp;COUNTIF(F56:J56, "l")</f>
        <v>212</v>
      </c>
      <c r="Z56" s="13" t="str">
        <f>COUNTIF(K56:O56, "W")&amp;COUNTIF(K56:O56, "d")&amp;COUNTIF(K56:O56, "l")</f>
        <v>032</v>
      </c>
      <c r="AA56" s="23" t="str">
        <f>_xlfn.CONCAT(Y56,"-",Z56)</f>
        <v>212-032</v>
      </c>
      <c r="AB56" s="15" t="str">
        <f>_xlfn.CONCAT(AA56,"…",TEXT(U56,"+00;-00;+00;"))</f>
        <v>212-032…+19</v>
      </c>
      <c r="AC56" s="23" t="str">
        <f>_xlfn.CONCAT(TEXT(P56,"+00;-00;+00;"),"…",TEXT(Q56,"+00;-00;+00;"))</f>
        <v>+02…-17</v>
      </c>
      <c r="AD56" s="14" t="str">
        <f>IF(X56="","?","")</f>
        <v/>
      </c>
      <c r="AE56" s="15" t="str">
        <f>_xlfn.CONCAT(AA56,"…",TEXT(P56,"+00;-00;+00;"),"...",TEXT(Q56,"+00;-00;+00;"))</f>
        <v>212-032…+02...-17</v>
      </c>
      <c r="AF56" s="13" t="str">
        <f>_xlfn.CONCAT(R56,"…",TEXT(P56,"+00;-00;+00;"),"...",TEXT(Q56,"+00;-00;+00;"))</f>
        <v>WDWLL…+02...-17</v>
      </c>
    </row>
    <row r="57" spans="1:32" x14ac:dyDescent="0.25">
      <c r="A57" s="12" t="s">
        <v>62</v>
      </c>
      <c r="B57" s="13" t="s">
        <v>117</v>
      </c>
      <c r="C57" s="14" t="s">
        <v>33</v>
      </c>
      <c r="D57" s="13" t="s">
        <v>151</v>
      </c>
      <c r="E57" s="13" t="s">
        <v>152</v>
      </c>
      <c r="F57" s="15" t="s">
        <v>30</v>
      </c>
      <c r="G57" s="15" t="s">
        <v>30</v>
      </c>
      <c r="H57" s="15" t="s">
        <v>31</v>
      </c>
      <c r="I57" s="15" t="s">
        <v>31</v>
      </c>
      <c r="J57" s="15" t="s">
        <v>29</v>
      </c>
      <c r="K57" s="15" t="s">
        <v>31</v>
      </c>
      <c r="L57" s="15" t="s">
        <v>31</v>
      </c>
      <c r="M57" s="15" t="s">
        <v>30</v>
      </c>
      <c r="N57" s="15" t="s">
        <v>30</v>
      </c>
      <c r="O57" s="15" t="s">
        <v>31</v>
      </c>
      <c r="P57" s="16">
        <v>-2</v>
      </c>
      <c r="Q57" s="16">
        <v>2</v>
      </c>
      <c r="R57" s="13" t="str">
        <f>_xlfn.CONCAT(F57,G57,H57,I57,J57)</f>
        <v>WWLLD</v>
      </c>
      <c r="S57" s="13" t="str">
        <f>_xlfn.CONCAT(K57,L57,M57,N57,O57)</f>
        <v>LLWWL</v>
      </c>
      <c r="T57" s="13" t="str">
        <f>_xlfn.CONCAT(R57,"***",S57)</f>
        <v>WWLLD***LLWWL</v>
      </c>
      <c r="U57" s="19">
        <f>(P57-Q57)</f>
        <v>-4</v>
      </c>
      <c r="V57" s="14">
        <v>2</v>
      </c>
      <c r="W57" s="14">
        <v>1</v>
      </c>
      <c r="X57" s="20" t="str">
        <f>IF(ISBLANK(V57),"",IF(V57&gt;W57,"1",IF(V57&lt;W57,"2",IF(V57=W57,"X"))))</f>
        <v>1</v>
      </c>
      <c r="Y57" s="23" t="str">
        <f>COUNTIF(F57:J57, "W")&amp;COUNTIF(F57:J57, "d")&amp;COUNTIF(F57:J57, "l")</f>
        <v>212</v>
      </c>
      <c r="Z57" s="13" t="str">
        <f>COUNTIF(K57:O57, "W")&amp;COUNTIF(K57:O57, "d")&amp;COUNTIF(K57:O57, "l")</f>
        <v>203</v>
      </c>
      <c r="AA57" s="23" t="str">
        <f>_xlfn.CONCAT(Y57,"-",Z57)</f>
        <v>212-203</v>
      </c>
      <c r="AB57" s="15" t="str">
        <f>_xlfn.CONCAT(AA57,"…",TEXT(U57,"+00;-00;+00;"))</f>
        <v>212-203…-04</v>
      </c>
      <c r="AC57" s="23" t="str">
        <f>_xlfn.CONCAT(TEXT(P57,"+00;-00;+00;"),"…",TEXT(Q57,"+00;-00;+00;"))</f>
        <v>-02…+02</v>
      </c>
      <c r="AD57" s="14" t="str">
        <f>IF(X57="","?","")</f>
        <v/>
      </c>
      <c r="AE57" s="15" t="str">
        <f>_xlfn.CONCAT(AA57,"…",TEXT(P57,"+00;-00;+00;"),"...",TEXT(Q57,"+00;-00;+00;"))</f>
        <v>212-203…-02...+02</v>
      </c>
      <c r="AF57" s="13" t="str">
        <f>_xlfn.CONCAT(R57,"…",TEXT(P57,"+00;-00;+00;"),"...",TEXT(Q57,"+00;-00;+00;"))</f>
        <v>WWLLD…-02...+02</v>
      </c>
    </row>
    <row r="58" spans="1:32" x14ac:dyDescent="0.25">
      <c r="A58" s="12" t="s">
        <v>62</v>
      </c>
      <c r="B58" s="13" t="s">
        <v>117</v>
      </c>
      <c r="C58" s="14" t="s">
        <v>33</v>
      </c>
      <c r="D58" s="13" t="s">
        <v>159</v>
      </c>
      <c r="E58" s="13" t="s">
        <v>160</v>
      </c>
      <c r="F58" s="15" t="s">
        <v>31</v>
      </c>
      <c r="G58" s="15" t="s">
        <v>29</v>
      </c>
      <c r="H58" s="15" t="s">
        <v>30</v>
      </c>
      <c r="I58" s="15" t="s">
        <v>30</v>
      </c>
      <c r="J58" s="15" t="s">
        <v>29</v>
      </c>
      <c r="K58" s="15" t="s">
        <v>31</v>
      </c>
      <c r="L58" s="15" t="s">
        <v>31</v>
      </c>
      <c r="M58" s="15" t="s">
        <v>31</v>
      </c>
      <c r="N58" s="15" t="s">
        <v>30</v>
      </c>
      <c r="O58" s="15" t="s">
        <v>29</v>
      </c>
      <c r="P58" s="16">
        <v>-3</v>
      </c>
      <c r="Q58" s="16">
        <v>-4</v>
      </c>
      <c r="R58" s="13" t="str">
        <f>_xlfn.CONCAT(F58,G58,H58,I58,J58)</f>
        <v>LDWWD</v>
      </c>
      <c r="S58" s="13" t="str">
        <f>_xlfn.CONCAT(K58,L58,M58,N58,O58)</f>
        <v>LLLWD</v>
      </c>
      <c r="T58" s="13" t="str">
        <f>_xlfn.CONCAT(R58,"***",S58)</f>
        <v>LDWWD***LLLWD</v>
      </c>
      <c r="U58" s="19">
        <f>(P58-Q58)</f>
        <v>1</v>
      </c>
      <c r="V58" s="14">
        <v>1</v>
      </c>
      <c r="W58" s="14">
        <v>1</v>
      </c>
      <c r="X58" s="20" t="str">
        <f>IF(ISBLANK(V58),"",IF(V58&gt;W58,"1",IF(V58&lt;W58,"2",IF(V58=W58,"X"))))</f>
        <v>X</v>
      </c>
      <c r="Y58" s="23" t="str">
        <f>COUNTIF(F58:J58, "W")&amp;COUNTIF(F58:J58, "d")&amp;COUNTIF(F58:J58, "l")</f>
        <v>221</v>
      </c>
      <c r="Z58" s="13" t="str">
        <f>COUNTIF(K58:O58, "W")&amp;COUNTIF(K58:O58, "d")&amp;COUNTIF(K58:O58, "l")</f>
        <v>113</v>
      </c>
      <c r="AA58" s="23" t="str">
        <f>_xlfn.CONCAT(Y58,"-",Z58)</f>
        <v>221-113</v>
      </c>
      <c r="AB58" s="15" t="str">
        <f>_xlfn.CONCAT(AA58,"…",TEXT(U58,"+00;-00;+00;"))</f>
        <v>221-113…+01</v>
      </c>
      <c r="AC58" s="23" t="str">
        <f>_xlfn.CONCAT(TEXT(P58,"+00;-00;+00;"),"…",TEXT(Q58,"+00;-00;+00;"))</f>
        <v>-03…-04</v>
      </c>
      <c r="AD58" s="14" t="str">
        <f>IF(X58="","?","")</f>
        <v/>
      </c>
      <c r="AE58" s="15" t="str">
        <f>_xlfn.CONCAT(AA58,"…",TEXT(P58,"+00;-00;+00;"),"...",TEXT(Q58,"+00;-00;+00;"))</f>
        <v>221-113…-03...-04</v>
      </c>
      <c r="AF58" s="13" t="str">
        <f>_xlfn.CONCAT(R58,"…",TEXT(P58,"+00;-00;+00;"),"...",TEXT(Q58,"+00;-00;+00;"))</f>
        <v>LDWWD…-03...-04</v>
      </c>
    </row>
    <row r="59" spans="1:32" x14ac:dyDescent="0.25">
      <c r="A59" s="12" t="s">
        <v>62</v>
      </c>
      <c r="B59" s="13" t="s">
        <v>117</v>
      </c>
      <c r="C59" s="14" t="s">
        <v>33</v>
      </c>
      <c r="D59" s="13" t="s">
        <v>149</v>
      </c>
      <c r="E59" s="13" t="s">
        <v>150</v>
      </c>
      <c r="F59" s="15" t="s">
        <v>29</v>
      </c>
      <c r="G59" s="15" t="s">
        <v>30</v>
      </c>
      <c r="H59" s="15" t="s">
        <v>30</v>
      </c>
      <c r="I59" s="15" t="s">
        <v>29</v>
      </c>
      <c r="J59" s="15" t="s">
        <v>29</v>
      </c>
      <c r="K59" s="15" t="s">
        <v>30</v>
      </c>
      <c r="L59" s="15" t="s">
        <v>30</v>
      </c>
      <c r="M59" s="15" t="s">
        <v>30</v>
      </c>
      <c r="N59" s="15" t="s">
        <v>31</v>
      </c>
      <c r="O59" s="15" t="s">
        <v>30</v>
      </c>
      <c r="P59" s="16">
        <v>2</v>
      </c>
      <c r="Q59" s="16">
        <v>8</v>
      </c>
      <c r="R59" s="13" t="str">
        <f>_xlfn.CONCAT(F59,G59,H59,I59,J59)</f>
        <v>DWWDD</v>
      </c>
      <c r="S59" s="13" t="str">
        <f>_xlfn.CONCAT(K59,L59,M59,N59,O59)</f>
        <v>WWWLW</v>
      </c>
      <c r="T59" s="13" t="str">
        <f>_xlfn.CONCAT(R59,"***",S59)</f>
        <v>DWWDD***WWWLW</v>
      </c>
      <c r="U59" s="19">
        <f>(P59-Q59)</f>
        <v>-6</v>
      </c>
      <c r="V59" s="14">
        <v>0</v>
      </c>
      <c r="W59" s="14">
        <v>3</v>
      </c>
      <c r="X59" s="20" t="str">
        <f>IF(ISBLANK(V59),"",IF(V59&gt;W59,"1",IF(V59&lt;W59,"2",IF(V59=W59,"X"))))</f>
        <v>2</v>
      </c>
      <c r="Y59" s="23" t="str">
        <f>COUNTIF(F59:J59, "W")&amp;COUNTIF(F59:J59, "d")&amp;COUNTIF(F59:J59, "l")</f>
        <v>230</v>
      </c>
      <c r="Z59" s="13" t="str">
        <f>COUNTIF(K59:O59, "W")&amp;COUNTIF(K59:O59, "d")&amp;COUNTIF(K59:O59, "l")</f>
        <v>401</v>
      </c>
      <c r="AA59" s="23" t="str">
        <f>_xlfn.CONCAT(Y59,"-",Z59)</f>
        <v>230-401</v>
      </c>
      <c r="AB59" s="15" t="str">
        <f>_xlfn.CONCAT(AA59,"…",TEXT(U59,"+00;-00;+00;"))</f>
        <v>230-401…-06</v>
      </c>
      <c r="AC59" s="23" t="str">
        <f>_xlfn.CONCAT(TEXT(P59,"+00;-00;+00;"),"…",TEXT(Q59,"+00;-00;+00;"))</f>
        <v>+02…+08</v>
      </c>
      <c r="AD59" s="14" t="str">
        <f>IF(X59="","?","")</f>
        <v/>
      </c>
      <c r="AE59" s="15" t="str">
        <f>_xlfn.CONCAT(AA59,"…",TEXT(P59,"+00;-00;+00;"),"...",TEXT(Q59,"+00;-00;+00;"))</f>
        <v>230-401…+02...+08</v>
      </c>
      <c r="AF59" s="13" t="str">
        <f>_xlfn.CONCAT(R59,"…",TEXT(P59,"+00;-00;+00;"),"...",TEXT(Q59,"+00;-00;+00;"))</f>
        <v>DWWDD…+02...+08</v>
      </c>
    </row>
    <row r="60" spans="1:32" x14ac:dyDescent="0.25">
      <c r="A60" s="12" t="s">
        <v>62</v>
      </c>
      <c r="B60" s="13" t="s">
        <v>339</v>
      </c>
      <c r="C60" s="14">
        <v>1</v>
      </c>
      <c r="D60" s="13" t="s">
        <v>346</v>
      </c>
      <c r="E60" s="13" t="s">
        <v>347</v>
      </c>
      <c r="F60" s="15" t="s">
        <v>30</v>
      </c>
      <c r="G60" s="15" t="s">
        <v>30</v>
      </c>
      <c r="H60" s="15" t="s">
        <v>31</v>
      </c>
      <c r="I60" s="15" t="s">
        <v>30</v>
      </c>
      <c r="J60" s="15" t="s">
        <v>31</v>
      </c>
      <c r="K60" s="15" t="s">
        <v>31</v>
      </c>
      <c r="L60" s="15" t="s">
        <v>29</v>
      </c>
      <c r="M60" s="15" t="s">
        <v>30</v>
      </c>
      <c r="N60" s="15" t="s">
        <v>31</v>
      </c>
      <c r="O60" s="15" t="s">
        <v>30</v>
      </c>
      <c r="P60" s="16">
        <v>-5</v>
      </c>
      <c r="Q60" s="16">
        <v>-1</v>
      </c>
      <c r="R60" s="13" t="str">
        <f>_xlfn.CONCAT(F60,G60,H60,I60,J60)</f>
        <v>WWLWL</v>
      </c>
      <c r="S60" s="13" t="str">
        <f>_xlfn.CONCAT(K60,L60,M60,N60,O60)</f>
        <v>LDWLW</v>
      </c>
      <c r="T60" s="13" t="str">
        <f>_xlfn.CONCAT(R60,"***",S60)</f>
        <v>WWLWL***LDWLW</v>
      </c>
      <c r="U60" s="19">
        <f>(P60-Q60)</f>
        <v>-4</v>
      </c>
      <c r="V60" s="14">
        <v>0</v>
      </c>
      <c r="W60" s="14">
        <v>1</v>
      </c>
      <c r="X60" s="20" t="str">
        <f>IF(ISBLANK(V60),"",IF(V60&gt;W60,"1",IF(V60&lt;W60,"2",IF(V60=W60,"X"))))</f>
        <v>2</v>
      </c>
      <c r="Y60" s="23" t="str">
        <f>COUNTIF(F60:J60, "W")&amp;COUNTIF(F60:J60, "d")&amp;COUNTIF(F60:J60, "l")</f>
        <v>302</v>
      </c>
      <c r="Z60" s="13" t="str">
        <f>COUNTIF(K60:O60, "W")&amp;COUNTIF(K60:O60, "d")&amp;COUNTIF(K60:O60, "l")</f>
        <v>212</v>
      </c>
      <c r="AA60" s="23" t="str">
        <f>_xlfn.CONCAT(Y60,"-",Z60)</f>
        <v>302-212</v>
      </c>
      <c r="AB60" s="15" t="str">
        <f>_xlfn.CONCAT(AA60,"…",TEXT(U60,"+00;-00;+00;"))</f>
        <v>302-212…-04</v>
      </c>
      <c r="AC60" s="23" t="str">
        <f>_xlfn.CONCAT(TEXT(P60,"+00;-00;+00;"),"…",TEXT(Q60,"+00;-00;+00;"))</f>
        <v>-05…-01</v>
      </c>
      <c r="AD60" s="14" t="str">
        <f>IF(X60="","?","")</f>
        <v/>
      </c>
      <c r="AE60" s="15" t="str">
        <f>_xlfn.CONCAT(AA60,"…",TEXT(P60,"+00;-00;+00;"),"...",TEXT(Q60,"+00;-00;+00;"))</f>
        <v>302-212…-05...-01</v>
      </c>
      <c r="AF60" s="13" t="str">
        <f>_xlfn.CONCAT(R60,"…",TEXT(P60,"+00;-00;+00;"),"...",TEXT(Q60,"+00;-00;+00;"))</f>
        <v>WWLWL…-05...-01</v>
      </c>
    </row>
    <row r="61" spans="1:32" s="8" customFormat="1" x14ac:dyDescent="0.25">
      <c r="A61" s="12" t="s">
        <v>62</v>
      </c>
      <c r="B61" s="13" t="s">
        <v>117</v>
      </c>
      <c r="C61" s="14" t="s">
        <v>33</v>
      </c>
      <c r="D61" s="13" t="s">
        <v>157</v>
      </c>
      <c r="E61" s="13" t="s">
        <v>158</v>
      </c>
      <c r="F61" s="15" t="s">
        <v>31</v>
      </c>
      <c r="G61" s="15" t="s">
        <v>30</v>
      </c>
      <c r="H61" s="15" t="s">
        <v>30</v>
      </c>
      <c r="I61" s="15" t="s">
        <v>30</v>
      </c>
      <c r="J61" s="15" t="s">
        <v>31</v>
      </c>
      <c r="K61" s="15" t="s">
        <v>31</v>
      </c>
      <c r="L61" s="15" t="s">
        <v>30</v>
      </c>
      <c r="M61" s="15" t="s">
        <v>30</v>
      </c>
      <c r="N61" s="15" t="s">
        <v>30</v>
      </c>
      <c r="O61" s="15" t="s">
        <v>29</v>
      </c>
      <c r="P61" s="16">
        <v>15</v>
      </c>
      <c r="Q61" s="16">
        <v>1</v>
      </c>
      <c r="R61" s="13" t="str">
        <f>_xlfn.CONCAT(F61,G61,H61,I61,J61)</f>
        <v>LWWWL</v>
      </c>
      <c r="S61" s="13" t="str">
        <f>_xlfn.CONCAT(K61,L61,M61,N61,O61)</f>
        <v>LWWWD</v>
      </c>
      <c r="T61" s="13" t="str">
        <f>_xlfn.CONCAT(R61,"***",S61)</f>
        <v>LWWWL***LWWWD</v>
      </c>
      <c r="U61" s="19">
        <f>(P61-Q61)</f>
        <v>14</v>
      </c>
      <c r="V61" s="14">
        <v>1</v>
      </c>
      <c r="W61" s="14">
        <v>1</v>
      </c>
      <c r="X61" s="20" t="str">
        <f>IF(ISBLANK(V61),"",IF(V61&gt;W61,"1",IF(V61&lt;W61,"2",IF(V61=W61,"X"))))</f>
        <v>X</v>
      </c>
      <c r="Y61" s="23" t="str">
        <f>COUNTIF(F61:J61, "W")&amp;COUNTIF(F61:J61, "d")&amp;COUNTIF(F61:J61, "l")</f>
        <v>302</v>
      </c>
      <c r="Z61" s="13" t="str">
        <f>COUNTIF(K61:O61, "W")&amp;COUNTIF(K61:O61, "d")&amp;COUNTIF(K61:O61, "l")</f>
        <v>311</v>
      </c>
      <c r="AA61" s="23" t="str">
        <f>_xlfn.CONCAT(Y61,"-",Z61)</f>
        <v>302-311</v>
      </c>
      <c r="AB61" s="15" t="str">
        <f>_xlfn.CONCAT(AA61,"…",TEXT(U61,"+00;-00;+00;"))</f>
        <v>302-311…+14</v>
      </c>
      <c r="AC61" s="23" t="str">
        <f>_xlfn.CONCAT(TEXT(P61,"+00;-00;+00;"),"…",TEXT(Q61,"+00;-00;+00;"))</f>
        <v>+15…+01</v>
      </c>
      <c r="AD61" s="14" t="str">
        <f>IF(X61="","?","")</f>
        <v/>
      </c>
      <c r="AE61" s="15" t="str">
        <f>_xlfn.CONCAT(AA61,"…",TEXT(P61,"+00;-00;+00;"),"...",TEXT(Q61,"+00;-00;+00;"))</f>
        <v>302-311…+15...+01</v>
      </c>
      <c r="AF61" s="13" t="str">
        <f>_xlfn.CONCAT(R61,"…",TEXT(P61,"+00;-00;+00;"),"...",TEXT(Q61,"+00;-00;+00;"))</f>
        <v>LWWWL…+15...+01</v>
      </c>
    </row>
    <row r="62" spans="1:32" x14ac:dyDescent="0.25">
      <c r="A62" s="12" t="s">
        <v>62</v>
      </c>
      <c r="B62" s="13" t="s">
        <v>117</v>
      </c>
      <c r="C62" s="14" t="s">
        <v>33</v>
      </c>
      <c r="D62" s="13" t="s">
        <v>155</v>
      </c>
      <c r="E62" s="13" t="s">
        <v>156</v>
      </c>
      <c r="F62" s="15" t="s">
        <v>30</v>
      </c>
      <c r="G62" s="15" t="s">
        <v>30</v>
      </c>
      <c r="H62" s="15" t="s">
        <v>30</v>
      </c>
      <c r="I62" s="15" t="s">
        <v>31</v>
      </c>
      <c r="J62" s="15" t="s">
        <v>30</v>
      </c>
      <c r="K62" s="15" t="s">
        <v>30</v>
      </c>
      <c r="L62" s="15" t="s">
        <v>29</v>
      </c>
      <c r="M62" s="15" t="s">
        <v>29</v>
      </c>
      <c r="N62" s="15" t="s">
        <v>30</v>
      </c>
      <c r="O62" s="15" t="s">
        <v>30</v>
      </c>
      <c r="P62" s="16">
        <v>8</v>
      </c>
      <c r="Q62" s="16">
        <v>-7</v>
      </c>
      <c r="R62" s="13" t="str">
        <f>_xlfn.CONCAT(F62,G62,H62,I62,J62)</f>
        <v>WWWLW</v>
      </c>
      <c r="S62" s="13" t="str">
        <f>_xlfn.CONCAT(K62,L62,M62,N62,O62)</f>
        <v>WDDWW</v>
      </c>
      <c r="T62" s="13" t="str">
        <f>_xlfn.CONCAT(R62,"***",S62)</f>
        <v>WWWLW***WDDWW</v>
      </c>
      <c r="U62" s="19">
        <f>(P62-Q62)</f>
        <v>15</v>
      </c>
      <c r="V62" s="14">
        <v>1</v>
      </c>
      <c r="W62" s="14">
        <v>0</v>
      </c>
      <c r="X62" s="20" t="str">
        <f>IF(ISBLANK(V62),"",IF(V62&gt;W62,"1",IF(V62&lt;W62,"2",IF(V62=W62,"X"))))</f>
        <v>1</v>
      </c>
      <c r="Y62" s="23" t="str">
        <f>COUNTIF(F62:J62, "W")&amp;COUNTIF(F62:J62, "d")&amp;COUNTIF(F62:J62, "l")</f>
        <v>401</v>
      </c>
      <c r="Z62" s="13" t="str">
        <f>COUNTIF(K62:O62, "W")&amp;COUNTIF(K62:O62, "d")&amp;COUNTIF(K62:O62, "l")</f>
        <v>320</v>
      </c>
      <c r="AA62" s="23" t="str">
        <f>_xlfn.CONCAT(Y62,"-",Z62)</f>
        <v>401-320</v>
      </c>
      <c r="AB62" s="15" t="str">
        <f>_xlfn.CONCAT(AA62,"…",TEXT(U62,"+00;-00;+00;"))</f>
        <v>401-320…+15</v>
      </c>
      <c r="AC62" s="23" t="str">
        <f>_xlfn.CONCAT(TEXT(P62,"+00;-00;+00;"),"…",TEXT(Q62,"+00;-00;+00;"))</f>
        <v>+08…-07</v>
      </c>
      <c r="AD62" s="14" t="str">
        <f>IF(X62="","?","")</f>
        <v/>
      </c>
      <c r="AE62" s="15" t="str">
        <f>_xlfn.CONCAT(AA62,"…",TEXT(P62,"+00;-00;+00;"),"...",TEXT(Q62,"+00;-00;+00;"))</f>
        <v>401-320…+08...-07</v>
      </c>
      <c r="AF62" s="13" t="str">
        <f>_xlfn.CONCAT(R62,"…",TEXT(P62,"+00;-00;+00;"),"...",TEXT(Q62,"+00;-00;+00;"))</f>
        <v>WWWLW…+08...-07</v>
      </c>
    </row>
    <row r="63" spans="1:32" x14ac:dyDescent="0.25">
      <c r="A63" s="12" t="s">
        <v>118</v>
      </c>
      <c r="B63" s="13" t="s">
        <v>117</v>
      </c>
      <c r="C63" s="14" t="s">
        <v>0</v>
      </c>
      <c r="D63" s="13" t="s">
        <v>126</v>
      </c>
      <c r="E63" s="13" t="s">
        <v>127</v>
      </c>
      <c r="F63" s="15" t="s">
        <v>29</v>
      </c>
      <c r="G63" s="15" t="s">
        <v>31</v>
      </c>
      <c r="H63" s="15" t="s">
        <v>31</v>
      </c>
      <c r="I63" s="15" t="s">
        <v>29</v>
      </c>
      <c r="J63" s="15" t="s">
        <v>31</v>
      </c>
      <c r="K63" s="15" t="s">
        <v>29</v>
      </c>
      <c r="L63" s="15" t="s">
        <v>31</v>
      </c>
      <c r="M63" s="15" t="s">
        <v>30</v>
      </c>
      <c r="N63" s="15" t="s">
        <v>30</v>
      </c>
      <c r="O63" s="15" t="s">
        <v>30</v>
      </c>
      <c r="P63" s="16">
        <v>-16</v>
      </c>
      <c r="Q63" s="16">
        <v>0</v>
      </c>
      <c r="R63" s="13" t="str">
        <f>_xlfn.CONCAT(F63,G63,H63,I63,J63)</f>
        <v>DLLDL</v>
      </c>
      <c r="S63" s="13" t="str">
        <f>_xlfn.CONCAT(K63,L63,M63,N63,O63)</f>
        <v>DLWWW</v>
      </c>
      <c r="T63" s="13" t="str">
        <f>_xlfn.CONCAT(R63,"***",S63)</f>
        <v>DLLDL***DLWWW</v>
      </c>
      <c r="U63" s="19">
        <f>(P63-Q63)</f>
        <v>-16</v>
      </c>
      <c r="V63" s="14">
        <v>2</v>
      </c>
      <c r="W63" s="14">
        <v>1</v>
      </c>
      <c r="X63" s="20" t="str">
        <f>IF(ISBLANK(V63),"",IF(V63&gt;W63,"1",IF(V63&lt;W63,"2",IF(V63=W63,"X"))))</f>
        <v>1</v>
      </c>
      <c r="Y63" s="23" t="str">
        <f>COUNTIF(F63:J63, "W")&amp;COUNTIF(F63:J63, "d")&amp;COUNTIF(F63:J63, "l")</f>
        <v>023</v>
      </c>
      <c r="Z63" s="13" t="str">
        <f>COUNTIF(K63:O63, "W")&amp;COUNTIF(K63:O63, "d")&amp;COUNTIF(K63:O63, "l")</f>
        <v>311</v>
      </c>
      <c r="AA63" s="23" t="str">
        <f>_xlfn.CONCAT(Y63,"-",Z63)</f>
        <v>023-311</v>
      </c>
      <c r="AB63" s="15" t="str">
        <f>_xlfn.CONCAT(AA63,"…",TEXT(U63,"+00;-00;+00;"))</f>
        <v>023-311…-16</v>
      </c>
      <c r="AC63" s="23" t="str">
        <f>_xlfn.CONCAT(TEXT(P63,"+00;-00;+00;"),"…",TEXT(Q63,"+00;-00;+00;"))</f>
        <v>-16…+00</v>
      </c>
      <c r="AD63" s="14" t="str">
        <f>IF(X63="","?","")</f>
        <v/>
      </c>
      <c r="AE63" s="15" t="str">
        <f>_xlfn.CONCAT(AA63,"…",TEXT(P63,"+00;-00;+00;"),"...",TEXT(Q63,"+00;-00;+00;"))</f>
        <v>023-311…-16...+00</v>
      </c>
      <c r="AF63" s="13" t="str">
        <f>_xlfn.CONCAT(R63,"…",TEXT(P63,"+00;-00;+00;"),"...",TEXT(Q63,"+00;-00;+00;"))</f>
        <v>DLLDL…-16...+00</v>
      </c>
    </row>
    <row r="64" spans="1:32" x14ac:dyDescent="0.25">
      <c r="A64" s="12" t="s">
        <v>118</v>
      </c>
      <c r="B64" s="13" t="s">
        <v>167</v>
      </c>
      <c r="C64" s="14">
        <v>2</v>
      </c>
      <c r="D64" s="13" t="s">
        <v>189</v>
      </c>
      <c r="E64" s="13" t="s">
        <v>190</v>
      </c>
      <c r="F64" s="15" t="s">
        <v>31</v>
      </c>
      <c r="G64" s="15" t="s">
        <v>31</v>
      </c>
      <c r="H64" s="15" t="s">
        <v>30</v>
      </c>
      <c r="I64" s="15" t="s">
        <v>30</v>
      </c>
      <c r="J64" s="15" t="s">
        <v>29</v>
      </c>
      <c r="K64" s="15" t="s">
        <v>29</v>
      </c>
      <c r="L64" s="15" t="s">
        <v>30</v>
      </c>
      <c r="M64" s="15" t="s">
        <v>31</v>
      </c>
      <c r="N64" s="15" t="s">
        <v>29</v>
      </c>
      <c r="O64" s="15" t="s">
        <v>30</v>
      </c>
      <c r="P64" s="16">
        <v>3</v>
      </c>
      <c r="Q64" s="16">
        <v>-1</v>
      </c>
      <c r="R64" s="13" t="str">
        <f>_xlfn.CONCAT(F64,G64,H64,I64,J64)</f>
        <v>LLWWD</v>
      </c>
      <c r="S64" s="13" t="str">
        <f>_xlfn.CONCAT(K64,L64,M64,N64,O64)</f>
        <v>DWLDW</v>
      </c>
      <c r="T64" s="13" t="str">
        <f>_xlfn.CONCAT(R64,"***",S64)</f>
        <v>LLWWD***DWLDW</v>
      </c>
      <c r="U64" s="19">
        <f>(P64-Q64)</f>
        <v>4</v>
      </c>
      <c r="V64" s="14">
        <v>1</v>
      </c>
      <c r="W64" s="14">
        <v>2</v>
      </c>
      <c r="X64" s="20" t="str">
        <f>IF(ISBLANK(V64),"",IF(V64&gt;W64,"1",IF(V64&lt;W64,"2",IF(V64=W64,"X"))))</f>
        <v>2</v>
      </c>
      <c r="Y64" s="23" t="str">
        <f>COUNTIF(F64:J64, "W")&amp;COUNTIF(F64:J64, "d")&amp;COUNTIF(F64:J64, "l")</f>
        <v>212</v>
      </c>
      <c r="Z64" s="13" t="str">
        <f>COUNTIF(K64:O64, "W")&amp;COUNTIF(K64:O64, "d")&amp;COUNTIF(K64:O64, "l")</f>
        <v>221</v>
      </c>
      <c r="AA64" s="23" t="str">
        <f>_xlfn.CONCAT(Y64,"-",Z64)</f>
        <v>212-221</v>
      </c>
      <c r="AB64" s="15" t="str">
        <f>_xlfn.CONCAT(AA64,"…",TEXT(U64,"+00;-00;+00;"))</f>
        <v>212-221…+04</v>
      </c>
      <c r="AC64" s="23" t="str">
        <f>_xlfn.CONCAT(TEXT(P64,"+00;-00;+00;"),"…",TEXT(Q64,"+00;-00;+00;"))</f>
        <v>+03…-01</v>
      </c>
      <c r="AD64" s="14" t="str">
        <f>IF(X64="","?","")</f>
        <v/>
      </c>
      <c r="AE64" s="15" t="str">
        <f>_xlfn.CONCAT(AA64,"…",TEXT(P64,"+00;-00;+00;"),"...",TEXT(Q64,"+00;-00;+00;"))</f>
        <v>212-221…+03...-01</v>
      </c>
      <c r="AF64" s="13" t="str">
        <f>_xlfn.CONCAT(R64,"…",TEXT(P64,"+00;-00;+00;"),"...",TEXT(Q64,"+00;-00;+00;"))</f>
        <v>LLWWD…+03...-01</v>
      </c>
    </row>
    <row r="65" spans="1:32" x14ac:dyDescent="0.25">
      <c r="A65" s="12" t="s">
        <v>209</v>
      </c>
      <c r="B65" s="13" t="s">
        <v>208</v>
      </c>
      <c r="C65" s="14">
        <v>1</v>
      </c>
      <c r="D65" s="13" t="s">
        <v>226</v>
      </c>
      <c r="E65" s="13" t="s">
        <v>217</v>
      </c>
      <c r="F65" s="15" t="s">
        <v>31</v>
      </c>
      <c r="G65" s="15" t="s">
        <v>31</v>
      </c>
      <c r="H65" s="15" t="s">
        <v>31</v>
      </c>
      <c r="I65" s="15" t="s">
        <v>31</v>
      </c>
      <c r="J65" s="15" t="s">
        <v>31</v>
      </c>
      <c r="K65" s="15" t="s">
        <v>29</v>
      </c>
      <c r="L65" s="15" t="s">
        <v>29</v>
      </c>
      <c r="M65" s="15" t="s">
        <v>30</v>
      </c>
      <c r="N65" s="15" t="s">
        <v>30</v>
      </c>
      <c r="O65" s="15" t="s">
        <v>31</v>
      </c>
      <c r="P65" s="16">
        <v>-15</v>
      </c>
      <c r="Q65" s="16">
        <v>-3</v>
      </c>
      <c r="R65" s="13" t="str">
        <f>_xlfn.CONCAT(F65,G65,H65,I65,J65)</f>
        <v>LLLLL</v>
      </c>
      <c r="S65" s="13" t="str">
        <f>_xlfn.CONCAT(K65,L65,M65,N65,O65)</f>
        <v>DDWWL</v>
      </c>
      <c r="T65" s="13" t="str">
        <f>_xlfn.CONCAT(R65,"***",S65)</f>
        <v>LLLLL***DDWWL</v>
      </c>
      <c r="U65" s="19">
        <f>(P65-Q65)</f>
        <v>-12</v>
      </c>
      <c r="V65" s="14">
        <v>1</v>
      </c>
      <c r="W65" s="14">
        <v>1</v>
      </c>
      <c r="X65" s="20" t="str">
        <f>IF(ISBLANK(V65),"",IF(V65&gt;W65,"1",IF(V65&lt;W65,"2",IF(V65=W65,"X"))))</f>
        <v>X</v>
      </c>
      <c r="Y65" s="23" t="str">
        <f>COUNTIF(F65:J65, "W")&amp;COUNTIF(F65:J65, "d")&amp;COUNTIF(F65:J65, "l")</f>
        <v>005</v>
      </c>
      <c r="Z65" s="13" t="str">
        <f>COUNTIF(K65:O65, "W")&amp;COUNTIF(K65:O65, "d")&amp;COUNTIF(K65:O65, "l")</f>
        <v>221</v>
      </c>
      <c r="AA65" s="23" t="str">
        <f>_xlfn.CONCAT(Y65,"-",Z65)</f>
        <v>005-221</v>
      </c>
      <c r="AB65" s="15" t="str">
        <f>_xlfn.CONCAT(AA65,"…",TEXT(U65,"+00;-00;+00;"))</f>
        <v>005-221…-12</v>
      </c>
      <c r="AC65" s="23" t="str">
        <f>_xlfn.CONCAT(TEXT(P65,"+00;-00;+00;"),"…",TEXT(Q65,"+00;-00;+00;"))</f>
        <v>-15…-03</v>
      </c>
      <c r="AD65" s="14" t="str">
        <f>IF(X65="","?","")</f>
        <v/>
      </c>
      <c r="AE65" s="15" t="str">
        <f>_xlfn.CONCAT(AA65,"…",TEXT(P65,"+00;-00;+00;"),"...",TEXT(Q65,"+00;-00;+00;"))</f>
        <v>005-221…-15...-03</v>
      </c>
      <c r="AF65" s="13" t="str">
        <f>_xlfn.CONCAT(R65,"…",TEXT(P65,"+00;-00;+00;"),"...",TEXT(Q65,"+00;-00;+00;"))</f>
        <v>LLLLL…-15...-03</v>
      </c>
    </row>
    <row r="66" spans="1:32" x14ac:dyDescent="0.25">
      <c r="A66" s="12" t="s">
        <v>209</v>
      </c>
      <c r="B66" s="13" t="s">
        <v>208</v>
      </c>
      <c r="C66" s="14">
        <v>1</v>
      </c>
      <c r="D66" s="13" t="s">
        <v>219</v>
      </c>
      <c r="E66" s="13" t="s">
        <v>220</v>
      </c>
      <c r="F66" s="15" t="s">
        <v>31</v>
      </c>
      <c r="G66" s="15" t="s">
        <v>29</v>
      </c>
      <c r="H66" s="15" t="s">
        <v>31</v>
      </c>
      <c r="I66" s="15" t="s">
        <v>31</v>
      </c>
      <c r="J66" s="15" t="s">
        <v>31</v>
      </c>
      <c r="K66" s="15" t="s">
        <v>30</v>
      </c>
      <c r="L66" s="15" t="s">
        <v>31</v>
      </c>
      <c r="M66" s="15" t="s">
        <v>30</v>
      </c>
      <c r="N66" s="15" t="s">
        <v>30</v>
      </c>
      <c r="O66" s="15" t="s">
        <v>29</v>
      </c>
      <c r="P66" s="16">
        <v>-5</v>
      </c>
      <c r="Q66" s="16">
        <v>18</v>
      </c>
      <c r="R66" s="13" t="str">
        <f>_xlfn.CONCAT(F66,G66,H66,I66,J66)</f>
        <v>LDLLL</v>
      </c>
      <c r="S66" s="13" t="str">
        <f>_xlfn.CONCAT(K66,L66,M66,N66,O66)</f>
        <v>WLWWD</v>
      </c>
      <c r="T66" s="13" t="str">
        <f>_xlfn.CONCAT(R66,"***",S66)</f>
        <v>LDLLL***WLWWD</v>
      </c>
      <c r="U66" s="19">
        <f>(P66-Q66)</f>
        <v>-23</v>
      </c>
      <c r="V66" s="14">
        <v>2</v>
      </c>
      <c r="W66" s="14">
        <v>1</v>
      </c>
      <c r="X66" s="20" t="str">
        <f>IF(ISBLANK(V66),"",IF(V66&gt;W66,"1",IF(V66&lt;W66,"2",IF(V66=W66,"X"))))</f>
        <v>1</v>
      </c>
      <c r="Y66" s="23" t="str">
        <f>COUNTIF(F66:J66, "W")&amp;COUNTIF(F66:J66, "d")&amp;COUNTIF(F66:J66, "l")</f>
        <v>014</v>
      </c>
      <c r="Z66" s="13" t="str">
        <f>COUNTIF(K66:O66, "W")&amp;COUNTIF(K66:O66, "d")&amp;COUNTIF(K66:O66, "l")</f>
        <v>311</v>
      </c>
      <c r="AA66" s="23" t="str">
        <f>_xlfn.CONCAT(Y66,"-",Z66)</f>
        <v>014-311</v>
      </c>
      <c r="AB66" s="15" t="str">
        <f>_xlfn.CONCAT(AA66,"…",TEXT(U66,"+00;-00;+00;"))</f>
        <v>014-311…-23</v>
      </c>
      <c r="AC66" s="23" t="str">
        <f>_xlfn.CONCAT(TEXT(P66,"+00;-00;+00;"),"…",TEXT(Q66,"+00;-00;+00;"))</f>
        <v>-05…+18</v>
      </c>
      <c r="AD66" s="14" t="str">
        <f>IF(X66="","?","")</f>
        <v/>
      </c>
      <c r="AE66" s="15" t="str">
        <f>_xlfn.CONCAT(AA66,"…",TEXT(P66,"+00;-00;+00;"),"...",TEXT(Q66,"+00;-00;+00;"))</f>
        <v>014-311…-05...+18</v>
      </c>
      <c r="AF66" s="13" t="str">
        <f>_xlfn.CONCAT(R66,"…",TEXT(P66,"+00;-00;+00;"),"...",TEXT(Q66,"+00;-00;+00;"))</f>
        <v>LDLLL…-05...+18</v>
      </c>
    </row>
    <row r="67" spans="1:32" x14ac:dyDescent="0.25">
      <c r="A67" s="12" t="s">
        <v>209</v>
      </c>
      <c r="B67" s="13" t="s">
        <v>208</v>
      </c>
      <c r="C67" s="14">
        <v>1</v>
      </c>
      <c r="D67" s="13" t="s">
        <v>215</v>
      </c>
      <c r="E67" s="13" t="s">
        <v>216</v>
      </c>
      <c r="F67" s="15" t="s">
        <v>31</v>
      </c>
      <c r="G67" s="15" t="s">
        <v>29</v>
      </c>
      <c r="H67" s="15" t="s">
        <v>31</v>
      </c>
      <c r="I67" s="15" t="s">
        <v>30</v>
      </c>
      <c r="J67" s="15" t="s">
        <v>31</v>
      </c>
      <c r="K67" s="15" t="s">
        <v>29</v>
      </c>
      <c r="L67" s="15" t="s">
        <v>31</v>
      </c>
      <c r="M67" s="15" t="s">
        <v>31</v>
      </c>
      <c r="N67" s="15" t="s">
        <v>31</v>
      </c>
      <c r="O67" s="15" t="s">
        <v>30</v>
      </c>
      <c r="P67" s="16">
        <v>-8</v>
      </c>
      <c r="Q67" s="16">
        <v>-18</v>
      </c>
      <c r="R67" s="13" t="str">
        <f>_xlfn.CONCAT(F67,G67,H67,I67,J67)</f>
        <v>LDLWL</v>
      </c>
      <c r="S67" s="13" t="str">
        <f>_xlfn.CONCAT(K67,L67,M67,N67,O67)</f>
        <v>DLLLW</v>
      </c>
      <c r="T67" s="13" t="str">
        <f>_xlfn.CONCAT(R67,"***",S67)</f>
        <v>LDLWL***DLLLW</v>
      </c>
      <c r="U67" s="19">
        <f>(P67-Q67)</f>
        <v>10</v>
      </c>
      <c r="V67" s="14">
        <v>1</v>
      </c>
      <c r="W67" s="14">
        <v>1</v>
      </c>
      <c r="X67" s="20" t="str">
        <f>IF(ISBLANK(V67),"",IF(V67&gt;W67,"1",IF(V67&lt;W67,"2",IF(V67=W67,"X"))))</f>
        <v>X</v>
      </c>
      <c r="Y67" s="23" t="str">
        <f>COUNTIF(F67:J67, "W")&amp;COUNTIF(F67:J67, "d")&amp;COUNTIF(F67:J67, "l")</f>
        <v>113</v>
      </c>
      <c r="Z67" s="13" t="str">
        <f>COUNTIF(K67:O67, "W")&amp;COUNTIF(K67:O67, "d")&amp;COUNTIF(K67:O67, "l")</f>
        <v>113</v>
      </c>
      <c r="AA67" s="23" t="str">
        <f>_xlfn.CONCAT(Y67,"-",Z67)</f>
        <v>113-113</v>
      </c>
      <c r="AB67" s="15" t="str">
        <f>_xlfn.CONCAT(AA67,"…",TEXT(U67,"+00;-00;+00;"))</f>
        <v>113-113…+10</v>
      </c>
      <c r="AC67" s="23" t="str">
        <f>_xlfn.CONCAT(TEXT(P67,"+00;-00;+00;"),"…",TEXT(Q67,"+00;-00;+00;"))</f>
        <v>-08…-18</v>
      </c>
      <c r="AD67" s="14" t="str">
        <f>IF(X67="","?","")</f>
        <v/>
      </c>
      <c r="AE67" s="15" t="str">
        <f>_xlfn.CONCAT(AA67,"…",TEXT(P67,"+00;-00;+00;"),"...",TEXT(Q67,"+00;-00;+00;"))</f>
        <v>113-113…-08...-18</v>
      </c>
      <c r="AF67" s="13" t="str">
        <f>_xlfn.CONCAT(R67,"…",TEXT(P67,"+00;-00;+00;"),"...",TEXT(Q67,"+00;-00;+00;"))</f>
        <v>LDLWL…-08...-18</v>
      </c>
    </row>
    <row r="68" spans="1:32" x14ac:dyDescent="0.25">
      <c r="A68" s="12" t="s">
        <v>209</v>
      </c>
      <c r="B68" s="13" t="s">
        <v>208</v>
      </c>
      <c r="C68" s="14">
        <v>1</v>
      </c>
      <c r="D68" s="13" t="s">
        <v>484</v>
      </c>
      <c r="E68" s="13" t="s">
        <v>218</v>
      </c>
      <c r="F68" s="15" t="s">
        <v>29</v>
      </c>
      <c r="G68" s="15" t="s">
        <v>29</v>
      </c>
      <c r="H68" s="15" t="s">
        <v>30</v>
      </c>
      <c r="I68" s="15" t="s">
        <v>31</v>
      </c>
      <c r="J68" s="15" t="s">
        <v>31</v>
      </c>
      <c r="K68" s="15" t="s">
        <v>30</v>
      </c>
      <c r="L68" s="15" t="s">
        <v>30</v>
      </c>
      <c r="M68" s="15" t="s">
        <v>30</v>
      </c>
      <c r="N68" s="15" t="s">
        <v>30</v>
      </c>
      <c r="O68" s="15" t="s">
        <v>30</v>
      </c>
      <c r="P68" s="16">
        <v>-4</v>
      </c>
      <c r="Q68" s="16">
        <v>24</v>
      </c>
      <c r="R68" s="13" t="str">
        <f>_xlfn.CONCAT(F68,G68,H68,I68,J68)</f>
        <v>DDWLL</v>
      </c>
      <c r="S68" s="13" t="str">
        <f>_xlfn.CONCAT(K68,L68,M68,N68,O68)</f>
        <v>WWWWW</v>
      </c>
      <c r="T68" s="13" t="str">
        <f>_xlfn.CONCAT(R68,"***",S68)</f>
        <v>DDWLL***WWWWW</v>
      </c>
      <c r="U68" s="19">
        <f>(P68-Q68)</f>
        <v>-28</v>
      </c>
      <c r="V68" s="14">
        <v>0</v>
      </c>
      <c r="W68" s="14">
        <v>3</v>
      </c>
      <c r="X68" s="20" t="str">
        <f>IF(ISBLANK(V68),"",IF(V68&gt;W68,"1",IF(V68&lt;W68,"2",IF(V68=W68,"X"))))</f>
        <v>2</v>
      </c>
      <c r="Y68" s="23" t="str">
        <f>COUNTIF(F68:J68, "W")&amp;COUNTIF(F68:J68, "d")&amp;COUNTIF(F68:J68, "l")</f>
        <v>122</v>
      </c>
      <c r="Z68" s="13" t="str">
        <f>COUNTIF(K68:O68, "W")&amp;COUNTIF(K68:O68, "d")&amp;COUNTIF(K68:O68, "l")</f>
        <v>500</v>
      </c>
      <c r="AA68" s="23" t="str">
        <f>_xlfn.CONCAT(Y68,"-",Z68)</f>
        <v>122-500</v>
      </c>
      <c r="AB68" s="15" t="str">
        <f>_xlfn.CONCAT(AA68,"…",TEXT(U68,"+00;-00;+00;"))</f>
        <v>122-500…-28</v>
      </c>
      <c r="AC68" s="23" t="str">
        <f>_xlfn.CONCAT(TEXT(P68,"+00;-00;+00;"),"…",TEXT(Q68,"+00;-00;+00;"))</f>
        <v>-04…+24</v>
      </c>
      <c r="AD68" s="14" t="str">
        <f>IF(X68="","?","")</f>
        <v/>
      </c>
      <c r="AE68" s="15" t="str">
        <f>_xlfn.CONCAT(AA68,"…",TEXT(P68,"+00;-00;+00;"),"...",TEXT(Q68,"+00;-00;+00;"))</f>
        <v>122-500…-04...+24</v>
      </c>
      <c r="AF68" s="13" t="str">
        <f>_xlfn.CONCAT(R68,"…",TEXT(P68,"+00;-00;+00;"),"...",TEXT(Q68,"+00;-00;+00;"))</f>
        <v>DDWLL…-04...+24</v>
      </c>
    </row>
    <row r="69" spans="1:32" x14ac:dyDescent="0.25">
      <c r="A69" s="12" t="s">
        <v>209</v>
      </c>
      <c r="B69" s="13" t="s">
        <v>208</v>
      </c>
      <c r="C69" s="14">
        <v>1</v>
      </c>
      <c r="D69" s="13" t="s">
        <v>213</v>
      </c>
      <c r="E69" s="13" t="s">
        <v>214</v>
      </c>
      <c r="F69" s="15" t="s">
        <v>31</v>
      </c>
      <c r="G69" s="15" t="s">
        <v>31</v>
      </c>
      <c r="H69" s="15" t="s">
        <v>29</v>
      </c>
      <c r="I69" s="15" t="s">
        <v>30</v>
      </c>
      <c r="J69" s="15" t="s">
        <v>30</v>
      </c>
      <c r="K69" s="15" t="s">
        <v>30</v>
      </c>
      <c r="L69" s="15" t="s">
        <v>29</v>
      </c>
      <c r="M69" s="15" t="s">
        <v>30</v>
      </c>
      <c r="N69" s="15" t="s">
        <v>31</v>
      </c>
      <c r="O69" s="15" t="s">
        <v>29</v>
      </c>
      <c r="P69" s="16">
        <v>4</v>
      </c>
      <c r="Q69" s="16">
        <v>0</v>
      </c>
      <c r="R69" s="13" t="str">
        <f>_xlfn.CONCAT(F69,G69,H69,I69,J69)</f>
        <v>LLDWW</v>
      </c>
      <c r="S69" s="13" t="str">
        <f>_xlfn.CONCAT(K69,L69,M69,N69,O69)</f>
        <v>WDWLD</v>
      </c>
      <c r="T69" s="13" t="str">
        <f>_xlfn.CONCAT(R69,"***",S69)</f>
        <v>LLDWW***WDWLD</v>
      </c>
      <c r="U69" s="19">
        <f>(P69-Q69)</f>
        <v>4</v>
      </c>
      <c r="V69" s="14">
        <v>4</v>
      </c>
      <c r="W69" s="14">
        <v>2</v>
      </c>
      <c r="X69" s="20" t="str">
        <f>IF(ISBLANK(V69),"",IF(V69&gt;W69,"1",IF(V69&lt;W69,"2",IF(V69=W69,"X"))))</f>
        <v>1</v>
      </c>
      <c r="Y69" s="23" t="str">
        <f>COUNTIF(F69:J69, "W")&amp;COUNTIF(F69:J69, "d")&amp;COUNTIF(F69:J69, "l")</f>
        <v>212</v>
      </c>
      <c r="Z69" s="13" t="str">
        <f>COUNTIF(K69:O69, "W")&amp;COUNTIF(K69:O69, "d")&amp;COUNTIF(K69:O69, "l")</f>
        <v>221</v>
      </c>
      <c r="AA69" s="23" t="str">
        <f>_xlfn.CONCAT(Y69,"-",Z69)</f>
        <v>212-221</v>
      </c>
      <c r="AB69" s="15" t="str">
        <f>_xlfn.CONCAT(AA69,"…",TEXT(U69,"+00;-00;+00;"))</f>
        <v>212-221…+04</v>
      </c>
      <c r="AC69" s="23" t="str">
        <f>_xlfn.CONCAT(TEXT(P69,"+00;-00;+00;"),"…",TEXT(Q69,"+00;-00;+00;"))</f>
        <v>+04…+00</v>
      </c>
      <c r="AD69" s="14" t="str">
        <f>IF(X69="","?","")</f>
        <v/>
      </c>
      <c r="AE69" s="15" t="str">
        <f>_xlfn.CONCAT(AA69,"…",TEXT(P69,"+00;-00;+00;"),"...",TEXT(Q69,"+00;-00;+00;"))</f>
        <v>212-221…+04...+00</v>
      </c>
      <c r="AF69" s="13" t="str">
        <f>_xlfn.CONCAT(R69,"…",TEXT(P69,"+00;-00;+00;"),"...",TEXT(Q69,"+00;-00;+00;"))</f>
        <v>LLDWW…+04...+00</v>
      </c>
    </row>
    <row r="70" spans="1:32" x14ac:dyDescent="0.25">
      <c r="A70" s="12" t="s">
        <v>2</v>
      </c>
      <c r="B70" s="13" t="s">
        <v>7</v>
      </c>
      <c r="C70" s="14" t="s">
        <v>8</v>
      </c>
      <c r="D70" s="13" t="s">
        <v>10</v>
      </c>
      <c r="E70" s="13" t="s">
        <v>20</v>
      </c>
      <c r="F70" s="15" t="s">
        <v>31</v>
      </c>
      <c r="G70" s="15" t="s">
        <v>31</v>
      </c>
      <c r="H70" s="15" t="s">
        <v>31</v>
      </c>
      <c r="I70" s="15" t="s">
        <v>31</v>
      </c>
      <c r="J70" s="15" t="s">
        <v>31</v>
      </c>
      <c r="K70" s="15" t="s">
        <v>30</v>
      </c>
      <c r="L70" s="15" t="s">
        <v>31</v>
      </c>
      <c r="M70" s="15" t="s">
        <v>31</v>
      </c>
      <c r="N70" s="15" t="s">
        <v>31</v>
      </c>
      <c r="O70" s="15" t="s">
        <v>29</v>
      </c>
      <c r="P70" s="16">
        <v>-21</v>
      </c>
      <c r="Q70" s="16">
        <v>-1</v>
      </c>
      <c r="R70" s="13" t="str">
        <f>_xlfn.CONCAT(F70,G70,H70,I70,J70)</f>
        <v>LLLLL</v>
      </c>
      <c r="S70" s="13" t="str">
        <f>_xlfn.CONCAT(K70,L70,M70,N70,O70)</f>
        <v>WLLLD</v>
      </c>
      <c r="T70" s="13" t="str">
        <f>_xlfn.CONCAT(R70,"***",S70)</f>
        <v>LLLLL***WLLLD</v>
      </c>
      <c r="U70" s="19">
        <f>(P70-Q70)</f>
        <v>-20</v>
      </c>
      <c r="V70" s="14">
        <v>1</v>
      </c>
      <c r="W70" s="14">
        <v>2</v>
      </c>
      <c r="X70" s="20" t="str">
        <f>IF(ISBLANK(V70),"",IF(V70&gt;W70,"1",IF(V70&lt;W70,"2",IF(V70=W70,"X"))))</f>
        <v>2</v>
      </c>
      <c r="Y70" s="23" t="str">
        <f>COUNTIF(F70:J70, "W")&amp;COUNTIF(F70:J70, "d")&amp;COUNTIF(F70:J70, "l")</f>
        <v>005</v>
      </c>
      <c r="Z70" s="13" t="str">
        <f>COUNTIF(K70:O70, "W")&amp;COUNTIF(K70:O70, "d")&amp;COUNTIF(K70:O70, "l")</f>
        <v>113</v>
      </c>
      <c r="AA70" s="23" t="str">
        <f>_xlfn.CONCAT(Y70,"-",Z70)</f>
        <v>005-113</v>
      </c>
      <c r="AB70" s="15" t="str">
        <f>_xlfn.CONCAT(AA70,"…",TEXT(U70,"+00;-00;+00;"))</f>
        <v>005-113…-20</v>
      </c>
      <c r="AC70" s="23" t="str">
        <f>_xlfn.CONCAT(TEXT(P70,"+00;-00;+00;"),"…",TEXT(Q70,"+00;-00;+00;"))</f>
        <v>-21…-01</v>
      </c>
      <c r="AD70" s="14" t="str">
        <f>IF(X70="","?","")</f>
        <v/>
      </c>
      <c r="AE70" s="15" t="str">
        <f>_xlfn.CONCAT(AA70,"…",TEXT(P70,"+00;-00;+00;"),"...",TEXT(Q70,"+00;-00;+00;"))</f>
        <v>005-113…-21...-01</v>
      </c>
      <c r="AF70" s="13" t="str">
        <f>_xlfn.CONCAT(R70,"…",TEXT(P70,"+00;-00;+00;"),"...",TEXT(Q70,"+00;-00;+00;"))</f>
        <v>LLLLL…-21...-01</v>
      </c>
    </row>
    <row r="71" spans="1:32" x14ac:dyDescent="0.25">
      <c r="A71" s="12" t="s">
        <v>2</v>
      </c>
      <c r="B71" s="13" t="s">
        <v>7</v>
      </c>
      <c r="C71" s="14" t="s">
        <v>32</v>
      </c>
      <c r="D71" s="13" t="s">
        <v>37</v>
      </c>
      <c r="E71" s="13" t="s">
        <v>38</v>
      </c>
      <c r="F71" s="15" t="s">
        <v>31</v>
      </c>
      <c r="G71" s="15" t="s">
        <v>29</v>
      </c>
      <c r="H71" s="15" t="s">
        <v>31</v>
      </c>
      <c r="I71" s="15" t="s">
        <v>31</v>
      </c>
      <c r="J71" s="15" t="s">
        <v>31</v>
      </c>
      <c r="K71" s="15" t="s">
        <v>31</v>
      </c>
      <c r="L71" s="15" t="s">
        <v>31</v>
      </c>
      <c r="M71" s="15" t="s">
        <v>30</v>
      </c>
      <c r="N71" s="15" t="s">
        <v>31</v>
      </c>
      <c r="O71" s="15" t="s">
        <v>31</v>
      </c>
      <c r="P71" s="16">
        <v>-3</v>
      </c>
      <c r="Q71" s="16">
        <v>-20</v>
      </c>
      <c r="R71" s="13" t="str">
        <f>_xlfn.CONCAT(F71,G71,H71,I71,J71)</f>
        <v>LDLLL</v>
      </c>
      <c r="S71" s="13" t="str">
        <f>_xlfn.CONCAT(K71,L71,M71,N71,O71)</f>
        <v>LLWLL</v>
      </c>
      <c r="T71" s="13" t="str">
        <f>_xlfn.CONCAT(R71,"***",S71)</f>
        <v>LDLLL***LLWLL</v>
      </c>
      <c r="U71" s="19">
        <f>(P71-Q71)</f>
        <v>17</v>
      </c>
      <c r="V71" s="14">
        <v>2</v>
      </c>
      <c r="W71" s="14">
        <v>1</v>
      </c>
      <c r="X71" s="20" t="str">
        <f>IF(ISBLANK(V71),"",IF(V71&gt;W71,"1",IF(V71&lt;W71,"2",IF(V71=W71,"X"))))</f>
        <v>1</v>
      </c>
      <c r="Y71" s="23" t="str">
        <f>COUNTIF(F71:J71, "W")&amp;COUNTIF(F71:J71, "d")&amp;COUNTIF(F71:J71, "l")</f>
        <v>014</v>
      </c>
      <c r="Z71" s="13" t="str">
        <f>COUNTIF(K71:O71, "W")&amp;COUNTIF(K71:O71, "d")&amp;COUNTIF(K71:O71, "l")</f>
        <v>104</v>
      </c>
      <c r="AA71" s="23" t="str">
        <f>_xlfn.CONCAT(Y71,"-",Z71)</f>
        <v>014-104</v>
      </c>
      <c r="AB71" s="15" t="str">
        <f>_xlfn.CONCAT(AA71,"…",TEXT(U71,"+00;-00;+00;"))</f>
        <v>014-104…+17</v>
      </c>
      <c r="AC71" s="23" t="str">
        <f>_xlfn.CONCAT(TEXT(P71,"+00;-00;+00;"),"…",TEXT(Q71,"+00;-00;+00;"))</f>
        <v>-03…-20</v>
      </c>
      <c r="AD71" s="14" t="str">
        <f>IF(X71="","?","")</f>
        <v/>
      </c>
      <c r="AE71" s="15" t="str">
        <f>_xlfn.CONCAT(AA71,"…",TEXT(P71,"+00;-00;+00;"),"...",TEXT(Q71,"+00;-00;+00;"))</f>
        <v>014-104…-03...-20</v>
      </c>
      <c r="AF71" s="13" t="str">
        <f>_xlfn.CONCAT(R71,"…",TEXT(P71,"+00;-00;+00;"),"...",TEXT(Q71,"+00;-00;+00;"))</f>
        <v>LDLLL…-03...-20</v>
      </c>
    </row>
    <row r="72" spans="1:32" x14ac:dyDescent="0.25">
      <c r="A72" s="12" t="s">
        <v>2</v>
      </c>
      <c r="B72" s="13" t="s">
        <v>7</v>
      </c>
      <c r="C72" s="14" t="s">
        <v>8</v>
      </c>
      <c r="D72" s="13" t="s">
        <v>11</v>
      </c>
      <c r="E72" s="13" t="s">
        <v>21</v>
      </c>
      <c r="F72" s="15" t="s">
        <v>31</v>
      </c>
      <c r="G72" s="15" t="s">
        <v>29</v>
      </c>
      <c r="H72" s="15" t="s">
        <v>31</v>
      </c>
      <c r="I72" s="15" t="s">
        <v>29</v>
      </c>
      <c r="J72" s="15" t="s">
        <v>31</v>
      </c>
      <c r="K72" s="15" t="s">
        <v>31</v>
      </c>
      <c r="L72" s="15" t="s">
        <v>30</v>
      </c>
      <c r="M72" s="15" t="s">
        <v>31</v>
      </c>
      <c r="N72" s="15" t="s">
        <v>31</v>
      </c>
      <c r="O72" s="15" t="s">
        <v>29</v>
      </c>
      <c r="P72" s="16">
        <v>-12</v>
      </c>
      <c r="Q72" s="16">
        <v>-4</v>
      </c>
      <c r="R72" s="13" t="str">
        <f>_xlfn.CONCAT(F72,G72,H72,I72,J72)</f>
        <v>LDLDL</v>
      </c>
      <c r="S72" s="13" t="str">
        <f>_xlfn.CONCAT(K72,L72,M72,N72,O72)</f>
        <v>LWLLD</v>
      </c>
      <c r="T72" s="13" t="str">
        <f>_xlfn.CONCAT(R72,"***",S72)</f>
        <v>LDLDL***LWLLD</v>
      </c>
      <c r="U72" s="19">
        <f>(P72-Q72)</f>
        <v>-8</v>
      </c>
      <c r="V72" s="14">
        <v>2</v>
      </c>
      <c r="W72" s="14">
        <v>1</v>
      </c>
      <c r="X72" s="20" t="str">
        <f>IF(ISBLANK(V72),"",IF(V72&gt;W72,"1",IF(V72&lt;W72,"2",IF(V72=W72,"X"))))</f>
        <v>1</v>
      </c>
      <c r="Y72" s="23" t="str">
        <f>COUNTIF(F72:J72, "W")&amp;COUNTIF(F72:J72, "d")&amp;COUNTIF(F72:J72, "l")</f>
        <v>023</v>
      </c>
      <c r="Z72" s="13" t="str">
        <f>COUNTIF(K72:O72, "W")&amp;COUNTIF(K72:O72, "d")&amp;COUNTIF(K72:O72, "l")</f>
        <v>113</v>
      </c>
      <c r="AA72" s="23" t="str">
        <f>_xlfn.CONCAT(Y72,"-",Z72)</f>
        <v>023-113</v>
      </c>
      <c r="AB72" s="15" t="str">
        <f>_xlfn.CONCAT(AA72,"…",TEXT(U72,"+00;-00;+00;"))</f>
        <v>023-113…-08</v>
      </c>
      <c r="AC72" s="23" t="str">
        <f>_xlfn.CONCAT(TEXT(P72,"+00;-00;+00;"),"…",TEXT(Q72,"+00;-00;+00;"))</f>
        <v>-12…-04</v>
      </c>
      <c r="AD72" s="14" t="str">
        <f>IF(X72="","?","")</f>
        <v/>
      </c>
      <c r="AE72" s="15" t="str">
        <f>_xlfn.CONCAT(AA72,"…",TEXT(P72,"+00;-00;+00;"),"...",TEXT(Q72,"+00;-00;+00;"))</f>
        <v>023-113…-12...-04</v>
      </c>
      <c r="AF72" s="13" t="str">
        <f>_xlfn.CONCAT(R72,"…",TEXT(P72,"+00;-00;+00;"),"...",TEXT(Q72,"+00;-00;+00;"))</f>
        <v>LDLDL…-12...-04</v>
      </c>
    </row>
    <row r="73" spans="1:32" x14ac:dyDescent="0.25">
      <c r="A73" s="12" t="s">
        <v>2</v>
      </c>
      <c r="B73" s="13" t="s">
        <v>7</v>
      </c>
      <c r="C73" s="14" t="s">
        <v>32</v>
      </c>
      <c r="D73" s="13" t="s">
        <v>47</v>
      </c>
      <c r="E73" s="13" t="s">
        <v>48</v>
      </c>
      <c r="F73" s="15" t="s">
        <v>30</v>
      </c>
      <c r="G73" s="15" t="s">
        <v>31</v>
      </c>
      <c r="H73" s="15" t="s">
        <v>31</v>
      </c>
      <c r="I73" s="15" t="s">
        <v>31</v>
      </c>
      <c r="J73" s="15" t="s">
        <v>31</v>
      </c>
      <c r="K73" s="15" t="s">
        <v>29</v>
      </c>
      <c r="L73" s="15" t="s">
        <v>29</v>
      </c>
      <c r="M73" s="15" t="s">
        <v>31</v>
      </c>
      <c r="N73" s="15" t="s">
        <v>31</v>
      </c>
      <c r="O73" s="15" t="s">
        <v>31</v>
      </c>
      <c r="P73" s="16">
        <v>-3</v>
      </c>
      <c r="Q73" s="16">
        <v>-16</v>
      </c>
      <c r="R73" s="13" t="str">
        <f>_xlfn.CONCAT(F73,G73,H73,I73,J73)</f>
        <v>WLLLL</v>
      </c>
      <c r="S73" s="13" t="str">
        <f>_xlfn.CONCAT(K73,L73,M73,N73,O73)</f>
        <v>DDLLL</v>
      </c>
      <c r="T73" s="13" t="str">
        <f>_xlfn.CONCAT(R73,"***",S73)</f>
        <v>WLLLL***DDLLL</v>
      </c>
      <c r="U73" s="19">
        <f>(P73-Q73)</f>
        <v>13</v>
      </c>
      <c r="V73" s="14">
        <v>1</v>
      </c>
      <c r="W73" s="14">
        <v>0</v>
      </c>
      <c r="X73" s="20" t="str">
        <f>IF(ISBLANK(V73),"",IF(V73&gt;W73,"1",IF(V73&lt;W73,"2",IF(V73=W73,"X"))))</f>
        <v>1</v>
      </c>
      <c r="Y73" s="23" t="str">
        <f>COUNTIF(F73:J73, "W")&amp;COUNTIF(F73:J73, "d")&amp;COUNTIF(F73:J73, "l")</f>
        <v>104</v>
      </c>
      <c r="Z73" s="13" t="str">
        <f>COUNTIF(K73:O73, "W")&amp;COUNTIF(K73:O73, "d")&amp;COUNTIF(K73:O73, "l")</f>
        <v>023</v>
      </c>
      <c r="AA73" s="23" t="str">
        <f>_xlfn.CONCAT(Y73,"-",Z73)</f>
        <v>104-023</v>
      </c>
      <c r="AB73" s="15" t="str">
        <f>_xlfn.CONCAT(AA73,"…",TEXT(U73,"+00;-00;+00;"))</f>
        <v>104-023…+13</v>
      </c>
      <c r="AC73" s="23" t="str">
        <f>_xlfn.CONCAT(TEXT(P73,"+00;-00;+00;"),"…",TEXT(Q73,"+00;-00;+00;"))</f>
        <v>-03…-16</v>
      </c>
      <c r="AD73" s="14" t="str">
        <f>IF(X73="","?","")</f>
        <v/>
      </c>
      <c r="AE73" s="15" t="str">
        <f>_xlfn.CONCAT(AA73,"…",TEXT(P73,"+00;-00;+00;"),"...",TEXT(Q73,"+00;-00;+00;"))</f>
        <v>104-023…-03...-16</v>
      </c>
      <c r="AF73" s="13" t="str">
        <f>_xlfn.CONCAT(R73,"…",TEXT(P73,"+00;-00;+00;"),"...",TEXT(Q73,"+00;-00;+00;"))</f>
        <v>WLLLL…-03...-16</v>
      </c>
    </row>
    <row r="74" spans="1:32" x14ac:dyDescent="0.25">
      <c r="A74" s="12" t="s">
        <v>2</v>
      </c>
      <c r="B74" s="13" t="s">
        <v>7</v>
      </c>
      <c r="C74" s="14" t="s">
        <v>8</v>
      </c>
      <c r="D74" s="13" t="s">
        <v>14</v>
      </c>
      <c r="E74" s="13" t="s">
        <v>24</v>
      </c>
      <c r="F74" s="15" t="s">
        <v>29</v>
      </c>
      <c r="G74" s="15" t="s">
        <v>30</v>
      </c>
      <c r="H74" s="15" t="s">
        <v>31</v>
      </c>
      <c r="I74" s="15" t="s">
        <v>31</v>
      </c>
      <c r="J74" s="15" t="s">
        <v>31</v>
      </c>
      <c r="K74" s="15" t="s">
        <v>30</v>
      </c>
      <c r="L74" s="15" t="s">
        <v>31</v>
      </c>
      <c r="M74" s="15" t="s">
        <v>30</v>
      </c>
      <c r="N74" s="15" t="s">
        <v>31</v>
      </c>
      <c r="O74" s="15" t="s">
        <v>31</v>
      </c>
      <c r="P74" s="16">
        <v>-21</v>
      </c>
      <c r="Q74" s="16">
        <v>-16</v>
      </c>
      <c r="R74" s="13" t="str">
        <f>_xlfn.CONCAT(F74,G74,H74,I74,J74)</f>
        <v>DWLLL</v>
      </c>
      <c r="S74" s="13" t="str">
        <f>_xlfn.CONCAT(K74,L74,M74,N74,O74)</f>
        <v>WLWLL</v>
      </c>
      <c r="T74" s="13" t="str">
        <f>_xlfn.CONCAT(R74,"***",S74)</f>
        <v>DWLLL***WLWLL</v>
      </c>
      <c r="U74" s="19">
        <f>(P74-Q74)</f>
        <v>-5</v>
      </c>
      <c r="V74" s="14">
        <v>1</v>
      </c>
      <c r="W74" s="14">
        <v>3</v>
      </c>
      <c r="X74" s="20" t="str">
        <f>IF(ISBLANK(V74),"",IF(V74&gt;W74,"1",IF(V74&lt;W74,"2",IF(V74=W74,"X"))))</f>
        <v>2</v>
      </c>
      <c r="Y74" s="23" t="str">
        <f>COUNTIF(F74:J74, "W")&amp;COUNTIF(F74:J74, "d")&amp;COUNTIF(F74:J74, "l")</f>
        <v>113</v>
      </c>
      <c r="Z74" s="13" t="str">
        <f>COUNTIF(K74:O74, "W")&amp;COUNTIF(K74:O74, "d")&amp;COUNTIF(K74:O74, "l")</f>
        <v>203</v>
      </c>
      <c r="AA74" s="23" t="str">
        <f>_xlfn.CONCAT(Y74,"-",Z74)</f>
        <v>113-203</v>
      </c>
      <c r="AB74" s="15" t="str">
        <f>_xlfn.CONCAT(AA74,"…",TEXT(U74,"+00;-00;+00;"))</f>
        <v>113-203…-05</v>
      </c>
      <c r="AC74" s="23" t="str">
        <f>_xlfn.CONCAT(TEXT(P74,"+00;-00;+00;"),"…",TEXT(Q74,"+00;-00;+00;"))</f>
        <v>-21…-16</v>
      </c>
      <c r="AD74" s="14" t="str">
        <f>IF(X74="","?","")</f>
        <v/>
      </c>
      <c r="AE74" s="15" t="str">
        <f>_xlfn.CONCAT(AA74,"…",TEXT(P74,"+00;-00;+00;"),"...",TEXT(Q74,"+00;-00;+00;"))</f>
        <v>113-203…-21...-16</v>
      </c>
      <c r="AF74" s="13" t="str">
        <f>_xlfn.CONCAT(R74,"…",TEXT(P74,"+00;-00;+00;"),"...",TEXT(Q74,"+00;-00;+00;"))</f>
        <v>DWLLL…-21...-16</v>
      </c>
    </row>
    <row r="75" spans="1:32" x14ac:dyDescent="0.25">
      <c r="A75" s="12" t="s">
        <v>2</v>
      </c>
      <c r="B75" s="13" t="s">
        <v>7</v>
      </c>
      <c r="C75" s="14" t="s">
        <v>32</v>
      </c>
      <c r="D75" s="13" t="s">
        <v>55</v>
      </c>
      <c r="E75" s="13" t="s">
        <v>56</v>
      </c>
      <c r="F75" s="15" t="s">
        <v>31</v>
      </c>
      <c r="G75" s="15" t="s">
        <v>29</v>
      </c>
      <c r="H75" s="15" t="s">
        <v>30</v>
      </c>
      <c r="I75" s="15" t="s">
        <v>31</v>
      </c>
      <c r="J75" s="15" t="s">
        <v>31</v>
      </c>
      <c r="K75" s="15" t="s">
        <v>30</v>
      </c>
      <c r="L75" s="15" t="s">
        <v>31</v>
      </c>
      <c r="M75" s="15" t="s">
        <v>30</v>
      </c>
      <c r="N75" s="15" t="s">
        <v>30</v>
      </c>
      <c r="O75" s="15" t="s">
        <v>31</v>
      </c>
      <c r="P75" s="16">
        <v>1</v>
      </c>
      <c r="Q75" s="16">
        <v>3</v>
      </c>
      <c r="R75" s="13" t="str">
        <f>_xlfn.CONCAT(F75,G75,H75,I75,J75)</f>
        <v>LDWLL</v>
      </c>
      <c r="S75" s="13" t="str">
        <f>_xlfn.CONCAT(K75,L75,M75,N75,O75)</f>
        <v>WLWWL</v>
      </c>
      <c r="T75" s="13" t="str">
        <f>_xlfn.CONCAT(R75,"***",S75)</f>
        <v>LDWLL***WLWWL</v>
      </c>
      <c r="U75" s="19">
        <f>(P75-Q75)</f>
        <v>-2</v>
      </c>
      <c r="V75" s="14">
        <v>2</v>
      </c>
      <c r="W75" s="14">
        <v>2</v>
      </c>
      <c r="X75" s="20" t="str">
        <f>IF(ISBLANK(V75),"",IF(V75&gt;W75,"1",IF(V75&lt;W75,"2",IF(V75=W75,"X"))))</f>
        <v>X</v>
      </c>
      <c r="Y75" s="23" t="str">
        <f>COUNTIF(F75:J75, "W")&amp;COUNTIF(F75:J75, "d")&amp;COUNTIF(F75:J75, "l")</f>
        <v>113</v>
      </c>
      <c r="Z75" s="13" t="str">
        <f>COUNTIF(K75:O75, "W")&amp;COUNTIF(K75:O75, "d")&amp;COUNTIF(K75:O75, "l")</f>
        <v>302</v>
      </c>
      <c r="AA75" s="23" t="str">
        <f>_xlfn.CONCAT(Y75,"-",Z75)</f>
        <v>113-302</v>
      </c>
      <c r="AB75" s="15" t="str">
        <f>_xlfn.CONCAT(AA75,"…",TEXT(U75,"+00;-00;+00;"))</f>
        <v>113-302…-02</v>
      </c>
      <c r="AC75" s="23" t="str">
        <f>_xlfn.CONCAT(TEXT(P75,"+00;-00;+00;"),"…",TEXT(Q75,"+00;-00;+00;"))</f>
        <v>+01…+03</v>
      </c>
      <c r="AD75" s="14" t="str">
        <f>IF(X75="","?","")</f>
        <v/>
      </c>
      <c r="AE75" s="15" t="str">
        <f>_xlfn.CONCAT(AA75,"…",TEXT(P75,"+00;-00;+00;"),"...",TEXT(Q75,"+00;-00;+00;"))</f>
        <v>113-302…+01...+03</v>
      </c>
      <c r="AF75" s="13" t="str">
        <f>_xlfn.CONCAT(R75,"…",TEXT(P75,"+00;-00;+00;"),"...",TEXT(Q75,"+00;-00;+00;"))</f>
        <v>LDWLL…+01...+03</v>
      </c>
    </row>
    <row r="76" spans="1:32" x14ac:dyDescent="0.25">
      <c r="A76" s="12" t="s">
        <v>2</v>
      </c>
      <c r="B76" s="13" t="s">
        <v>7</v>
      </c>
      <c r="C76" s="14" t="s">
        <v>32</v>
      </c>
      <c r="D76" s="13" t="s">
        <v>41</v>
      </c>
      <c r="E76" s="13" t="s">
        <v>42</v>
      </c>
      <c r="F76" s="15" t="s">
        <v>31</v>
      </c>
      <c r="G76" s="15" t="s">
        <v>29</v>
      </c>
      <c r="H76" s="15" t="s">
        <v>31</v>
      </c>
      <c r="I76" s="15" t="s">
        <v>31</v>
      </c>
      <c r="J76" s="15" t="s">
        <v>30</v>
      </c>
      <c r="K76" s="15" t="s">
        <v>30</v>
      </c>
      <c r="L76" s="15" t="s">
        <v>30</v>
      </c>
      <c r="M76" s="15" t="s">
        <v>30</v>
      </c>
      <c r="N76" s="15" t="s">
        <v>29</v>
      </c>
      <c r="O76" s="15" t="s">
        <v>30</v>
      </c>
      <c r="P76" s="16">
        <v>-14</v>
      </c>
      <c r="Q76" s="16">
        <v>1</v>
      </c>
      <c r="R76" s="13" t="str">
        <f>_xlfn.CONCAT(F76,G76,H76,I76,J76)</f>
        <v>LDLLW</v>
      </c>
      <c r="S76" s="13" t="str">
        <f>_xlfn.CONCAT(K76,L76,M76,N76,O76)</f>
        <v>WWWDW</v>
      </c>
      <c r="T76" s="13" t="str">
        <f>_xlfn.CONCAT(R76,"***",S76)</f>
        <v>LDLLW***WWWDW</v>
      </c>
      <c r="U76" s="19">
        <f>(P76-Q76)</f>
        <v>-15</v>
      </c>
      <c r="V76" s="14">
        <v>1</v>
      </c>
      <c r="W76" s="14">
        <v>1</v>
      </c>
      <c r="X76" s="20" t="str">
        <f>IF(ISBLANK(V76),"",IF(V76&gt;W76,"1",IF(V76&lt;W76,"2",IF(V76=W76,"X"))))</f>
        <v>X</v>
      </c>
      <c r="Y76" s="23" t="str">
        <f>COUNTIF(F76:J76, "W")&amp;COUNTIF(F76:J76, "d")&amp;COUNTIF(F76:J76, "l")</f>
        <v>113</v>
      </c>
      <c r="Z76" s="13" t="str">
        <f>COUNTIF(K76:O76, "W")&amp;COUNTIF(K76:O76, "d")&amp;COUNTIF(K76:O76, "l")</f>
        <v>410</v>
      </c>
      <c r="AA76" s="23" t="str">
        <f>_xlfn.CONCAT(Y76,"-",Z76)</f>
        <v>113-410</v>
      </c>
      <c r="AB76" s="15" t="str">
        <f>_xlfn.CONCAT(AA76,"…",TEXT(U76,"+00;-00;+00;"))</f>
        <v>113-410…-15</v>
      </c>
      <c r="AC76" s="23" t="str">
        <f>_xlfn.CONCAT(TEXT(P76,"+00;-00;+00;"),"…",TEXT(Q76,"+00;-00;+00;"))</f>
        <v>-14…+01</v>
      </c>
      <c r="AD76" s="14" t="str">
        <f>IF(X76="","?","")</f>
        <v/>
      </c>
      <c r="AE76" s="15" t="str">
        <f>_xlfn.CONCAT(AA76,"…",TEXT(P76,"+00;-00;+00;"),"...",TEXT(Q76,"+00;-00;+00;"))</f>
        <v>113-410…-14...+01</v>
      </c>
      <c r="AF76" s="13" t="str">
        <f>_xlfn.CONCAT(R76,"…",TEXT(P76,"+00;-00;+00;"),"...",TEXT(Q76,"+00;-00;+00;"))</f>
        <v>LDLLW…-14...+01</v>
      </c>
    </row>
    <row r="77" spans="1:32" x14ac:dyDescent="0.25">
      <c r="A77" s="12" t="s">
        <v>2</v>
      </c>
      <c r="B77" s="13" t="s">
        <v>7</v>
      </c>
      <c r="C77" s="14" t="s">
        <v>32</v>
      </c>
      <c r="D77" s="13" t="s">
        <v>45</v>
      </c>
      <c r="E77" s="13" t="s">
        <v>46</v>
      </c>
      <c r="F77" s="15" t="s">
        <v>30</v>
      </c>
      <c r="G77" s="15" t="s">
        <v>31</v>
      </c>
      <c r="H77" s="15" t="s">
        <v>29</v>
      </c>
      <c r="I77" s="15" t="s">
        <v>31</v>
      </c>
      <c r="J77" s="15" t="s">
        <v>29</v>
      </c>
      <c r="K77" s="15" t="s">
        <v>29</v>
      </c>
      <c r="L77" s="15" t="s">
        <v>31</v>
      </c>
      <c r="M77" s="15" t="s">
        <v>31</v>
      </c>
      <c r="N77" s="15" t="s">
        <v>31</v>
      </c>
      <c r="O77" s="15" t="s">
        <v>31</v>
      </c>
      <c r="P77" s="16">
        <v>0</v>
      </c>
      <c r="Q77" s="16">
        <v>-2</v>
      </c>
      <c r="R77" s="13" t="str">
        <f>_xlfn.CONCAT(F77,G77,H77,I77,J77)</f>
        <v>WLDLD</v>
      </c>
      <c r="S77" s="13" t="str">
        <f>_xlfn.CONCAT(K77,L77,M77,N77,O77)</f>
        <v>DLLLL</v>
      </c>
      <c r="T77" s="13" t="str">
        <f>_xlfn.CONCAT(R77,"***",S77)</f>
        <v>WLDLD***DLLLL</v>
      </c>
      <c r="U77" s="19">
        <f>(P77-Q77)</f>
        <v>2</v>
      </c>
      <c r="V77" s="14">
        <v>0</v>
      </c>
      <c r="W77" s="14">
        <v>3</v>
      </c>
      <c r="X77" s="20" t="str">
        <f>IF(ISBLANK(V77),"",IF(V77&gt;W77,"1",IF(V77&lt;W77,"2",IF(V77=W77,"X"))))</f>
        <v>2</v>
      </c>
      <c r="Y77" s="23" t="str">
        <f>COUNTIF(F77:J77, "W")&amp;COUNTIF(F77:J77, "d")&amp;COUNTIF(F77:J77, "l")</f>
        <v>122</v>
      </c>
      <c r="Z77" s="13" t="str">
        <f>COUNTIF(K77:O77, "W")&amp;COUNTIF(K77:O77, "d")&amp;COUNTIF(K77:O77, "l")</f>
        <v>014</v>
      </c>
      <c r="AA77" s="23" t="str">
        <f>_xlfn.CONCAT(Y77,"-",Z77)</f>
        <v>122-014</v>
      </c>
      <c r="AB77" s="15" t="str">
        <f>_xlfn.CONCAT(AA77,"…",TEXT(U77,"+00;-00;+00;"))</f>
        <v>122-014…+02</v>
      </c>
      <c r="AC77" s="23" t="str">
        <f>_xlfn.CONCAT(TEXT(P77,"+00;-00;+00;"),"…",TEXT(Q77,"+00;-00;+00;"))</f>
        <v>+00…-02</v>
      </c>
      <c r="AD77" s="14" t="str">
        <f>IF(X77="","?","")</f>
        <v/>
      </c>
      <c r="AE77" s="15" t="str">
        <f>_xlfn.CONCAT(AA77,"…",TEXT(P77,"+00;-00;+00;"),"...",TEXT(Q77,"+00;-00;+00;"))</f>
        <v>122-014…+00...-02</v>
      </c>
      <c r="AF77" s="13" t="str">
        <f>_xlfn.CONCAT(R77,"…",TEXT(P77,"+00;-00;+00;"),"...",TEXT(Q77,"+00;-00;+00;"))</f>
        <v>WLDLD…+00...-02</v>
      </c>
    </row>
    <row r="78" spans="1:32" x14ac:dyDescent="0.25">
      <c r="A78" s="12" t="s">
        <v>2</v>
      </c>
      <c r="B78" s="13" t="s">
        <v>7</v>
      </c>
      <c r="C78" s="14" t="s">
        <v>8</v>
      </c>
      <c r="D78" s="13" t="s">
        <v>13</v>
      </c>
      <c r="E78" s="13" t="s">
        <v>23</v>
      </c>
      <c r="F78" s="15" t="s">
        <v>31</v>
      </c>
      <c r="G78" s="15" t="s">
        <v>30</v>
      </c>
      <c r="H78" s="15" t="s">
        <v>31</v>
      </c>
      <c r="I78" s="15" t="s">
        <v>29</v>
      </c>
      <c r="J78" s="15" t="s">
        <v>29</v>
      </c>
      <c r="K78" s="15" t="s">
        <v>29</v>
      </c>
      <c r="L78" s="15" t="s">
        <v>29</v>
      </c>
      <c r="M78" s="15" t="s">
        <v>29</v>
      </c>
      <c r="N78" s="15" t="s">
        <v>31</v>
      </c>
      <c r="O78" s="15" t="s">
        <v>29</v>
      </c>
      <c r="P78" s="16">
        <v>-4</v>
      </c>
      <c r="Q78" s="16">
        <v>4</v>
      </c>
      <c r="R78" s="13" t="str">
        <f>_xlfn.CONCAT(F78,G78,H78,I78,J78)</f>
        <v>LWLDD</v>
      </c>
      <c r="S78" s="13" t="str">
        <f>_xlfn.CONCAT(K78,L78,M78,N78,O78)</f>
        <v>DDDLD</v>
      </c>
      <c r="T78" s="13" t="str">
        <f>_xlfn.CONCAT(R78,"***",S78)</f>
        <v>LWLDD***DDDLD</v>
      </c>
      <c r="U78" s="19">
        <f>(P78-Q78)</f>
        <v>-8</v>
      </c>
      <c r="V78" s="14">
        <v>2</v>
      </c>
      <c r="W78" s="14">
        <v>3</v>
      </c>
      <c r="X78" s="20" t="str">
        <f>IF(ISBLANK(V78),"",IF(V78&gt;W78,"1",IF(V78&lt;W78,"2",IF(V78=W78,"X"))))</f>
        <v>2</v>
      </c>
      <c r="Y78" s="23" t="str">
        <f>COUNTIF(F78:J78, "W")&amp;COUNTIF(F78:J78, "d")&amp;COUNTIF(F78:J78, "l")</f>
        <v>122</v>
      </c>
      <c r="Z78" s="13" t="str">
        <f>COUNTIF(K78:O78, "W")&amp;COUNTIF(K78:O78, "d")&amp;COUNTIF(K78:O78, "l")</f>
        <v>041</v>
      </c>
      <c r="AA78" s="23" t="str">
        <f>_xlfn.CONCAT(Y78,"-",Z78)</f>
        <v>122-041</v>
      </c>
      <c r="AB78" s="15" t="str">
        <f>_xlfn.CONCAT(AA78,"…",TEXT(U78,"+00;-00;+00;"))</f>
        <v>122-041…-08</v>
      </c>
      <c r="AC78" s="23" t="str">
        <f>_xlfn.CONCAT(TEXT(P78,"+00;-00;+00;"),"…",TEXT(Q78,"+00;-00;+00;"))</f>
        <v>-04…+04</v>
      </c>
      <c r="AD78" s="14" t="str">
        <f>IF(X78="","?","")</f>
        <v/>
      </c>
      <c r="AE78" s="15" t="str">
        <f>_xlfn.CONCAT(AA78,"…",TEXT(P78,"+00;-00;+00;"),"...",TEXT(Q78,"+00;-00;+00;"))</f>
        <v>122-041…-04...+04</v>
      </c>
      <c r="AF78" s="13" t="str">
        <f>_xlfn.CONCAT(R78,"…",TEXT(P78,"+00;-00;+00;"),"...",TEXT(Q78,"+00;-00;+00;"))</f>
        <v>LWLDD…-04...+04</v>
      </c>
    </row>
    <row r="79" spans="1:32" x14ac:dyDescent="0.25">
      <c r="A79" s="12" t="s">
        <v>2</v>
      </c>
      <c r="B79" s="13" t="s">
        <v>7</v>
      </c>
      <c r="C79" s="14" t="s">
        <v>32</v>
      </c>
      <c r="D79" s="13" t="s">
        <v>49</v>
      </c>
      <c r="E79" s="13" t="s">
        <v>50</v>
      </c>
      <c r="F79" s="15" t="s">
        <v>31</v>
      </c>
      <c r="G79" s="15" t="s">
        <v>29</v>
      </c>
      <c r="H79" s="15" t="s">
        <v>31</v>
      </c>
      <c r="I79" s="15" t="s">
        <v>30</v>
      </c>
      <c r="J79" s="15" t="s">
        <v>29</v>
      </c>
      <c r="K79" s="15" t="s">
        <v>30</v>
      </c>
      <c r="L79" s="15" t="s">
        <v>29</v>
      </c>
      <c r="M79" s="15" t="s">
        <v>30</v>
      </c>
      <c r="N79" s="15" t="s">
        <v>31</v>
      </c>
      <c r="O79" s="15" t="s">
        <v>31</v>
      </c>
      <c r="P79" s="16">
        <v>0</v>
      </c>
      <c r="Q79" s="16">
        <v>10</v>
      </c>
      <c r="R79" s="13" t="str">
        <f>_xlfn.CONCAT(F79,G79,H79,I79,J79)</f>
        <v>LDLWD</v>
      </c>
      <c r="S79" s="13" t="str">
        <f>_xlfn.CONCAT(K79,L79,M79,N79,O79)</f>
        <v>WDWLL</v>
      </c>
      <c r="T79" s="13" t="str">
        <f>_xlfn.CONCAT(R79,"***",S79)</f>
        <v>LDLWD***WDWLL</v>
      </c>
      <c r="U79" s="19">
        <f>(P79-Q79)</f>
        <v>-10</v>
      </c>
      <c r="V79" s="14">
        <v>2</v>
      </c>
      <c r="W79" s="14">
        <v>0</v>
      </c>
      <c r="X79" s="20" t="str">
        <f>IF(ISBLANK(V79),"",IF(V79&gt;W79,"1",IF(V79&lt;W79,"2",IF(V79=W79,"X"))))</f>
        <v>1</v>
      </c>
      <c r="Y79" s="23" t="str">
        <f>COUNTIF(F79:J79, "W")&amp;COUNTIF(F79:J79, "d")&amp;COUNTIF(F79:J79, "l")</f>
        <v>122</v>
      </c>
      <c r="Z79" s="13" t="str">
        <f>COUNTIF(K79:O79, "W")&amp;COUNTIF(K79:O79, "d")&amp;COUNTIF(K79:O79, "l")</f>
        <v>212</v>
      </c>
      <c r="AA79" s="23" t="str">
        <f>_xlfn.CONCAT(Y79,"-",Z79)</f>
        <v>122-212</v>
      </c>
      <c r="AB79" s="15" t="str">
        <f>_xlfn.CONCAT(AA79,"…",TEXT(U79,"+00;-00;+00;"))</f>
        <v>122-212…-10</v>
      </c>
      <c r="AC79" s="23" t="str">
        <f>_xlfn.CONCAT(TEXT(P79,"+00;-00;+00;"),"…",TEXT(Q79,"+00;-00;+00;"))</f>
        <v>+00…+10</v>
      </c>
      <c r="AD79" s="14" t="str">
        <f>IF(X79="","?","")</f>
        <v/>
      </c>
      <c r="AE79" s="15" t="str">
        <f>_xlfn.CONCAT(AA79,"…",TEXT(P79,"+00;-00;+00;"),"...",TEXT(Q79,"+00;-00;+00;"))</f>
        <v>122-212…+00...+10</v>
      </c>
      <c r="AF79" s="13" t="str">
        <f>_xlfn.CONCAT(R79,"…",TEXT(P79,"+00;-00;+00;"),"...",TEXT(Q79,"+00;-00;+00;"))</f>
        <v>LDLWD…+00...+10</v>
      </c>
    </row>
    <row r="80" spans="1:32" x14ac:dyDescent="0.25">
      <c r="A80" s="12" t="s">
        <v>2</v>
      </c>
      <c r="B80" s="13" t="s">
        <v>7</v>
      </c>
      <c r="C80" s="14" t="s">
        <v>32</v>
      </c>
      <c r="D80" s="13" t="s">
        <v>39</v>
      </c>
      <c r="E80" s="13" t="s">
        <v>40</v>
      </c>
      <c r="F80" s="15" t="s">
        <v>29</v>
      </c>
      <c r="G80" s="15" t="s">
        <v>30</v>
      </c>
      <c r="H80" s="15" t="s">
        <v>31</v>
      </c>
      <c r="I80" s="15" t="s">
        <v>31</v>
      </c>
      <c r="J80" s="15" t="s">
        <v>30</v>
      </c>
      <c r="K80" s="15" t="s">
        <v>30</v>
      </c>
      <c r="L80" s="15" t="s">
        <v>29</v>
      </c>
      <c r="M80" s="15" t="s">
        <v>31</v>
      </c>
      <c r="N80" s="15" t="s">
        <v>30</v>
      </c>
      <c r="O80" s="15" t="s">
        <v>30</v>
      </c>
      <c r="P80" s="16">
        <v>0</v>
      </c>
      <c r="Q80" s="16">
        <v>0</v>
      </c>
      <c r="R80" s="13" t="str">
        <f>_xlfn.CONCAT(F80,G80,H80,I80,J80)</f>
        <v>DWLLW</v>
      </c>
      <c r="S80" s="13" t="str">
        <f>_xlfn.CONCAT(K80,L80,M80,N80,O80)</f>
        <v>WDLWW</v>
      </c>
      <c r="T80" s="13" t="str">
        <f>_xlfn.CONCAT(R80,"***",S80)</f>
        <v>DWLLW***WDLWW</v>
      </c>
      <c r="U80" s="19">
        <f>(P80-Q80)</f>
        <v>0</v>
      </c>
      <c r="V80" s="14">
        <v>3</v>
      </c>
      <c r="W80" s="14">
        <v>2</v>
      </c>
      <c r="X80" s="20" t="str">
        <f>X90</f>
        <v>2</v>
      </c>
      <c r="Y80" s="23" t="str">
        <f>COUNTIF(F80:J80, "W")&amp;COUNTIF(F80:J80, "d")&amp;COUNTIF(F80:J80, "l")</f>
        <v>212</v>
      </c>
      <c r="Z80" s="13" t="str">
        <f>COUNTIF(K80:O80, "W")&amp;COUNTIF(K80:O80, "d")&amp;COUNTIF(K80:O80, "l")</f>
        <v>311</v>
      </c>
      <c r="AA80" s="23" t="str">
        <f>_xlfn.CONCAT(Y80,"-",Z80)</f>
        <v>212-311</v>
      </c>
      <c r="AB80" s="15" t="str">
        <f>_xlfn.CONCAT(AA80,"…",TEXT(U80,"+00;-00;+00;"))</f>
        <v>212-311…+00</v>
      </c>
      <c r="AC80" s="23" t="str">
        <f>_xlfn.CONCAT(TEXT(P80,"+00;-00;+00;"),"…",TEXT(Q80,"+00;-00;+00;"))</f>
        <v>+00…+00</v>
      </c>
      <c r="AD80" s="14" t="str">
        <f>IF(X80="","?","")</f>
        <v/>
      </c>
      <c r="AE80" s="15" t="str">
        <f>_xlfn.CONCAT(AA80,"…",TEXT(P80,"+00;-00;+00;"),"...",TEXT(Q80,"+00;-00;+00;"))</f>
        <v>212-311…+00...+00</v>
      </c>
      <c r="AF80" s="13" t="str">
        <f>_xlfn.CONCAT(R80,"…",TEXT(P80,"+00;-00;+00;"),"...",TEXT(Q80,"+00;-00;+00;"))</f>
        <v>DWLLW…+00...+00</v>
      </c>
    </row>
    <row r="81" spans="1:32" x14ac:dyDescent="0.25">
      <c r="A81" s="12" t="s">
        <v>2</v>
      </c>
      <c r="B81" s="13" t="s">
        <v>7</v>
      </c>
      <c r="C81" s="14" t="s">
        <v>32</v>
      </c>
      <c r="D81" s="13" t="s">
        <v>51</v>
      </c>
      <c r="E81" s="13" t="s">
        <v>52</v>
      </c>
      <c r="F81" s="15" t="s">
        <v>30</v>
      </c>
      <c r="G81" s="15" t="s">
        <v>30</v>
      </c>
      <c r="H81" s="15" t="s">
        <v>31</v>
      </c>
      <c r="I81" s="15" t="s">
        <v>29</v>
      </c>
      <c r="J81" s="15" t="s">
        <v>29</v>
      </c>
      <c r="K81" s="15" t="s">
        <v>31</v>
      </c>
      <c r="L81" s="15" t="s">
        <v>29</v>
      </c>
      <c r="M81" s="15" t="s">
        <v>30</v>
      </c>
      <c r="N81" s="15" t="s">
        <v>30</v>
      </c>
      <c r="O81" s="15" t="s">
        <v>31</v>
      </c>
      <c r="P81" s="16">
        <v>-1</v>
      </c>
      <c r="Q81" s="16">
        <v>6</v>
      </c>
      <c r="R81" s="13" t="str">
        <f>_xlfn.CONCAT(F81,G81,H81,I81,J81)</f>
        <v>WWLDD</v>
      </c>
      <c r="S81" s="13" t="str">
        <f>_xlfn.CONCAT(K81,L81,M81,N81,O81)</f>
        <v>LDWWL</v>
      </c>
      <c r="T81" s="13" t="str">
        <f>_xlfn.CONCAT(R81,"***",S81)</f>
        <v>WWLDD***LDWWL</v>
      </c>
      <c r="U81" s="19">
        <f>(P81-Q81)</f>
        <v>-7</v>
      </c>
      <c r="V81" s="14">
        <v>1</v>
      </c>
      <c r="W81" s="14">
        <v>2</v>
      </c>
      <c r="X81" s="20" t="str">
        <f>IF(ISBLANK(V81),"",IF(V81&gt;W81,"1",IF(V81&lt;W81,"2",IF(V81=W81,"X"))))</f>
        <v>2</v>
      </c>
      <c r="Y81" s="23" t="str">
        <f>COUNTIF(F81:J81, "W")&amp;COUNTIF(F81:J81, "d")&amp;COUNTIF(F81:J81, "l")</f>
        <v>221</v>
      </c>
      <c r="Z81" s="13" t="str">
        <f>COUNTIF(K81:O81, "W")&amp;COUNTIF(K81:O81, "d")&amp;COUNTIF(K81:O81, "l")</f>
        <v>212</v>
      </c>
      <c r="AA81" s="23" t="str">
        <f>_xlfn.CONCAT(Y81,"-",Z81)</f>
        <v>221-212</v>
      </c>
      <c r="AB81" s="15" t="str">
        <f>_xlfn.CONCAT(AA81,"…",TEXT(U81,"+00;-00;+00;"))</f>
        <v>221-212…-07</v>
      </c>
      <c r="AC81" s="23" t="str">
        <f>_xlfn.CONCAT(TEXT(P81,"+00;-00;+00;"),"…",TEXT(Q81,"+00;-00;+00;"))</f>
        <v>-01…+06</v>
      </c>
      <c r="AD81" s="14" t="str">
        <f>IF(X81="","?","")</f>
        <v/>
      </c>
      <c r="AE81" s="15" t="str">
        <f>_xlfn.CONCAT(AA81,"…",TEXT(P81,"+00;-00;+00;"),"...",TEXT(Q81,"+00;-00;+00;"))</f>
        <v>221-212…-01...+06</v>
      </c>
      <c r="AF81" s="13" t="str">
        <f>_xlfn.CONCAT(R81,"…",TEXT(P81,"+00;-00;+00;"),"...",TEXT(Q81,"+00;-00;+00;"))</f>
        <v>WWLDD…-01...+06</v>
      </c>
    </row>
    <row r="82" spans="1:32" x14ac:dyDescent="0.25">
      <c r="A82" s="12" t="s">
        <v>2</v>
      </c>
      <c r="B82" s="13" t="s">
        <v>7</v>
      </c>
      <c r="C82" s="14" t="s">
        <v>8</v>
      </c>
      <c r="D82" s="13" t="s">
        <v>12</v>
      </c>
      <c r="E82" s="13" t="s">
        <v>22</v>
      </c>
      <c r="F82" s="15" t="s">
        <v>31</v>
      </c>
      <c r="G82" s="15" t="s">
        <v>30</v>
      </c>
      <c r="H82" s="15" t="s">
        <v>29</v>
      </c>
      <c r="I82" s="15" t="s">
        <v>30</v>
      </c>
      <c r="J82" s="15" t="s">
        <v>29</v>
      </c>
      <c r="K82" s="15" t="s">
        <v>29</v>
      </c>
      <c r="L82" s="15" t="s">
        <v>30</v>
      </c>
      <c r="M82" s="15" t="s">
        <v>31</v>
      </c>
      <c r="N82" s="15" t="s">
        <v>29</v>
      </c>
      <c r="O82" s="15" t="s">
        <v>30</v>
      </c>
      <c r="P82" s="16">
        <v>14</v>
      </c>
      <c r="Q82" s="16">
        <v>5</v>
      </c>
      <c r="R82" s="13" t="str">
        <f>_xlfn.CONCAT(F82,G82,H82,I82,J82)</f>
        <v>LWDWD</v>
      </c>
      <c r="S82" s="13" t="str">
        <f>_xlfn.CONCAT(K82,L82,M82,N82,O82)</f>
        <v>DWLDW</v>
      </c>
      <c r="T82" s="13" t="str">
        <f>_xlfn.CONCAT(R82,"***",S82)</f>
        <v>LWDWD***DWLDW</v>
      </c>
      <c r="U82" s="19">
        <f>(P82-Q82)</f>
        <v>9</v>
      </c>
      <c r="V82" s="14">
        <v>4</v>
      </c>
      <c r="W82" s="14">
        <v>1</v>
      </c>
      <c r="X82" s="20" t="str">
        <f>IF(ISBLANK(V82),"",IF(V82&gt;W82,"1",IF(V82&lt;W82,"2",IF(V82=W82,"X"))))</f>
        <v>1</v>
      </c>
      <c r="Y82" s="23" t="str">
        <f>COUNTIF(F82:J82, "W")&amp;COUNTIF(F82:J82, "d")&amp;COUNTIF(F82:J82, "l")</f>
        <v>221</v>
      </c>
      <c r="Z82" s="13" t="str">
        <f>COUNTIF(K82:O82, "W")&amp;COUNTIF(K82:O82, "d")&amp;COUNTIF(K82:O82, "l")</f>
        <v>221</v>
      </c>
      <c r="AA82" s="23" t="str">
        <f>_xlfn.CONCAT(Y82,"-",Z82)</f>
        <v>221-221</v>
      </c>
      <c r="AB82" s="15" t="str">
        <f>_xlfn.CONCAT(AA82,"…",TEXT(U82,"+00;-00;+00;"))</f>
        <v>221-221…+09</v>
      </c>
      <c r="AC82" s="23" t="str">
        <f>_xlfn.CONCAT(TEXT(P82,"+00;-00;+00;"),"…",TEXT(Q82,"+00;-00;+00;"))</f>
        <v>+14…+05</v>
      </c>
      <c r="AD82" s="14" t="str">
        <f>IF(X82="","?","")</f>
        <v/>
      </c>
      <c r="AE82" s="15" t="str">
        <f>_xlfn.CONCAT(AA82,"…",TEXT(P82,"+00;-00;+00;"),"...",TEXT(Q82,"+00;-00;+00;"))</f>
        <v>221-221…+14...+05</v>
      </c>
      <c r="AF82" s="13" t="str">
        <f>_xlfn.CONCAT(R82,"…",TEXT(P82,"+00;-00;+00;"),"...",TEXT(Q82,"+00;-00;+00;"))</f>
        <v>LWDWD…+14...+05</v>
      </c>
    </row>
    <row r="83" spans="1:32" x14ac:dyDescent="0.25">
      <c r="A83" s="12" t="s">
        <v>2</v>
      </c>
      <c r="B83" s="13" t="s">
        <v>7</v>
      </c>
      <c r="C83" s="14" t="s">
        <v>32</v>
      </c>
      <c r="D83" s="13" t="s">
        <v>43</v>
      </c>
      <c r="E83" s="13" t="s">
        <v>44</v>
      </c>
      <c r="F83" s="15" t="s">
        <v>31</v>
      </c>
      <c r="G83" s="15" t="s">
        <v>31</v>
      </c>
      <c r="H83" s="15" t="s">
        <v>30</v>
      </c>
      <c r="I83" s="15" t="s">
        <v>30</v>
      </c>
      <c r="J83" s="15" t="s">
        <v>30</v>
      </c>
      <c r="K83" s="15" t="s">
        <v>30</v>
      </c>
      <c r="L83" s="15" t="s">
        <v>29</v>
      </c>
      <c r="M83" s="15" t="s">
        <v>29</v>
      </c>
      <c r="N83" s="15" t="s">
        <v>30</v>
      </c>
      <c r="O83" s="15" t="s">
        <v>30</v>
      </c>
      <c r="P83" s="16">
        <v>19</v>
      </c>
      <c r="Q83" s="16">
        <v>5</v>
      </c>
      <c r="R83" s="13" t="str">
        <f>_xlfn.CONCAT(F83,G83,H83,I83,J83)</f>
        <v>LLWWW</v>
      </c>
      <c r="S83" s="13" t="str">
        <f>_xlfn.CONCAT(K83,L83,M83,N83,O83)</f>
        <v>WDDWW</v>
      </c>
      <c r="T83" s="13" t="str">
        <f>_xlfn.CONCAT(R83,"***",S83)</f>
        <v>LLWWW***WDDWW</v>
      </c>
      <c r="U83" s="19">
        <f>(P83-Q83)</f>
        <v>14</v>
      </c>
      <c r="V83" s="14">
        <v>2</v>
      </c>
      <c r="W83" s="14">
        <v>0</v>
      </c>
      <c r="X83" s="20" t="str">
        <f>IF(ISBLANK(V83),"",IF(V83&gt;W83,"1",IF(V83&lt;W83,"2",IF(V83=W83,"X"))))</f>
        <v>1</v>
      </c>
      <c r="Y83" s="23" t="str">
        <f>COUNTIF(F83:J83, "W")&amp;COUNTIF(F83:J83, "d")&amp;COUNTIF(F83:J83, "l")</f>
        <v>302</v>
      </c>
      <c r="Z83" s="13" t="str">
        <f>COUNTIF(K83:O83, "W")&amp;COUNTIF(K83:O83, "d")&amp;COUNTIF(K83:O83, "l")</f>
        <v>320</v>
      </c>
      <c r="AA83" s="23" t="str">
        <f>_xlfn.CONCAT(Y83,"-",Z83)</f>
        <v>302-320</v>
      </c>
      <c r="AB83" s="15" t="str">
        <f>_xlfn.CONCAT(AA83,"…",TEXT(U83,"+00;-00;+00;"))</f>
        <v>302-320…+14</v>
      </c>
      <c r="AC83" s="23" t="str">
        <f>_xlfn.CONCAT(TEXT(P83,"+00;-00;+00;"),"…",TEXT(Q83,"+00;-00;+00;"))</f>
        <v>+19…+05</v>
      </c>
      <c r="AD83" s="14" t="str">
        <f>IF(X83="","?","")</f>
        <v/>
      </c>
      <c r="AE83" s="15" t="str">
        <f>_xlfn.CONCAT(AA83,"…",TEXT(P83,"+00;-00;+00;"),"...",TEXT(Q83,"+00;-00;+00;"))</f>
        <v>302-320…+19...+05</v>
      </c>
      <c r="AF83" s="13" t="str">
        <f>_xlfn.CONCAT(R83,"…",TEXT(P83,"+00;-00;+00;"),"...",TEXT(Q83,"+00;-00;+00;"))</f>
        <v>LLWWW…+19...+05</v>
      </c>
    </row>
    <row r="84" spans="1:32" x14ac:dyDescent="0.25">
      <c r="A84" s="12" t="s">
        <v>2</v>
      </c>
      <c r="B84" s="13" t="s">
        <v>318</v>
      </c>
      <c r="C84" s="14">
        <v>1</v>
      </c>
      <c r="D84" s="13" t="s">
        <v>334</v>
      </c>
      <c r="E84" s="13" t="s">
        <v>325</v>
      </c>
      <c r="F84" s="15" t="s">
        <v>29</v>
      </c>
      <c r="G84" s="15" t="s">
        <v>31</v>
      </c>
      <c r="H84" s="15" t="s">
        <v>30</v>
      </c>
      <c r="I84" s="15" t="s">
        <v>30</v>
      </c>
      <c r="J84" s="15" t="s">
        <v>30</v>
      </c>
      <c r="K84" s="15" t="s">
        <v>31</v>
      </c>
      <c r="L84" s="15" t="s">
        <v>29</v>
      </c>
      <c r="M84" s="15" t="s">
        <v>30</v>
      </c>
      <c r="N84" s="15" t="s">
        <v>31</v>
      </c>
      <c r="O84" s="15" t="s">
        <v>31</v>
      </c>
      <c r="P84" s="16">
        <v>2</v>
      </c>
      <c r="Q84" s="16">
        <v>-12</v>
      </c>
      <c r="R84" s="13" t="str">
        <f>_xlfn.CONCAT(F84,G84,H84,I84,J84)</f>
        <v>DLWWW</v>
      </c>
      <c r="S84" s="13" t="str">
        <f>_xlfn.CONCAT(K84,L84,M84,N84,O84)</f>
        <v>LDWLL</v>
      </c>
      <c r="T84" s="13" t="str">
        <f>_xlfn.CONCAT(R84,"***",S84)</f>
        <v>DLWWW***LDWLL</v>
      </c>
      <c r="U84" s="19">
        <f>(P84-Q84)</f>
        <v>14</v>
      </c>
      <c r="V84" s="14">
        <v>2</v>
      </c>
      <c r="W84" s="14">
        <v>0</v>
      </c>
      <c r="X84" s="20" t="str">
        <f>IF(ISBLANK(V84),"",IF(V84&gt;W84,"1",IF(V84&lt;W84,"2",IF(V84=W84,"X"))))</f>
        <v>1</v>
      </c>
      <c r="Y84" s="23" t="str">
        <f>COUNTIF(F84:J84, "W")&amp;COUNTIF(F84:J84, "d")&amp;COUNTIF(F84:J84, "l")</f>
        <v>311</v>
      </c>
      <c r="Z84" s="13" t="str">
        <f>COUNTIF(K84:O84, "W")&amp;COUNTIF(K84:O84, "d")&amp;COUNTIF(K84:O84, "l")</f>
        <v>113</v>
      </c>
      <c r="AA84" s="23" t="str">
        <f>_xlfn.CONCAT(Y84,"-",Z84)</f>
        <v>311-113</v>
      </c>
      <c r="AB84" s="15" t="str">
        <f>_xlfn.CONCAT(AA84,"…",TEXT(U84,"+00;-00;+00;"))</f>
        <v>311-113…+14</v>
      </c>
      <c r="AC84" s="23" t="str">
        <f>_xlfn.CONCAT(TEXT(P84,"+00;-00;+00;"),"…",TEXT(Q84,"+00;-00;+00;"))</f>
        <v>+02…-12</v>
      </c>
      <c r="AD84" s="14" t="str">
        <f>IF(X84="","?","")</f>
        <v/>
      </c>
      <c r="AE84" s="15" t="str">
        <f>_xlfn.CONCAT(AA84,"…",TEXT(P84,"+00;-00;+00;"),"...",TEXT(Q84,"+00;-00;+00;"))</f>
        <v>311-113…+02...-12</v>
      </c>
      <c r="AF84" s="13" t="str">
        <f>_xlfn.CONCAT(R84,"…",TEXT(P84,"+00;-00;+00;"),"...",TEXT(Q84,"+00;-00;+00;"))</f>
        <v>DLWWW…+02...-12</v>
      </c>
    </row>
    <row r="85" spans="1:32" x14ac:dyDescent="0.25">
      <c r="A85" s="12" t="s">
        <v>2</v>
      </c>
      <c r="B85" s="13" t="s">
        <v>7</v>
      </c>
      <c r="C85" s="14" t="s">
        <v>32</v>
      </c>
      <c r="D85" s="13" t="s">
        <v>53</v>
      </c>
      <c r="E85" s="13" t="s">
        <v>54</v>
      </c>
      <c r="F85" s="15" t="s">
        <v>29</v>
      </c>
      <c r="G85" s="15" t="s">
        <v>29</v>
      </c>
      <c r="H85" s="15" t="s">
        <v>30</v>
      </c>
      <c r="I85" s="15" t="s">
        <v>30</v>
      </c>
      <c r="J85" s="15" t="s">
        <v>30</v>
      </c>
      <c r="K85" s="15" t="s">
        <v>31</v>
      </c>
      <c r="L85" s="15" t="s">
        <v>30</v>
      </c>
      <c r="M85" s="15" t="s">
        <v>31</v>
      </c>
      <c r="N85" s="15" t="s">
        <v>30</v>
      </c>
      <c r="O85" s="15" t="s">
        <v>30</v>
      </c>
      <c r="P85" s="16">
        <v>-2</v>
      </c>
      <c r="Q85" s="16">
        <v>-2</v>
      </c>
      <c r="R85" s="13" t="str">
        <f>_xlfn.CONCAT(F85,G85,H85,I85,J85)</f>
        <v>DDWWW</v>
      </c>
      <c r="S85" s="13" t="str">
        <f>_xlfn.CONCAT(K85,L85,M85,N85,O85)</f>
        <v>LWLWW</v>
      </c>
      <c r="T85" s="13" t="str">
        <f>_xlfn.CONCAT(R85,"***",S85)</f>
        <v>DDWWW***LWLWW</v>
      </c>
      <c r="U85" s="19">
        <f>(P85-Q85)</f>
        <v>0</v>
      </c>
      <c r="V85" s="14">
        <v>0</v>
      </c>
      <c r="W85" s="14">
        <v>3</v>
      </c>
      <c r="X85" s="20" t="str">
        <f>IF(ISBLANK(V85),"",IF(V85&gt;W85,"1",IF(V85&lt;W85,"2",IF(V85=W85,"X"))))</f>
        <v>2</v>
      </c>
      <c r="Y85" s="23" t="str">
        <f>COUNTIF(F85:J85, "W")&amp;COUNTIF(F85:J85, "d")&amp;COUNTIF(F85:J85, "l")</f>
        <v>320</v>
      </c>
      <c r="Z85" s="13" t="str">
        <f>COUNTIF(K85:O85, "W")&amp;COUNTIF(K85:O85, "d")&amp;COUNTIF(K85:O85, "l")</f>
        <v>302</v>
      </c>
      <c r="AA85" s="23" t="str">
        <f>_xlfn.CONCAT(Y85,"-",Z85)</f>
        <v>320-302</v>
      </c>
      <c r="AB85" s="15" t="str">
        <f>_xlfn.CONCAT(AA85,"…",TEXT(U85,"+00;-00;+00;"))</f>
        <v>320-302…+00</v>
      </c>
      <c r="AC85" s="23" t="str">
        <f>_xlfn.CONCAT(TEXT(P85,"+00;-00;+00;"),"…",TEXT(Q85,"+00;-00;+00;"))</f>
        <v>-02…-02</v>
      </c>
      <c r="AD85" s="14" t="str">
        <f>IF(X85="","?","")</f>
        <v/>
      </c>
      <c r="AE85" s="15" t="str">
        <f>_xlfn.CONCAT(AA85,"…",TEXT(P85,"+00;-00;+00;"),"...",TEXT(Q85,"+00;-00;+00;"))</f>
        <v>320-302…-02...-02</v>
      </c>
      <c r="AF85" s="13" t="str">
        <f>_xlfn.CONCAT(R85,"…",TEXT(P85,"+00;-00;+00;"),"...",TEXT(Q85,"+00;-00;+00;"))</f>
        <v>DDWWW…-02...-02</v>
      </c>
    </row>
    <row r="86" spans="1:32" x14ac:dyDescent="0.25">
      <c r="A86" s="12" t="s">
        <v>63</v>
      </c>
      <c r="B86" s="13" t="s">
        <v>117</v>
      </c>
      <c r="C86" s="14" t="s">
        <v>33</v>
      </c>
      <c r="D86" s="13" t="s">
        <v>161</v>
      </c>
      <c r="E86" s="13" t="s">
        <v>162</v>
      </c>
      <c r="F86" s="15" t="s">
        <v>30</v>
      </c>
      <c r="G86" s="15" t="s">
        <v>29</v>
      </c>
      <c r="H86" s="15" t="s">
        <v>31</v>
      </c>
      <c r="I86" s="15" t="s">
        <v>31</v>
      </c>
      <c r="J86" s="15" t="s">
        <v>30</v>
      </c>
      <c r="K86" s="15" t="s">
        <v>31</v>
      </c>
      <c r="L86" s="15" t="s">
        <v>31</v>
      </c>
      <c r="M86" s="15" t="s">
        <v>31</v>
      </c>
      <c r="N86" s="15" t="s">
        <v>31</v>
      </c>
      <c r="O86" s="15" t="s">
        <v>31</v>
      </c>
      <c r="P86" s="16">
        <v>-1</v>
      </c>
      <c r="Q86" s="16">
        <v>-3</v>
      </c>
      <c r="R86" s="13" t="str">
        <f>_xlfn.CONCAT(F86,G86,H86,I86,J86)</f>
        <v>WDLLW</v>
      </c>
      <c r="S86" s="13" t="str">
        <f>_xlfn.CONCAT(K86,L86,M86,N86,O86)</f>
        <v>LLLLL</v>
      </c>
      <c r="T86" s="13" t="str">
        <f>_xlfn.CONCAT(R86,"***",S86)</f>
        <v>WDLLW***LLLLL</v>
      </c>
      <c r="U86" s="19">
        <f>(P86-Q86)</f>
        <v>2</v>
      </c>
      <c r="V86" s="14">
        <v>1</v>
      </c>
      <c r="W86" s="14">
        <v>1</v>
      </c>
      <c r="X86" s="20" t="str">
        <f>IF(ISBLANK(V86),"",IF(V86&gt;W86,#REF!,IF(V86&lt;W86,"2",IF(V86=W86,"X"))))</f>
        <v>X</v>
      </c>
      <c r="Y86" s="23" t="str">
        <f>COUNTIF(F86:J86, "W")&amp;COUNTIF(F86:J86, "d")&amp;COUNTIF(F86:J86, "l")</f>
        <v>212</v>
      </c>
      <c r="Z86" s="13" t="str">
        <f>COUNTIF(K86:O86, "W")&amp;COUNTIF(K86:O86, "d")&amp;COUNTIF(K86:O86, "l")</f>
        <v>005</v>
      </c>
      <c r="AA86" s="23" t="str">
        <f>_xlfn.CONCAT(Y86,"-",Z86)</f>
        <v>212-005</v>
      </c>
      <c r="AB86" s="15" t="str">
        <f>_xlfn.CONCAT(AA86,"…",TEXT(U86,"+00;-00;+00;"))</f>
        <v>212-005…+02</v>
      </c>
      <c r="AC86" s="23" t="str">
        <f>_xlfn.CONCAT(TEXT(P86,"+00;-00;+00;"),"…",TEXT(Q86,"+00;-00;+00;"))</f>
        <v>-01…-03</v>
      </c>
      <c r="AD86" s="14" t="str">
        <f>IF(X86="","?","")</f>
        <v/>
      </c>
      <c r="AE86" s="15" t="str">
        <f>_xlfn.CONCAT(AA86,"…",TEXT(P86,"+00;-00;+00;"),"...",TEXT(Q86,"+00;-00;+00;"))</f>
        <v>212-005…-01...-03</v>
      </c>
      <c r="AF86" s="13" t="str">
        <f>_xlfn.CONCAT(R86,"…",TEXT(P86,"+00;-00;+00;"),"...",TEXT(Q86,"+00;-00;+00;"))</f>
        <v>WDLLW…-01...-03</v>
      </c>
    </row>
    <row r="87" spans="1:32" x14ac:dyDescent="0.25">
      <c r="A87" s="12" t="s">
        <v>63</v>
      </c>
      <c r="B87" s="13" t="s">
        <v>59</v>
      </c>
      <c r="C87" s="14" t="s">
        <v>31</v>
      </c>
      <c r="D87" s="13" t="s">
        <v>71</v>
      </c>
      <c r="E87" s="13" t="s">
        <v>72</v>
      </c>
      <c r="F87" s="15" t="s">
        <v>31</v>
      </c>
      <c r="G87" s="15" t="s">
        <v>30</v>
      </c>
      <c r="H87" s="15" t="s">
        <v>29</v>
      </c>
      <c r="I87" s="15" t="s">
        <v>30</v>
      </c>
      <c r="J87" s="15" t="s">
        <v>29</v>
      </c>
      <c r="K87" s="15" t="s">
        <v>31</v>
      </c>
      <c r="L87" s="15" t="s">
        <v>29</v>
      </c>
      <c r="M87" s="15" t="s">
        <v>31</v>
      </c>
      <c r="N87" s="15" t="s">
        <v>31</v>
      </c>
      <c r="O87" s="15" t="s">
        <v>29</v>
      </c>
      <c r="P87" s="16">
        <v>-2</v>
      </c>
      <c r="Q87" s="16">
        <v>-10</v>
      </c>
      <c r="R87" s="13" t="str">
        <f>_xlfn.CONCAT(F87,G87,H87,I87,J87)</f>
        <v>LWDWD</v>
      </c>
      <c r="S87" s="13" t="str">
        <f>_xlfn.CONCAT(K87,L87,M87,N87,O87)</f>
        <v>LDLLD</v>
      </c>
      <c r="T87" s="13" t="str">
        <f>_xlfn.CONCAT(R87,"***",S87)</f>
        <v>LWDWD***LDLLD</v>
      </c>
      <c r="U87" s="19">
        <f>(P87-Q87)</f>
        <v>8</v>
      </c>
      <c r="V87" s="14">
        <v>0</v>
      </c>
      <c r="W87" s="14">
        <v>0</v>
      </c>
      <c r="X87" s="20" t="str">
        <f>IF(ISBLANK(V87),"",IF(V87&gt;W87,"1",IF(V87&lt;W87,"2",IF(V87=W87,"X"))))</f>
        <v>X</v>
      </c>
      <c r="Y87" s="23" t="str">
        <f>COUNTIF(F87:J87, "W")&amp;COUNTIF(F87:J87, "d")&amp;COUNTIF(F87:J87, "l")</f>
        <v>221</v>
      </c>
      <c r="Z87" s="13" t="str">
        <f>COUNTIF(K87:O87, "W")&amp;COUNTIF(K87:O87, "d")&amp;COUNTIF(K87:O87, "l")</f>
        <v>023</v>
      </c>
      <c r="AA87" s="23" t="str">
        <f>_xlfn.CONCAT(Y87,"-",Z87)</f>
        <v>221-023</v>
      </c>
      <c r="AB87" s="15" t="str">
        <f>_xlfn.CONCAT(AA87,"…",TEXT(U87,"+00;-00;+00;"))</f>
        <v>221-023…+08</v>
      </c>
      <c r="AC87" s="23" t="str">
        <f>_xlfn.CONCAT(TEXT(P87,"+00;-00;+00;"),"…",TEXT(Q87,"+00;-00;+00;"))</f>
        <v>-02…-10</v>
      </c>
      <c r="AD87" s="14" t="str">
        <f>IF(X87="","?","")</f>
        <v/>
      </c>
      <c r="AE87" s="15" t="str">
        <f>_xlfn.CONCAT(AA87,"…",TEXT(P87,"+00;-00;+00;"),"...",TEXT(Q87,"+00;-00;+00;"))</f>
        <v>221-023…-02...-10</v>
      </c>
      <c r="AF87" s="13" t="str">
        <f>_xlfn.CONCAT(R87,"…",TEXT(P87,"+00;-00;+00;"),"...",TEXT(Q87,"+00;-00;+00;"))</f>
        <v>LWDWD…-02...-10</v>
      </c>
    </row>
    <row r="88" spans="1:32" x14ac:dyDescent="0.25">
      <c r="A88" s="12" t="s">
        <v>296</v>
      </c>
      <c r="B88" s="13" t="s">
        <v>295</v>
      </c>
      <c r="C88" s="14">
        <v>1</v>
      </c>
      <c r="D88" s="13" t="s">
        <v>301</v>
      </c>
      <c r="E88" s="13" t="s">
        <v>302</v>
      </c>
      <c r="F88" s="15" t="s">
        <v>29</v>
      </c>
      <c r="G88" s="15" t="s">
        <v>29</v>
      </c>
      <c r="H88" s="15" t="s">
        <v>31</v>
      </c>
      <c r="I88" s="15" t="s">
        <v>31</v>
      </c>
      <c r="J88" s="15" t="s">
        <v>29</v>
      </c>
      <c r="K88" s="15" t="s">
        <v>30</v>
      </c>
      <c r="L88" s="15" t="s">
        <v>30</v>
      </c>
      <c r="M88" s="15" t="s">
        <v>31</v>
      </c>
      <c r="N88" s="15" t="s">
        <v>30</v>
      </c>
      <c r="O88" s="15" t="s">
        <v>30</v>
      </c>
      <c r="P88" s="16">
        <v>-1</v>
      </c>
      <c r="Q88" s="16">
        <v>27</v>
      </c>
      <c r="R88" s="13" t="str">
        <f>_xlfn.CONCAT(F88,G88,H88,I88,J88)</f>
        <v>DDLLD</v>
      </c>
      <c r="S88" s="13" t="str">
        <f>_xlfn.CONCAT(K88,L88,M88,N88,O88)</f>
        <v>WWLWW</v>
      </c>
      <c r="T88" s="13" t="str">
        <f>_xlfn.CONCAT(R88,"***",S88)</f>
        <v>DDLLD***WWLWW</v>
      </c>
      <c r="U88" s="19">
        <f>(P88-Q88)</f>
        <v>-28</v>
      </c>
      <c r="V88" s="14">
        <v>2</v>
      </c>
      <c r="W88" s="14">
        <v>4</v>
      </c>
      <c r="X88" s="20" t="str">
        <f>IF(ISBLANK(V88),"",IF(V88&gt;W88,"1",IF(V88&lt;W88,"2",IF(V88=W88,"X"))))</f>
        <v>2</v>
      </c>
      <c r="Y88" s="23" t="str">
        <f>COUNTIF(F88:J88, "W")&amp;COUNTIF(F88:J88, "d")&amp;COUNTIF(F88:J88, "l")</f>
        <v>032</v>
      </c>
      <c r="Z88" s="13" t="str">
        <f>COUNTIF(K88:O88, "W")&amp;COUNTIF(K88:O88, "d")&amp;COUNTIF(K88:O88, "l")</f>
        <v>401</v>
      </c>
      <c r="AA88" s="23" t="str">
        <f>_xlfn.CONCAT(Y88,"-",Z88)</f>
        <v>032-401</v>
      </c>
      <c r="AB88" s="15" t="str">
        <f>_xlfn.CONCAT(AA88,"…",TEXT(U88,"+00;-00;+00;"))</f>
        <v>032-401…-28</v>
      </c>
      <c r="AC88" s="23" t="str">
        <f>_xlfn.CONCAT(TEXT(P88,"+00;-00;+00;"),"…",TEXT(Q88,"+00;-00;+00;"))</f>
        <v>-01…+27</v>
      </c>
      <c r="AD88" s="14" t="str">
        <f>IF(X88="","?","")</f>
        <v/>
      </c>
      <c r="AE88" s="15" t="str">
        <f>_xlfn.CONCAT(AA88,"…",TEXT(P88,"+00;-00;+00;"),"...",TEXT(Q88,"+00;-00;+00;"))</f>
        <v>032-401…-01...+27</v>
      </c>
      <c r="AF88" s="13" t="str">
        <f>_xlfn.CONCAT(R88,"…",TEXT(P88,"+00;-00;+00;"),"...",TEXT(Q88,"+00;-00;+00;"))</f>
        <v>DDLLD…-01...+27</v>
      </c>
    </row>
    <row r="89" spans="1:32" s="8" customFormat="1" x14ac:dyDescent="0.25">
      <c r="A89" s="12" t="s">
        <v>296</v>
      </c>
      <c r="B89" s="13" t="s">
        <v>401</v>
      </c>
      <c r="C89" s="14">
        <v>1</v>
      </c>
      <c r="D89" s="13" t="s">
        <v>405</v>
      </c>
      <c r="E89" s="13" t="s">
        <v>406</v>
      </c>
      <c r="F89" s="15" t="s">
        <v>30</v>
      </c>
      <c r="G89" s="15" t="s">
        <v>31</v>
      </c>
      <c r="H89" s="15" t="s">
        <v>30</v>
      </c>
      <c r="I89" s="15" t="s">
        <v>31</v>
      </c>
      <c r="J89" s="15" t="s">
        <v>30</v>
      </c>
      <c r="K89" s="15" t="s">
        <v>31</v>
      </c>
      <c r="L89" s="15" t="s">
        <v>31</v>
      </c>
      <c r="M89" s="15" t="s">
        <v>31</v>
      </c>
      <c r="N89" s="15" t="s">
        <v>30</v>
      </c>
      <c r="O89" s="15" t="s">
        <v>31</v>
      </c>
      <c r="P89" s="16">
        <v>19</v>
      </c>
      <c r="Q89" s="16">
        <v>-13</v>
      </c>
      <c r="R89" s="13" t="str">
        <f>_xlfn.CONCAT(F89,G89,H89,I89,J89)</f>
        <v>WLWLW</v>
      </c>
      <c r="S89" s="13" t="str">
        <f>_xlfn.CONCAT(K89,L89,M89,N89,O89)</f>
        <v>LLLWL</v>
      </c>
      <c r="T89" s="13" t="str">
        <f>_xlfn.CONCAT(R89,"***",S89)</f>
        <v>WLWLW***LLLWL</v>
      </c>
      <c r="U89" s="19">
        <f>(P89-Q89)</f>
        <v>32</v>
      </c>
      <c r="V89" s="14">
        <v>3</v>
      </c>
      <c r="W89" s="14">
        <v>1</v>
      </c>
      <c r="X89" s="20" t="str">
        <f>IF(ISBLANK(V89),"",IF(V89&gt;W89,"1",IF(V89&lt;W89,"2",IF(V89=W89,"X"))))</f>
        <v>1</v>
      </c>
      <c r="Y89" s="23" t="str">
        <f>COUNTIF(F89:J89, "W")&amp;COUNTIF(F89:J89, "d")&amp;COUNTIF(F89:J89, "l")</f>
        <v>302</v>
      </c>
      <c r="Z89" s="13" t="str">
        <f>COUNTIF(K89:O89, "W")&amp;COUNTIF(K89:O89, "d")&amp;COUNTIF(K89:O89, "l")</f>
        <v>104</v>
      </c>
      <c r="AA89" s="23" t="str">
        <f>_xlfn.CONCAT(Y89,"-",Z89)</f>
        <v>302-104</v>
      </c>
      <c r="AB89" s="15" t="str">
        <f>_xlfn.CONCAT(AA89,"…",TEXT(U89,"+00;-00;+00;"))</f>
        <v>302-104…+32</v>
      </c>
      <c r="AC89" s="23" t="str">
        <f>_xlfn.CONCAT(TEXT(P89,"+00;-00;+00;"),"…",TEXT(Q89,"+00;-00;+00;"))</f>
        <v>+19…-13</v>
      </c>
      <c r="AD89" s="14" t="str">
        <f>IF(X89="","?","")</f>
        <v/>
      </c>
      <c r="AE89" s="15" t="str">
        <f>_xlfn.CONCAT(AA89,"…",TEXT(P89,"+00;-00;+00;"),"...",TEXT(Q89,"+00;-00;+00;"))</f>
        <v>302-104…+19...-13</v>
      </c>
      <c r="AF89" s="13" t="str">
        <f>_xlfn.CONCAT(R89,"…",TEXT(P89,"+00;-00;+00;"),"...",TEXT(Q89,"+00;-00;+00;"))</f>
        <v>WLWLW…+19...-13</v>
      </c>
    </row>
    <row r="90" spans="1:32" x14ac:dyDescent="0.25">
      <c r="A90" s="12" t="s">
        <v>168</v>
      </c>
      <c r="B90" s="13" t="s">
        <v>167</v>
      </c>
      <c r="C90" s="14">
        <v>1</v>
      </c>
      <c r="D90" s="13" t="s">
        <v>171</v>
      </c>
      <c r="E90" s="13" t="s">
        <v>172</v>
      </c>
      <c r="F90" s="15" t="s">
        <v>30</v>
      </c>
      <c r="G90" s="15" t="s">
        <v>29</v>
      </c>
      <c r="H90" s="15" t="s">
        <v>31</v>
      </c>
      <c r="I90" s="15" t="s">
        <v>30</v>
      </c>
      <c r="J90" s="15" t="s">
        <v>29</v>
      </c>
      <c r="K90" s="15" t="s">
        <v>30</v>
      </c>
      <c r="L90" s="15" t="s">
        <v>29</v>
      </c>
      <c r="M90" s="15" t="s">
        <v>30</v>
      </c>
      <c r="N90" s="15" t="s">
        <v>29</v>
      </c>
      <c r="O90" s="15" t="s">
        <v>29</v>
      </c>
      <c r="P90" s="16">
        <v>-6</v>
      </c>
      <c r="Q90" s="16">
        <v>0</v>
      </c>
      <c r="R90" s="13" t="str">
        <f>_xlfn.CONCAT(F90,G90,H90,I90,J90)</f>
        <v>WDLWD</v>
      </c>
      <c r="S90" s="13" t="str">
        <f>_xlfn.CONCAT(K90,L90,M90,N90,O90)</f>
        <v>WDWDD</v>
      </c>
      <c r="T90" s="13" t="str">
        <f>_xlfn.CONCAT(R90,"***",S90)</f>
        <v>WDLWD***WDWDD</v>
      </c>
      <c r="U90" s="19">
        <f>(P90-Q90)</f>
        <v>-6</v>
      </c>
      <c r="V90" s="14">
        <v>0</v>
      </c>
      <c r="W90" s="14">
        <v>3</v>
      </c>
      <c r="X90" s="20" t="str">
        <f>IF(ISBLANK(V90),"",IF(V90&gt;W90,"1",IF(V90&lt;W90,"2",IF(V90=W90,"X"))))</f>
        <v>2</v>
      </c>
      <c r="Y90" s="23" t="str">
        <f>COUNTIF(F90:J90, "W")&amp;COUNTIF(F90:J90, "d")&amp;COUNTIF(F90:J90, "l")</f>
        <v>221</v>
      </c>
      <c r="Z90" s="13" t="str">
        <f>COUNTIF(K90:O90, "W")&amp;COUNTIF(K90:O90, "d")&amp;COUNTIF(K90:O90, "l")</f>
        <v>230</v>
      </c>
      <c r="AA90" s="23" t="str">
        <f>_xlfn.CONCAT(Y90,"-",Z90)</f>
        <v>221-230</v>
      </c>
      <c r="AB90" s="15" t="str">
        <f>_xlfn.CONCAT(AA90,"…",TEXT(U90,"+00;-00;+00;"))</f>
        <v>221-230…-06</v>
      </c>
      <c r="AC90" s="23" t="str">
        <f>_xlfn.CONCAT(TEXT(P90,"+00;-00;+00;"),"…",TEXT(Q90,"+00;-00;+00;"))</f>
        <v>-06…+00</v>
      </c>
      <c r="AD90" s="14" t="str">
        <f>IF(X90="","?","")</f>
        <v/>
      </c>
      <c r="AE90" s="15" t="str">
        <f>_xlfn.CONCAT(AA90,"…",TEXT(P90,"+00;-00;+00;"),"...",TEXT(Q90,"+00;-00;+00;"))</f>
        <v>221-230…-06...+00</v>
      </c>
      <c r="AF90" s="13" t="str">
        <f>_xlfn.CONCAT(R90,"…",TEXT(P90,"+00;-00;+00;"),"...",TEXT(Q90,"+00;-00;+00;"))</f>
        <v>WDLWD…-06...+00</v>
      </c>
    </row>
    <row r="91" spans="1:32" s="9" customFormat="1" x14ac:dyDescent="0.25">
      <c r="A91" s="12" t="s">
        <v>168</v>
      </c>
      <c r="B91" s="13" t="s">
        <v>339</v>
      </c>
      <c r="C91" s="14">
        <v>1</v>
      </c>
      <c r="D91" s="13" t="s">
        <v>350</v>
      </c>
      <c r="E91" s="13" t="s">
        <v>351</v>
      </c>
      <c r="F91" s="15" t="s">
        <v>31</v>
      </c>
      <c r="G91" s="15" t="s">
        <v>30</v>
      </c>
      <c r="H91" s="15" t="s">
        <v>30</v>
      </c>
      <c r="I91" s="15" t="s">
        <v>30</v>
      </c>
      <c r="J91" s="15" t="s">
        <v>30</v>
      </c>
      <c r="K91" s="15" t="s">
        <v>31</v>
      </c>
      <c r="L91" s="15" t="s">
        <v>31</v>
      </c>
      <c r="M91" s="15" t="s">
        <v>31</v>
      </c>
      <c r="N91" s="15" t="s">
        <v>31</v>
      </c>
      <c r="O91" s="15" t="s">
        <v>30</v>
      </c>
      <c r="P91" s="16">
        <v>14</v>
      </c>
      <c r="Q91" s="16">
        <v>-8</v>
      </c>
      <c r="R91" s="13" t="str">
        <f>_xlfn.CONCAT(F91,G91,H91,I91,J91)</f>
        <v>LWWWW</v>
      </c>
      <c r="S91" s="13" t="str">
        <f>_xlfn.CONCAT(K91,L91,M91,N91,O91)</f>
        <v>LLLLW</v>
      </c>
      <c r="T91" s="13" t="str">
        <f>_xlfn.CONCAT(R91,"***",S91)</f>
        <v>LWWWW***LLLLW</v>
      </c>
      <c r="U91" s="19">
        <f>(P91-Q91)</f>
        <v>22</v>
      </c>
      <c r="V91" s="14">
        <v>4</v>
      </c>
      <c r="W91" s="14">
        <v>0</v>
      </c>
      <c r="X91" s="20" t="str">
        <f>IF(ISBLANK(V91),"",IF(V91&gt;W91,"1",IF(V91&lt;W91,"2",IF(V91=W91,"X"))))</f>
        <v>1</v>
      </c>
      <c r="Y91" s="23" t="str">
        <f>COUNTIF(F91:J91, "W")&amp;COUNTIF(F91:J91, "d")&amp;COUNTIF(F91:J91, "l")</f>
        <v>401</v>
      </c>
      <c r="Z91" s="13" t="str">
        <f>COUNTIF(K91:O91, "W")&amp;COUNTIF(K91:O91, "d")&amp;COUNTIF(K91:O91, "l")</f>
        <v>104</v>
      </c>
      <c r="AA91" s="23" t="str">
        <f>_xlfn.CONCAT(Y91,"-",Z91)</f>
        <v>401-104</v>
      </c>
      <c r="AB91" s="15" t="str">
        <f>_xlfn.CONCAT(AA91,"…",TEXT(U91,"+00;-00;+00;"))</f>
        <v>401-104…+22</v>
      </c>
      <c r="AC91" s="23" t="str">
        <f>_xlfn.CONCAT(TEXT(P91,"+00;-00;+00;"),"…",TEXT(Q91,"+00;-00;+00;"))</f>
        <v>+14…-08</v>
      </c>
      <c r="AD91" s="14" t="str">
        <f>IF(X91="","?","")</f>
        <v/>
      </c>
      <c r="AE91" s="15" t="str">
        <f>_xlfn.CONCAT(AA91,"…",TEXT(P91,"+00;-00;+00;"),"...",TEXT(Q91,"+00;-00;+00;"))</f>
        <v>401-104…+14...-08</v>
      </c>
      <c r="AF91" s="25" t="str">
        <f>_xlfn.CONCAT(R91,"…",TEXT(P91,"+00;-00;+00;"),"...",TEXT(Q91,"+00;-00;+00;"))</f>
        <v>LWWWW…+14...-08</v>
      </c>
    </row>
    <row r="92" spans="1:32" x14ac:dyDescent="0.25">
      <c r="A92" s="12" t="s">
        <v>119</v>
      </c>
      <c r="B92" s="13" t="s">
        <v>117</v>
      </c>
      <c r="C92" s="14" t="s">
        <v>0</v>
      </c>
      <c r="D92" s="13" t="s">
        <v>128</v>
      </c>
      <c r="E92" s="13" t="s">
        <v>129</v>
      </c>
      <c r="F92" s="15" t="s">
        <v>29</v>
      </c>
      <c r="G92" s="15" t="s">
        <v>31</v>
      </c>
      <c r="H92" s="15" t="s">
        <v>30</v>
      </c>
      <c r="I92" s="15" t="s">
        <v>30</v>
      </c>
      <c r="J92" s="15" t="s">
        <v>31</v>
      </c>
      <c r="K92" s="15" t="s">
        <v>31</v>
      </c>
      <c r="L92" s="15" t="s">
        <v>30</v>
      </c>
      <c r="M92" s="15" t="s">
        <v>29</v>
      </c>
      <c r="N92" s="15" t="s">
        <v>30</v>
      </c>
      <c r="O92" s="15" t="s">
        <v>31</v>
      </c>
      <c r="P92" s="16">
        <v>9</v>
      </c>
      <c r="Q92" s="16">
        <v>11</v>
      </c>
      <c r="R92" s="13" t="str">
        <f>_xlfn.CONCAT(F92,G92,H92,I92,J92)</f>
        <v>DLWWL</v>
      </c>
      <c r="S92" s="13" t="str">
        <f>_xlfn.CONCAT(K92,L92,M92,N92,O92)</f>
        <v>LWDWL</v>
      </c>
      <c r="T92" s="13" t="str">
        <f>_xlfn.CONCAT(R92,"***",S92)</f>
        <v>DLWWL***LWDWL</v>
      </c>
      <c r="U92" s="19">
        <f>(P92-Q92)</f>
        <v>-2</v>
      </c>
      <c r="V92" s="14">
        <v>1</v>
      </c>
      <c r="W92" s="14">
        <v>2</v>
      </c>
      <c r="X92" s="20" t="str">
        <f>IF(ISBLANK(V92),"",IF(V92&gt;W92,"1",IF(V92&lt;W92,"2",IF(V92=W92,"X"))))</f>
        <v>2</v>
      </c>
      <c r="Y92" s="23" t="str">
        <f>COUNTIF(F92:J92, "W")&amp;COUNTIF(F92:J92, "d")&amp;COUNTIF(F92:J92, "l")</f>
        <v>212</v>
      </c>
      <c r="Z92" s="13" t="str">
        <f>COUNTIF(K92:O92, "W")&amp;COUNTIF(K92:O92, "d")&amp;COUNTIF(K92:O92, "l")</f>
        <v>212</v>
      </c>
      <c r="AA92" s="23" t="str">
        <f>_xlfn.CONCAT(Y92,"-",Z92)</f>
        <v>212-212</v>
      </c>
      <c r="AB92" s="15" t="str">
        <f>_xlfn.CONCAT(AA92,"…",TEXT(U92,"+00;-00;+00;"))</f>
        <v>212-212…-02</v>
      </c>
      <c r="AC92" s="23" t="str">
        <f>_xlfn.CONCAT(TEXT(P92,"+00;-00;+00;"),"…",TEXT(Q92,"+00;-00;+00;"))</f>
        <v>+09…+11</v>
      </c>
      <c r="AD92" s="14" t="str">
        <f>IF(X92="","?","")</f>
        <v/>
      </c>
      <c r="AE92" s="15" t="str">
        <f>_xlfn.CONCAT(AA92,"…",TEXT(P92,"+00;-00;+00;"),"...",TEXT(Q92,"+00;-00;+00;"))</f>
        <v>212-212…+09...+11</v>
      </c>
      <c r="AF92" s="13" t="str">
        <f>_xlfn.CONCAT(R92,"…",TEXT(P92,"+00;-00;+00;"),"...",TEXT(Q92,"+00;-00;+00;"))</f>
        <v>DLWWL…+09...+11</v>
      </c>
    </row>
    <row r="93" spans="1:32" x14ac:dyDescent="0.25">
      <c r="A93" s="12" t="s">
        <v>320</v>
      </c>
      <c r="B93" s="13" t="s">
        <v>318</v>
      </c>
      <c r="C93" s="14">
        <v>1</v>
      </c>
      <c r="D93" s="13" t="s">
        <v>326</v>
      </c>
      <c r="E93" s="13" t="s">
        <v>327</v>
      </c>
      <c r="F93" s="15" t="s">
        <v>31</v>
      </c>
      <c r="G93" s="15" t="s">
        <v>31</v>
      </c>
      <c r="H93" s="15" t="s">
        <v>31</v>
      </c>
      <c r="I93" s="15" t="s">
        <v>30</v>
      </c>
      <c r="J93" s="15" t="s">
        <v>30</v>
      </c>
      <c r="K93" s="15" t="s">
        <v>29</v>
      </c>
      <c r="L93" s="15" t="s">
        <v>30</v>
      </c>
      <c r="M93" s="15" t="s">
        <v>31</v>
      </c>
      <c r="N93" s="15" t="s">
        <v>29</v>
      </c>
      <c r="O93" s="15" t="s">
        <v>30</v>
      </c>
      <c r="P93" s="16">
        <v>-9</v>
      </c>
      <c r="Q93" s="16">
        <v>-8</v>
      </c>
      <c r="R93" s="13" t="str">
        <f>_xlfn.CONCAT(F93,G93,H93,I93,J93)</f>
        <v>LLLWW</v>
      </c>
      <c r="S93" s="13" t="str">
        <f>_xlfn.CONCAT(K93,L93,M93,N93,O93)</f>
        <v>DWLDW</v>
      </c>
      <c r="T93" s="13" t="str">
        <f>_xlfn.CONCAT(R93,"***",S93)</f>
        <v>LLLWW***DWLDW</v>
      </c>
      <c r="U93" s="19">
        <f>(P93-Q93)</f>
        <v>-1</v>
      </c>
      <c r="V93" s="14">
        <v>3</v>
      </c>
      <c r="W93" s="14">
        <v>2</v>
      </c>
      <c r="X93" s="20" t="str">
        <f>IF(ISBLANK(V93),"",IF(V93&gt;W93,"1",IF(V93&lt;W93,"2",IF(V93=W93,"X"))))</f>
        <v>1</v>
      </c>
      <c r="Y93" s="23" t="str">
        <f>COUNTIF(F93:J93, "W")&amp;COUNTIF(F93:J93, "d")&amp;COUNTIF(F93:J93, "l")</f>
        <v>203</v>
      </c>
      <c r="Z93" s="13" t="str">
        <f>COUNTIF(K93:O93, "W")&amp;COUNTIF(K93:O93, "d")&amp;COUNTIF(K93:O93, "l")</f>
        <v>221</v>
      </c>
      <c r="AA93" s="23" t="str">
        <f>_xlfn.CONCAT(Y93,"-",Z93)</f>
        <v>203-221</v>
      </c>
      <c r="AB93" s="15" t="str">
        <f>_xlfn.CONCAT(AA93,"…",TEXT(U93,"+00;-00;+00;"))</f>
        <v>203-221…-01</v>
      </c>
      <c r="AC93" s="23" t="str">
        <f>_xlfn.CONCAT(TEXT(P93,"+00;-00;+00;"),"…",TEXT(Q93,"+00;-00;+00;"))</f>
        <v>-09…-08</v>
      </c>
      <c r="AD93" s="14" t="str">
        <f>IF(X93="","?","")</f>
        <v/>
      </c>
      <c r="AE93" s="15" t="str">
        <f>_xlfn.CONCAT(AA93,"…",TEXT(P93,"+00;-00;+00;"),"...",TEXT(Q93,"+00;-00;+00;"))</f>
        <v>203-221…-09...-08</v>
      </c>
      <c r="AF93" s="13" t="str">
        <f>_xlfn.CONCAT(R93,"…",TEXT(P93,"+00;-00;+00;"),"...",TEXT(Q93,"+00;-00;+00;"))</f>
        <v>LLLWW…-09...-08</v>
      </c>
    </row>
    <row r="94" spans="1:32" x14ac:dyDescent="0.25">
      <c r="A94" s="12" t="s">
        <v>3</v>
      </c>
      <c r="B94" s="13" t="s">
        <v>59</v>
      </c>
      <c r="C94" s="14" t="s">
        <v>31</v>
      </c>
      <c r="D94" s="13" t="s">
        <v>73</v>
      </c>
      <c r="E94" s="13" t="s">
        <v>74</v>
      </c>
      <c r="F94" s="15" t="s">
        <v>29</v>
      </c>
      <c r="G94" s="15" t="s">
        <v>30</v>
      </c>
      <c r="H94" s="15" t="s">
        <v>29</v>
      </c>
      <c r="I94" s="15" t="s">
        <v>29</v>
      </c>
      <c r="J94" s="15" t="s">
        <v>29</v>
      </c>
      <c r="K94" s="15" t="s">
        <v>31</v>
      </c>
      <c r="L94" s="15" t="s">
        <v>31</v>
      </c>
      <c r="M94" s="15" t="s">
        <v>31</v>
      </c>
      <c r="N94" s="15" t="s">
        <v>31</v>
      </c>
      <c r="O94" s="15" t="s">
        <v>31</v>
      </c>
      <c r="P94" s="16">
        <v>-2</v>
      </c>
      <c r="Q94" s="16">
        <v>-20</v>
      </c>
      <c r="R94" s="13" t="str">
        <f>_xlfn.CONCAT(F94,G94,H94,I94,J94)</f>
        <v>DWDDD</v>
      </c>
      <c r="S94" s="13" t="str">
        <f>_xlfn.CONCAT(K94,L94,M94,N94,O94)</f>
        <v>LLLLL</v>
      </c>
      <c r="T94" s="13" t="str">
        <f>_xlfn.CONCAT(R94,"***",S94)</f>
        <v>DWDDD***LLLLL</v>
      </c>
      <c r="U94" s="19">
        <f>(P94-Q94)</f>
        <v>18</v>
      </c>
      <c r="V94" s="14">
        <v>2</v>
      </c>
      <c r="W94" s="14">
        <v>1</v>
      </c>
      <c r="X94" s="20" t="str">
        <f>IF(ISBLANK(V94),"",IF(V94&gt;W94,"1",IF(V94&lt;W94,"2",IF(V94=W94,"X"))))</f>
        <v>1</v>
      </c>
      <c r="Y94" s="23" t="str">
        <f>COUNTIF(F94:J94, "W")&amp;COUNTIF(F94:J94, "d")&amp;COUNTIF(F94:J94, "l")</f>
        <v>140</v>
      </c>
      <c r="Z94" s="13" t="str">
        <f>COUNTIF(K94:O94, "W")&amp;COUNTIF(K94:O94, "d")&amp;COUNTIF(K94:O94, "l")</f>
        <v>005</v>
      </c>
      <c r="AA94" s="23" t="str">
        <f>_xlfn.CONCAT(Y94,"-",Z94)</f>
        <v>140-005</v>
      </c>
      <c r="AB94" s="15" t="str">
        <f>_xlfn.CONCAT(AA94,"…",TEXT(U94,"+00;-00;+00;"))</f>
        <v>140-005…+18</v>
      </c>
      <c r="AC94" s="23" t="str">
        <f>_xlfn.CONCAT(TEXT(P94,"+00;-00;+00;"),"…",TEXT(Q94,"+00;-00;+00;"))</f>
        <v>-02…-20</v>
      </c>
      <c r="AD94" s="14" t="str">
        <f>IF(X94="","?","")</f>
        <v/>
      </c>
      <c r="AE94" s="15" t="str">
        <f>_xlfn.CONCAT(AA94,"…",TEXT(P94,"+00;-00;+00;"),"...",TEXT(Q94,"+00;-00;+00;"))</f>
        <v>140-005…-02...-20</v>
      </c>
      <c r="AF94" s="13" t="str">
        <f>_xlfn.CONCAT(R94,"…",TEXT(P94,"+00;-00;+00;"),"...",TEXT(Q94,"+00;-00;+00;"))</f>
        <v>DWDDD…-02...-20</v>
      </c>
    </row>
    <row r="95" spans="1:32" x14ac:dyDescent="0.25">
      <c r="A95" s="12" t="s">
        <v>3</v>
      </c>
      <c r="B95" s="13" t="s">
        <v>7</v>
      </c>
      <c r="C95" s="14" t="s">
        <v>8</v>
      </c>
      <c r="D95" s="13" t="s">
        <v>15</v>
      </c>
      <c r="E95" s="13" t="s">
        <v>25</v>
      </c>
      <c r="F95" s="15" t="s">
        <v>31</v>
      </c>
      <c r="G95" s="15" t="s">
        <v>30</v>
      </c>
      <c r="H95" s="15" t="s">
        <v>30</v>
      </c>
      <c r="I95" s="15" t="s">
        <v>30</v>
      </c>
      <c r="J95" s="15" t="s">
        <v>31</v>
      </c>
      <c r="K95" s="15" t="s">
        <v>30</v>
      </c>
      <c r="L95" s="15" t="s">
        <v>31</v>
      </c>
      <c r="M95" s="15" t="s">
        <v>30</v>
      </c>
      <c r="N95" s="15" t="s">
        <v>29</v>
      </c>
      <c r="O95" s="15" t="s">
        <v>30</v>
      </c>
      <c r="P95" s="16">
        <v>2</v>
      </c>
      <c r="Q95" s="16">
        <v>16</v>
      </c>
      <c r="R95" s="13" t="str">
        <f>_xlfn.CONCAT(F95,G95,H95,I95,J95)</f>
        <v>LWWWL</v>
      </c>
      <c r="S95" s="13" t="str">
        <f>_xlfn.CONCAT(K95,L95,M95,N95,O95)</f>
        <v>WLWDW</v>
      </c>
      <c r="T95" s="13" t="str">
        <f>_xlfn.CONCAT(R95,"***",S95)</f>
        <v>LWWWL***WLWDW</v>
      </c>
      <c r="U95" s="19">
        <f>(P95-Q95)</f>
        <v>-14</v>
      </c>
      <c r="V95" s="14">
        <v>0</v>
      </c>
      <c r="W95" s="14">
        <v>1</v>
      </c>
      <c r="X95" s="20" t="str">
        <f>IF(ISBLANK(V95),"",IF(V95&gt;W95,"1",IF(V95&lt;W95,"2",IF(V95=W95,"X"))))</f>
        <v>2</v>
      </c>
      <c r="Y95" s="23" t="str">
        <f>COUNTIF(F95:J95, "W")&amp;COUNTIF(F95:J95, "d")&amp;COUNTIF(F95:J95, "l")</f>
        <v>302</v>
      </c>
      <c r="Z95" s="13" t="str">
        <f>COUNTIF(K95:O95, "W")&amp;COUNTIF(K95:O95, "d")&amp;COUNTIF(K95:O95, "l")</f>
        <v>311</v>
      </c>
      <c r="AA95" s="23" t="str">
        <f>_xlfn.CONCAT(Y95,"-",Z95)</f>
        <v>302-311</v>
      </c>
      <c r="AB95" s="15" t="str">
        <f>_xlfn.CONCAT(AA95,"…",TEXT(U95,"+00;-00;+00;"))</f>
        <v>302-311…-14</v>
      </c>
      <c r="AC95" s="23" t="str">
        <f>_xlfn.CONCAT(TEXT(P95,"+00;-00;+00;"),"…",TEXT(Q95,"+00;-00;+00;"))</f>
        <v>+02…+16</v>
      </c>
      <c r="AD95" s="14" t="str">
        <f>IF(X95="","?","")</f>
        <v/>
      </c>
      <c r="AE95" s="15" t="str">
        <f>_xlfn.CONCAT(AA95,"…",TEXT(P95,"+00;-00;+00;"),"...",TEXT(Q95,"+00;-00;+00;"))</f>
        <v>302-311…+02...+16</v>
      </c>
      <c r="AF95" s="13" t="str">
        <f>_xlfn.CONCAT(R95,"…",TEXT(P95,"+00;-00;+00;"),"...",TEXT(Q95,"+00;-00;+00;"))</f>
        <v>LWWWL…+02...+16</v>
      </c>
    </row>
    <row r="96" spans="1:32" x14ac:dyDescent="0.25">
      <c r="A96" s="12" t="s">
        <v>3</v>
      </c>
      <c r="B96" s="13" t="s">
        <v>7</v>
      </c>
      <c r="C96" s="14" t="s">
        <v>32</v>
      </c>
      <c r="D96" s="13" t="s">
        <v>57</v>
      </c>
      <c r="E96" s="13" t="s">
        <v>58</v>
      </c>
      <c r="F96" s="15" t="s">
        <v>31</v>
      </c>
      <c r="G96" s="15" t="s">
        <v>30</v>
      </c>
      <c r="H96" s="15" t="s">
        <v>30</v>
      </c>
      <c r="I96" s="15" t="s">
        <v>30</v>
      </c>
      <c r="J96" s="15" t="s">
        <v>29</v>
      </c>
      <c r="K96" s="15" t="s">
        <v>30</v>
      </c>
      <c r="L96" s="15" t="s">
        <v>29</v>
      </c>
      <c r="M96" s="15" t="s">
        <v>29</v>
      </c>
      <c r="N96" s="15" t="s">
        <v>30</v>
      </c>
      <c r="O96" s="15" t="s">
        <v>30</v>
      </c>
      <c r="P96" s="16">
        <v>9</v>
      </c>
      <c r="Q96" s="16">
        <v>15</v>
      </c>
      <c r="R96" s="13" t="str">
        <f>_xlfn.CONCAT(F96,G96,H96,I96,J96)</f>
        <v>LWWWD</v>
      </c>
      <c r="S96" s="13" t="str">
        <f>_xlfn.CONCAT(K96,L96,M96,N96,O96)</f>
        <v>WDDWW</v>
      </c>
      <c r="T96" s="13" t="str">
        <f>_xlfn.CONCAT(R96,"***",S96)</f>
        <v>LWWWD***WDDWW</v>
      </c>
      <c r="U96" s="19">
        <f>(P96-Q96)</f>
        <v>-6</v>
      </c>
      <c r="V96" s="14">
        <v>2</v>
      </c>
      <c r="W96" s="14">
        <v>0</v>
      </c>
      <c r="X96" s="20" t="str">
        <f>IF(ISBLANK(V96),"",IF(V96&gt;W96,"1",IF(V96&lt;W96,"2",IF(V96=W96,"X"))))</f>
        <v>1</v>
      </c>
      <c r="Y96" s="23" t="str">
        <f>COUNTIF(F96:J96, "W")&amp;COUNTIF(F96:J96, "d")&amp;COUNTIF(F96:J96, "l")</f>
        <v>311</v>
      </c>
      <c r="Z96" s="13" t="str">
        <f>COUNTIF(K96:O96, "W")&amp;COUNTIF(K96:O96, "d")&amp;COUNTIF(K96:O96, "l")</f>
        <v>320</v>
      </c>
      <c r="AA96" s="23" t="str">
        <f>_xlfn.CONCAT(Y96,"-",Z96)</f>
        <v>311-320</v>
      </c>
      <c r="AB96" s="15" t="str">
        <f>_xlfn.CONCAT(AA96,"…",TEXT(U96,"+00;-00;+00;"))</f>
        <v>311-320…-06</v>
      </c>
      <c r="AC96" s="23" t="str">
        <f>_xlfn.CONCAT(TEXT(P96,"+00;-00;+00;"),"…",TEXT(Q96,"+00;-00;+00;"))</f>
        <v>+09…+15</v>
      </c>
      <c r="AD96" s="14" t="str">
        <f>IF(X96="","?","")</f>
        <v/>
      </c>
      <c r="AE96" s="15" t="str">
        <f>_xlfn.CONCAT(AA96,"…",TEXT(P96,"+00;-00;+00;"),"...",TEXT(Q96,"+00;-00;+00;"))</f>
        <v>311-320…+09...+15</v>
      </c>
      <c r="AF96" s="13" t="str">
        <f>_xlfn.CONCAT(R96,"…",TEXT(P96,"+00;-00;+00;"),"...",TEXT(Q96,"+00;-00;+00;"))</f>
        <v>LWWWD…+09...+15</v>
      </c>
    </row>
    <row r="97" spans="1:32" x14ac:dyDescent="0.25">
      <c r="A97" s="12" t="s">
        <v>3</v>
      </c>
      <c r="B97" s="13" t="s">
        <v>208</v>
      </c>
      <c r="C97" s="14">
        <v>1</v>
      </c>
      <c r="D97" s="13" t="s">
        <v>221</v>
      </c>
      <c r="E97" s="13" t="s">
        <v>222</v>
      </c>
      <c r="F97" s="15" t="s">
        <v>29</v>
      </c>
      <c r="G97" s="15" t="s">
        <v>30</v>
      </c>
      <c r="H97" s="15" t="s">
        <v>29</v>
      </c>
      <c r="I97" s="15" t="s">
        <v>30</v>
      </c>
      <c r="J97" s="15" t="s">
        <v>30</v>
      </c>
      <c r="K97" s="15" t="s">
        <v>30</v>
      </c>
      <c r="L97" s="15" t="s">
        <v>31</v>
      </c>
      <c r="M97" s="15" t="s">
        <v>31</v>
      </c>
      <c r="N97" s="15" t="s">
        <v>30</v>
      </c>
      <c r="O97" s="15" t="s">
        <v>30</v>
      </c>
      <c r="P97" s="16">
        <v>6</v>
      </c>
      <c r="Q97" s="16">
        <v>15</v>
      </c>
      <c r="R97" s="13" t="str">
        <f>_xlfn.CONCAT(F97,G97,H97,I97,J97)</f>
        <v>DWDWW</v>
      </c>
      <c r="S97" s="13" t="str">
        <f>_xlfn.CONCAT(K97,L97,M97,N97,O97)</f>
        <v>WLLWW</v>
      </c>
      <c r="T97" s="13" t="str">
        <f>_xlfn.CONCAT(R97,"***",S97)</f>
        <v>DWDWW***WLLWW</v>
      </c>
      <c r="U97" s="19">
        <f>(P97-Q97)</f>
        <v>-9</v>
      </c>
      <c r="V97" s="14">
        <v>1</v>
      </c>
      <c r="W97" s="14">
        <v>2</v>
      </c>
      <c r="X97" s="20" t="str">
        <f>IF(ISBLANK(V97),"",IF(V97&gt;W97,"1",IF(V97&lt;W97,"2",IF(V97=W97,"X"))))</f>
        <v>2</v>
      </c>
      <c r="Y97" s="23" t="str">
        <f>COUNTIF(F97:J97, "W")&amp;COUNTIF(F97:J97, "d")&amp;COUNTIF(F97:J97, "l")</f>
        <v>320</v>
      </c>
      <c r="Z97" s="13" t="str">
        <f>COUNTIF(K97:O97, "W")&amp;COUNTIF(K97:O97, "d")&amp;COUNTIF(K97:O97, "l")</f>
        <v>302</v>
      </c>
      <c r="AA97" s="23" t="str">
        <f>_xlfn.CONCAT(Y97,"-",Z97)</f>
        <v>320-302</v>
      </c>
      <c r="AB97" s="15" t="str">
        <f>_xlfn.CONCAT(AA97,"…",TEXT(U97,"+00;-00;+00;"))</f>
        <v>320-302…-09</v>
      </c>
      <c r="AC97" s="23" t="str">
        <f>_xlfn.CONCAT(TEXT(P97,"+00;-00;+00;"),"…",TEXT(Q97,"+00;-00;+00;"))</f>
        <v>+06…+15</v>
      </c>
      <c r="AD97" s="14" t="str">
        <f>IF(X97="","?","")</f>
        <v/>
      </c>
      <c r="AE97" s="15" t="str">
        <f>_xlfn.CONCAT(AA97,"…",TEXT(P97,"+00;-00;+00;"),"...",TEXT(Q97,"+00;-00;+00;"))</f>
        <v>320-302…+06...+15</v>
      </c>
      <c r="AF97" s="13" t="str">
        <f>_xlfn.CONCAT(R97,"…",TEXT(P97,"+00;-00;+00;"),"...",TEXT(Q97,"+00;-00;+00;"))</f>
        <v>DWDWW…+06...+15</v>
      </c>
    </row>
    <row r="98" spans="1:32" x14ac:dyDescent="0.25">
      <c r="A98" s="12" t="s">
        <v>297</v>
      </c>
      <c r="B98" s="13" t="s">
        <v>295</v>
      </c>
      <c r="C98" s="14">
        <v>1</v>
      </c>
      <c r="D98" s="13" t="s">
        <v>303</v>
      </c>
      <c r="E98" s="13" t="s">
        <v>304</v>
      </c>
      <c r="F98" s="15" t="s">
        <v>30</v>
      </c>
      <c r="G98" s="15" t="s">
        <v>31</v>
      </c>
      <c r="H98" s="15" t="s">
        <v>30</v>
      </c>
      <c r="I98" s="15" t="s">
        <v>31</v>
      </c>
      <c r="J98" s="15" t="s">
        <v>29</v>
      </c>
      <c r="K98" s="15" t="s">
        <v>30</v>
      </c>
      <c r="L98" s="15" t="s">
        <v>31</v>
      </c>
      <c r="M98" s="15" t="s">
        <v>29</v>
      </c>
      <c r="N98" s="15" t="s">
        <v>31</v>
      </c>
      <c r="O98" s="15" t="s">
        <v>31</v>
      </c>
      <c r="P98" s="16">
        <v>-9</v>
      </c>
      <c r="Q98" s="16">
        <v>-8</v>
      </c>
      <c r="R98" s="13" t="str">
        <f>_xlfn.CONCAT(F98,G98,H98,I98,J98)</f>
        <v>WLWLD</v>
      </c>
      <c r="S98" s="13" t="str">
        <f>_xlfn.CONCAT(K98,L98,M98,N98,O98)</f>
        <v>WLDLL</v>
      </c>
      <c r="T98" s="13" t="str">
        <f>_xlfn.CONCAT(R98,"***",S98)</f>
        <v>WLWLD***WLDLL</v>
      </c>
      <c r="U98" s="19">
        <f>(P98-Q98)</f>
        <v>-1</v>
      </c>
      <c r="V98" s="14">
        <v>3</v>
      </c>
      <c r="W98" s="14">
        <v>0</v>
      </c>
      <c r="X98" s="20" t="str">
        <f>IF(ISBLANK(V98),"",IF(V98&gt;W98,"1",IF(V98&lt;W98,"2",IF(V98=W98,"X"))))</f>
        <v>1</v>
      </c>
      <c r="Y98" s="23" t="str">
        <f>COUNTIF(F98:J98, "W")&amp;COUNTIF(F98:J98, "d")&amp;COUNTIF(F98:J98, "l")</f>
        <v>212</v>
      </c>
      <c r="Z98" s="13" t="str">
        <f>COUNTIF(K98:O98, "W")&amp;COUNTIF(K98:O98, "d")&amp;COUNTIF(K98:O98, "l")</f>
        <v>113</v>
      </c>
      <c r="AA98" s="23" t="str">
        <f>_xlfn.CONCAT(Y98,"-",Z98)</f>
        <v>212-113</v>
      </c>
      <c r="AB98" s="15" t="str">
        <f>_xlfn.CONCAT(AA98,"…",TEXT(U98,"+00;-00;+00;"))</f>
        <v>212-113…-01</v>
      </c>
      <c r="AC98" s="23" t="str">
        <f>_xlfn.CONCAT(TEXT(P98,"+00;-00;+00;"),"…",TEXT(Q98,"+00;-00;+00;"))</f>
        <v>-09…-08</v>
      </c>
      <c r="AD98" s="14" t="str">
        <f>IF(X98="","?","")</f>
        <v/>
      </c>
      <c r="AE98" s="15" t="str">
        <f>_xlfn.CONCAT(AA98,"…",TEXT(P98,"+00;-00;+00;"),"...",TEXT(Q98,"+00;-00;+00;"))</f>
        <v>212-113…-09...-08</v>
      </c>
      <c r="AF98" s="13" t="str">
        <f>_xlfn.CONCAT(R98,"…",TEXT(P98,"+00;-00;+00;"),"...",TEXT(Q98,"+00;-00;+00;"))</f>
        <v>WLWLD…-09...-08</v>
      </c>
    </row>
    <row r="99" spans="1:32" x14ac:dyDescent="0.25">
      <c r="A99" s="12" t="s">
        <v>297</v>
      </c>
      <c r="B99" s="13" t="s">
        <v>295</v>
      </c>
      <c r="C99" s="14">
        <v>1</v>
      </c>
      <c r="D99" s="13" t="s">
        <v>305</v>
      </c>
      <c r="E99" s="13" t="s">
        <v>306</v>
      </c>
      <c r="F99" s="15" t="s">
        <v>29</v>
      </c>
      <c r="G99" s="15" t="s">
        <v>29</v>
      </c>
      <c r="H99" s="15" t="s">
        <v>30</v>
      </c>
      <c r="I99" s="15" t="s">
        <v>29</v>
      </c>
      <c r="J99" s="15" t="s">
        <v>30</v>
      </c>
      <c r="K99" s="15" t="s">
        <v>30</v>
      </c>
      <c r="L99" s="15" t="s">
        <v>30</v>
      </c>
      <c r="M99" s="15" t="s">
        <v>30</v>
      </c>
      <c r="N99" s="15" t="s">
        <v>30</v>
      </c>
      <c r="O99" s="15" t="s">
        <v>30</v>
      </c>
      <c r="P99" s="16">
        <v>14</v>
      </c>
      <c r="Q99" s="16">
        <v>40</v>
      </c>
      <c r="R99" s="13" t="str">
        <f>_xlfn.CONCAT(F99,G99,H99,I99,J99)</f>
        <v>DDWDW</v>
      </c>
      <c r="S99" s="13" t="str">
        <f>_xlfn.CONCAT(K99,L99,M99,N99,O99)</f>
        <v>WWWWW</v>
      </c>
      <c r="T99" s="13" t="str">
        <f>_xlfn.CONCAT(R99,"***",S99)</f>
        <v>DDWDW***WWWWW</v>
      </c>
      <c r="U99" s="19">
        <f>(P99-Q99)</f>
        <v>-26</v>
      </c>
      <c r="V99" s="14">
        <v>0</v>
      </c>
      <c r="W99" s="14">
        <v>3</v>
      </c>
      <c r="X99" s="20" t="str">
        <f>IF(ISBLANK(V99),"",IF(V99&gt;W99,"1",IF(V99&lt;W99,"2",IF(V99=W99,"X"))))</f>
        <v>2</v>
      </c>
      <c r="Y99" s="23" t="str">
        <f>COUNTIF(F99:J99, "W")&amp;COUNTIF(F99:J99, "d")&amp;COUNTIF(F99:J99, "l")</f>
        <v>230</v>
      </c>
      <c r="Z99" s="13" t="str">
        <f>COUNTIF(K99:O99, "W")&amp;COUNTIF(K99:O99, "d")&amp;COUNTIF(K99:O99, "l")</f>
        <v>500</v>
      </c>
      <c r="AA99" s="23" t="str">
        <f>_xlfn.CONCAT(Y99,"-",Z99)</f>
        <v>230-500</v>
      </c>
      <c r="AB99" s="15" t="str">
        <f>_xlfn.CONCAT(AA99,"…",TEXT(U99,"+00;-00;+00;"))</f>
        <v>230-500…-26</v>
      </c>
      <c r="AC99" s="23" t="str">
        <f>_xlfn.CONCAT(TEXT(P99,"+00;-00;+00;"),"…",TEXT(Q99,"+00;-00;+00;"))</f>
        <v>+14…+40</v>
      </c>
      <c r="AD99" s="14" t="str">
        <f>IF(X99="","?","")</f>
        <v/>
      </c>
      <c r="AE99" s="15" t="str">
        <f>_xlfn.CONCAT(AA99,"…",TEXT(P99,"+00;-00;+00;"),"...",TEXT(Q99,"+00;-00;+00;"))</f>
        <v>230-500…+14...+40</v>
      </c>
      <c r="AF99" s="13" t="str">
        <f>_xlfn.CONCAT(R99,"…",TEXT(P99,"+00;-00;+00;"),"...",TEXT(Q99,"+00;-00;+00;"))</f>
        <v>DDWDW…+14...+40</v>
      </c>
    </row>
    <row r="100" spans="1:32" x14ac:dyDescent="0.25">
      <c r="A100" s="12" t="s">
        <v>187</v>
      </c>
      <c r="B100" s="13" t="s">
        <v>167</v>
      </c>
      <c r="C100" s="14">
        <v>2</v>
      </c>
      <c r="D100" s="13" t="s">
        <v>193</v>
      </c>
      <c r="E100" s="13" t="s">
        <v>194</v>
      </c>
      <c r="F100" s="15" t="s">
        <v>31</v>
      </c>
      <c r="G100" s="15" t="s">
        <v>31</v>
      </c>
      <c r="H100" s="15" t="s">
        <v>30</v>
      </c>
      <c r="I100" s="15" t="s">
        <v>29</v>
      </c>
      <c r="J100" s="15" t="s">
        <v>31</v>
      </c>
      <c r="K100" s="15" t="s">
        <v>30</v>
      </c>
      <c r="L100" s="15" t="s">
        <v>30</v>
      </c>
      <c r="M100" s="15" t="s">
        <v>31</v>
      </c>
      <c r="N100" s="15" t="s">
        <v>30</v>
      </c>
      <c r="O100" s="15" t="s">
        <v>29</v>
      </c>
      <c r="P100" s="16">
        <v>-5</v>
      </c>
      <c r="Q100" s="16">
        <v>3</v>
      </c>
      <c r="R100" s="13" t="str">
        <f>_xlfn.CONCAT(F100,G100,H100,I100,J100)</f>
        <v>LLWDL</v>
      </c>
      <c r="S100" s="13" t="str">
        <f>_xlfn.CONCAT(K100,L100,M100,N100,O100)</f>
        <v>WWLWD</v>
      </c>
      <c r="T100" s="13" t="str">
        <f>_xlfn.CONCAT(R100,"***",S100)</f>
        <v>LLWDL***WWLWD</v>
      </c>
      <c r="U100" s="19">
        <f>(P100-Q100)</f>
        <v>-8</v>
      </c>
      <c r="V100" s="14">
        <v>2</v>
      </c>
      <c r="W100" s="14">
        <v>0</v>
      </c>
      <c r="X100" s="20" t="str">
        <f>IF(ISBLANK(V100),"",IF(V100&gt;W100,"1",IF(V100&lt;W100,"2",IF(V100=W100,"X"))))</f>
        <v>1</v>
      </c>
      <c r="Y100" s="23" t="str">
        <f>COUNTIF(F100:J100, "W")&amp;COUNTIF(F100:J100, "d")&amp;COUNTIF(F100:J100, "l")</f>
        <v>113</v>
      </c>
      <c r="Z100" s="13" t="str">
        <f>COUNTIF(K100:O100, "W")&amp;COUNTIF(K100:O100, "d")&amp;COUNTIF(K100:O100, "l")</f>
        <v>311</v>
      </c>
      <c r="AA100" s="23" t="str">
        <f>_xlfn.CONCAT(Y100,"-",Z100)</f>
        <v>113-311</v>
      </c>
      <c r="AB100" s="15" t="str">
        <f>_xlfn.CONCAT(AA100,"…",TEXT(U100,"+00;-00;+00;"))</f>
        <v>113-311…-08</v>
      </c>
      <c r="AC100" s="23" t="str">
        <f>_xlfn.CONCAT(TEXT(P100,"+00;-00;+00;"),"…",TEXT(Q100,"+00;-00;+00;"))</f>
        <v>-05…+03</v>
      </c>
      <c r="AD100" s="14" t="str">
        <f>IF(X100="","?","")</f>
        <v/>
      </c>
      <c r="AE100" s="15" t="str">
        <f>_xlfn.CONCAT(AA100,"…",TEXT(P100,"+00;-00;+00;"),"...",TEXT(Q100,"+00;-00;+00;"))</f>
        <v>113-311…-05...+03</v>
      </c>
      <c r="AF100" s="13" t="str">
        <f>_xlfn.CONCAT(R100,"…",TEXT(P100,"+00;-00;+00;"),"...",TEXT(Q100,"+00;-00;+00;"))</f>
        <v>LLWDL…-05...+03</v>
      </c>
    </row>
    <row r="101" spans="1:32" x14ac:dyDescent="0.25">
      <c r="A101" s="12" t="s">
        <v>187</v>
      </c>
      <c r="B101" s="13" t="s">
        <v>364</v>
      </c>
      <c r="C101" s="14">
        <v>1</v>
      </c>
      <c r="D101" s="13" t="s">
        <v>369</v>
      </c>
      <c r="E101" s="13" t="s">
        <v>370</v>
      </c>
      <c r="F101" s="15" t="s">
        <v>31</v>
      </c>
      <c r="G101" s="15" t="s">
        <v>30</v>
      </c>
      <c r="H101" s="15" t="s">
        <v>29</v>
      </c>
      <c r="I101" s="15" t="s">
        <v>31</v>
      </c>
      <c r="J101" s="15" t="s">
        <v>31</v>
      </c>
      <c r="K101" s="15" t="s">
        <v>29</v>
      </c>
      <c r="L101" s="15" t="s">
        <v>30</v>
      </c>
      <c r="M101" s="15" t="s">
        <v>30</v>
      </c>
      <c r="N101" s="15" t="s">
        <v>30</v>
      </c>
      <c r="O101" s="15" t="s">
        <v>29</v>
      </c>
      <c r="P101" s="16">
        <v>-9</v>
      </c>
      <c r="Q101" s="16">
        <v>15</v>
      </c>
      <c r="R101" s="13" t="str">
        <f>_xlfn.CONCAT(F101,G101,H101,I101,J101)</f>
        <v>LWDLL</v>
      </c>
      <c r="S101" s="13" t="str">
        <f>_xlfn.CONCAT(K101,L101,M101,N101,O101)</f>
        <v>DWWWD</v>
      </c>
      <c r="T101" s="13" t="str">
        <f>_xlfn.CONCAT(R101,"***",S101)</f>
        <v>LWDLL***DWWWD</v>
      </c>
      <c r="U101" s="19">
        <f>(P101-Q101)</f>
        <v>-24</v>
      </c>
      <c r="V101" s="14">
        <v>2</v>
      </c>
      <c r="W101" s="14">
        <v>1</v>
      </c>
      <c r="X101" s="20" t="str">
        <f>IF(ISBLANK(V101),"",IF(V101&gt;W101,"1",IF(V101&lt;W101,"2",IF(V101=W101,"X"))))</f>
        <v>1</v>
      </c>
      <c r="Y101" s="23" t="str">
        <f>COUNTIF(F101:J101, "W")&amp;COUNTIF(F101:J101, "d")&amp;COUNTIF(F101:J101, "l")</f>
        <v>113</v>
      </c>
      <c r="Z101" s="13" t="str">
        <f>COUNTIF(K101:O101, "W")&amp;COUNTIF(K101:O101, "d")&amp;COUNTIF(K101:O101, "l")</f>
        <v>320</v>
      </c>
      <c r="AA101" s="23" t="str">
        <f>_xlfn.CONCAT(Y101,"-",Z101)</f>
        <v>113-320</v>
      </c>
      <c r="AB101" s="15" t="str">
        <f>_xlfn.CONCAT(AA101,"…",TEXT(U101,"+00;-00;+00;"))</f>
        <v>113-320…-24</v>
      </c>
      <c r="AC101" s="23" t="str">
        <f>_xlfn.CONCAT(TEXT(P101,"+00;-00;+00;"),"…",TEXT(Q101,"+00;-00;+00;"))</f>
        <v>-09…+15</v>
      </c>
      <c r="AD101" s="14" t="str">
        <f>IF(X101="","?","")</f>
        <v/>
      </c>
      <c r="AE101" s="15" t="str">
        <f>_xlfn.CONCAT(AA101,"…",TEXT(P101,"+00;-00;+00;"),"...",TEXT(Q101,"+00;-00;+00;"))</f>
        <v>113-320…-09...+15</v>
      </c>
      <c r="AF101" s="13" t="str">
        <f>_xlfn.CONCAT(R101,"…",TEXT(P101,"+00;-00;+00;"),"...",TEXT(Q101,"+00;-00;+00;"))</f>
        <v>LWDLL…-09...+15</v>
      </c>
    </row>
    <row r="102" spans="1:32" x14ac:dyDescent="0.25">
      <c r="A102" s="12" t="s">
        <v>187</v>
      </c>
      <c r="B102" s="13" t="s">
        <v>167</v>
      </c>
      <c r="C102" s="14">
        <v>2</v>
      </c>
      <c r="D102" s="13" t="s">
        <v>199</v>
      </c>
      <c r="E102" s="13" t="s">
        <v>200</v>
      </c>
      <c r="F102" s="15" t="s">
        <v>30</v>
      </c>
      <c r="G102" s="15" t="s">
        <v>31</v>
      </c>
      <c r="H102" s="15" t="s">
        <v>31</v>
      </c>
      <c r="I102" s="15" t="s">
        <v>29</v>
      </c>
      <c r="J102" s="15" t="s">
        <v>29</v>
      </c>
      <c r="K102" s="15" t="s">
        <v>29</v>
      </c>
      <c r="L102" s="15" t="s">
        <v>31</v>
      </c>
      <c r="M102" s="15" t="s">
        <v>29</v>
      </c>
      <c r="N102" s="15" t="s">
        <v>29</v>
      </c>
      <c r="O102" s="15" t="s">
        <v>30</v>
      </c>
      <c r="P102" s="16">
        <v>4</v>
      </c>
      <c r="Q102" s="16">
        <v>2</v>
      </c>
      <c r="R102" s="13" t="str">
        <f>_xlfn.CONCAT(F102,G102,H102,I102,J102)</f>
        <v>WLLDD</v>
      </c>
      <c r="S102" s="13" t="str">
        <f>_xlfn.CONCAT(K102,L102,M102,N102,O102)</f>
        <v>DLDDW</v>
      </c>
      <c r="T102" s="13" t="str">
        <f>_xlfn.CONCAT(R102,"***",S102)</f>
        <v>WLLDD***DLDDW</v>
      </c>
      <c r="U102" s="19">
        <f>(P102-Q102)</f>
        <v>2</v>
      </c>
      <c r="V102" s="14">
        <v>2</v>
      </c>
      <c r="W102" s="14">
        <v>1</v>
      </c>
      <c r="X102" s="20" t="str">
        <f>IF(ISBLANK(V102),"",IF(V102&gt;W102,"1",IF(V102&lt;W102,"2",IF(V102=W102,"X"))))</f>
        <v>1</v>
      </c>
      <c r="Y102" s="23" t="str">
        <f>COUNTIF(F102:J102, "W")&amp;COUNTIF(F102:J102, "d")&amp;COUNTIF(F102:J102, "l")</f>
        <v>122</v>
      </c>
      <c r="Z102" s="13" t="str">
        <f>COUNTIF(K102:O102, "W")&amp;COUNTIF(K102:O102, "d")&amp;COUNTIF(K102:O102, "l")</f>
        <v>131</v>
      </c>
      <c r="AA102" s="23" t="str">
        <f>_xlfn.CONCAT(Y102,"-",Z102)</f>
        <v>122-131</v>
      </c>
      <c r="AB102" s="15" t="str">
        <f>_xlfn.CONCAT(AA102,"…",TEXT(U102,"+00;-00;+00;"))</f>
        <v>122-131…+02</v>
      </c>
      <c r="AC102" s="23" t="str">
        <f>_xlfn.CONCAT(TEXT(P102,"+00;-00;+00;"),"…",TEXT(Q102,"+00;-00;+00;"))</f>
        <v>+04…+02</v>
      </c>
      <c r="AD102" s="14" t="str">
        <f>IF(X102="","?","")</f>
        <v/>
      </c>
      <c r="AE102" s="15" t="str">
        <f>_xlfn.CONCAT(AA102,"…",TEXT(P102,"+00;-00;+00;"),"...",TEXT(Q102,"+00;-00;+00;"))</f>
        <v>122-131…+04...+02</v>
      </c>
      <c r="AF102" s="13" t="str">
        <f>_xlfn.CONCAT(R102,"…",TEXT(P102,"+00;-00;+00;"),"...",TEXT(Q102,"+00;-00;+00;"))</f>
        <v>WLLDD…+04...+02</v>
      </c>
    </row>
    <row r="103" spans="1:32" x14ac:dyDescent="0.25">
      <c r="A103" s="12" t="s">
        <v>187</v>
      </c>
      <c r="B103" s="13" t="s">
        <v>167</v>
      </c>
      <c r="C103" s="14">
        <v>2</v>
      </c>
      <c r="D103" s="13" t="s">
        <v>191</v>
      </c>
      <c r="E103" s="13" t="s">
        <v>192</v>
      </c>
      <c r="F103" s="15" t="s">
        <v>31</v>
      </c>
      <c r="G103" s="15" t="s">
        <v>30</v>
      </c>
      <c r="H103" s="15" t="s">
        <v>29</v>
      </c>
      <c r="I103" s="15" t="s">
        <v>29</v>
      </c>
      <c r="J103" s="15" t="s">
        <v>31</v>
      </c>
      <c r="K103" s="15" t="s">
        <v>30</v>
      </c>
      <c r="L103" s="15" t="s">
        <v>30</v>
      </c>
      <c r="M103" s="15" t="s">
        <v>29</v>
      </c>
      <c r="N103" s="15" t="s">
        <v>30</v>
      </c>
      <c r="O103" s="15" t="s">
        <v>31</v>
      </c>
      <c r="P103" s="16">
        <v>-3</v>
      </c>
      <c r="Q103" s="16">
        <v>-2</v>
      </c>
      <c r="R103" s="13" t="str">
        <f>_xlfn.CONCAT(F103,G103,H103,I103,J103)</f>
        <v>LWDDL</v>
      </c>
      <c r="S103" s="13" t="str">
        <f>_xlfn.CONCAT(K103,L103,M103,N103,O103)</f>
        <v>WWDWL</v>
      </c>
      <c r="T103" s="13" t="str">
        <f>_xlfn.CONCAT(R103,"***",S103)</f>
        <v>LWDDL***WWDWL</v>
      </c>
      <c r="U103" s="19">
        <f>(P103-Q103)</f>
        <v>-1</v>
      </c>
      <c r="V103" s="14">
        <v>1</v>
      </c>
      <c r="W103" s="14">
        <v>1</v>
      </c>
      <c r="X103" s="20" t="str">
        <f>IF(ISBLANK(V103),"",IF(V103&gt;W103,"1",IF(V103&lt;W103,"2",IF(V103=W103,"X"))))</f>
        <v>X</v>
      </c>
      <c r="Y103" s="23" t="str">
        <f>COUNTIF(F103:J103, "W")&amp;COUNTIF(F103:J103, "d")&amp;COUNTIF(F103:J103, "l")</f>
        <v>122</v>
      </c>
      <c r="Z103" s="13" t="str">
        <f>COUNTIF(K103:O103, "W")&amp;COUNTIF(K103:O103, "d")&amp;COUNTIF(K103:O103, "l")</f>
        <v>311</v>
      </c>
      <c r="AA103" s="23" t="str">
        <f>_xlfn.CONCAT(Y103,"-",Z103)</f>
        <v>122-311</v>
      </c>
      <c r="AB103" s="15" t="str">
        <f>_xlfn.CONCAT(AA103,"…",TEXT(U103,"+00;-00;+00;"))</f>
        <v>122-311…-01</v>
      </c>
      <c r="AC103" s="23" t="str">
        <f>_xlfn.CONCAT(TEXT(P103,"+00;-00;+00;"),"…",TEXT(Q103,"+00;-00;+00;"))</f>
        <v>-03…-02</v>
      </c>
      <c r="AD103" s="14" t="str">
        <f>IF(X103="","?","")</f>
        <v/>
      </c>
      <c r="AE103" s="15" t="str">
        <f>_xlfn.CONCAT(AA103,"…",TEXT(P103,"+00;-00;+00;"),"...",TEXT(Q103,"+00;-00;+00;"))</f>
        <v>122-311…-03...-02</v>
      </c>
      <c r="AF103" s="13" t="str">
        <f>_xlfn.CONCAT(R103,"…",TEXT(P103,"+00;-00;+00;"),"...",TEXT(Q103,"+00;-00;+00;"))</f>
        <v>LWDDL…-03...-02</v>
      </c>
    </row>
    <row r="104" spans="1:32" x14ac:dyDescent="0.25">
      <c r="A104" s="12" t="s">
        <v>187</v>
      </c>
      <c r="B104" s="13" t="s">
        <v>167</v>
      </c>
      <c r="C104" s="14">
        <v>2</v>
      </c>
      <c r="D104" s="13" t="s">
        <v>203</v>
      </c>
      <c r="E104" s="13" t="s">
        <v>71</v>
      </c>
      <c r="F104" s="15" t="s">
        <v>29</v>
      </c>
      <c r="G104" s="15" t="s">
        <v>30</v>
      </c>
      <c r="H104" s="15" t="s">
        <v>31</v>
      </c>
      <c r="I104" s="15" t="s">
        <v>29</v>
      </c>
      <c r="J104" s="15" t="s">
        <v>29</v>
      </c>
      <c r="K104" s="15" t="s">
        <v>31</v>
      </c>
      <c r="L104" s="15" t="s">
        <v>31</v>
      </c>
      <c r="M104" s="15" t="s">
        <v>29</v>
      </c>
      <c r="N104" s="15" t="s">
        <v>29</v>
      </c>
      <c r="O104" s="15" t="s">
        <v>29</v>
      </c>
      <c r="P104" s="16">
        <v>-4</v>
      </c>
      <c r="Q104" s="16">
        <v>-11</v>
      </c>
      <c r="R104" s="13" t="str">
        <f>_xlfn.CONCAT(F104,G104,H104,I104,J104)</f>
        <v>DWLDD</v>
      </c>
      <c r="S104" s="13" t="str">
        <f>_xlfn.CONCAT(K104,L104,M104,N104,O104)</f>
        <v>LLDDD</v>
      </c>
      <c r="T104" s="13" t="str">
        <f>_xlfn.CONCAT(R104,"***",S104)</f>
        <v>DWLDD***LLDDD</v>
      </c>
      <c r="U104" s="19">
        <f>(P104-Q104)</f>
        <v>7</v>
      </c>
      <c r="V104" s="14">
        <v>0</v>
      </c>
      <c r="W104" s="14">
        <v>0</v>
      </c>
      <c r="X104" s="20" t="str">
        <f>IF(ISBLANK(V104),"",IF(V104&gt;W104,"1",IF(V104&lt;W104,"2",IF(V104=W104,"X"))))</f>
        <v>X</v>
      </c>
      <c r="Y104" s="23" t="str">
        <f>COUNTIF(F104:J104, "W")&amp;COUNTIF(F104:J104, "d")&amp;COUNTIF(F104:J104, "l")</f>
        <v>131</v>
      </c>
      <c r="Z104" s="13" t="str">
        <f>COUNTIF(K104:O104, "W")&amp;COUNTIF(K104:O104, "d")&amp;COUNTIF(K104:O104, "l")</f>
        <v>032</v>
      </c>
      <c r="AA104" s="23" t="str">
        <f>_xlfn.CONCAT(Y104,"-",Z104)</f>
        <v>131-032</v>
      </c>
      <c r="AB104" s="15" t="str">
        <f>_xlfn.CONCAT(AA104,"…",TEXT(U104,"+00;-00;+00;"))</f>
        <v>131-032…+07</v>
      </c>
      <c r="AC104" s="23" t="str">
        <f>_xlfn.CONCAT(TEXT(P104,"+00;-00;+00;"),"…",TEXT(Q104,"+00;-00;+00;"))</f>
        <v>-04…-11</v>
      </c>
      <c r="AD104" s="14" t="str">
        <f>IF(X104="","?","")</f>
        <v/>
      </c>
      <c r="AE104" s="15" t="str">
        <f>_xlfn.CONCAT(AA104,"…",TEXT(P104,"+00;-00;+00;"),"...",TEXT(Q104,"+00;-00;+00;"))</f>
        <v>131-032…-04...-11</v>
      </c>
      <c r="AF104" s="13" t="str">
        <f>_xlfn.CONCAT(R104,"…",TEXT(P104,"+00;-00;+00;"),"...",TEXT(Q104,"+00;-00;+00;"))</f>
        <v>DWLDD…-04...-11</v>
      </c>
    </row>
    <row r="105" spans="1:32" x14ac:dyDescent="0.25">
      <c r="A105" s="12" t="s">
        <v>187</v>
      </c>
      <c r="B105" s="13" t="s">
        <v>167</v>
      </c>
      <c r="C105" s="14">
        <v>2</v>
      </c>
      <c r="D105" s="13" t="s">
        <v>204</v>
      </c>
      <c r="E105" s="13" t="s">
        <v>205</v>
      </c>
      <c r="F105" s="15" t="s">
        <v>31</v>
      </c>
      <c r="G105" s="15" t="s">
        <v>30</v>
      </c>
      <c r="H105" s="15" t="s">
        <v>29</v>
      </c>
      <c r="I105" s="15" t="s">
        <v>29</v>
      </c>
      <c r="J105" s="15" t="s">
        <v>29</v>
      </c>
      <c r="K105" s="15" t="s">
        <v>29</v>
      </c>
      <c r="L105" s="15" t="s">
        <v>30</v>
      </c>
      <c r="M105" s="15" t="s">
        <v>29</v>
      </c>
      <c r="N105" s="15" t="s">
        <v>29</v>
      </c>
      <c r="O105" s="15" t="s">
        <v>29</v>
      </c>
      <c r="P105" s="16">
        <v>-2</v>
      </c>
      <c r="Q105" s="16">
        <v>7</v>
      </c>
      <c r="R105" s="13" t="str">
        <f>_xlfn.CONCAT(F105,G105,H105,I105,J105)</f>
        <v>LWDDD</v>
      </c>
      <c r="S105" s="13" t="str">
        <f>_xlfn.CONCAT(K105,L105,M105,N105,O105)</f>
        <v>DWDDD</v>
      </c>
      <c r="T105" s="13" t="str">
        <f>_xlfn.CONCAT(R105,"***",S105)</f>
        <v>LWDDD***DWDDD</v>
      </c>
      <c r="U105" s="19">
        <f>(P105-Q105)</f>
        <v>-9</v>
      </c>
      <c r="V105" s="14">
        <v>0</v>
      </c>
      <c r="W105" s="14">
        <v>1</v>
      </c>
      <c r="X105" s="20" t="str">
        <f>IF(ISBLANK(V105),"",IF(V105&gt;W105,"1",IF(V105&lt;W105,"2",IF(V105=W105,"X"))))</f>
        <v>2</v>
      </c>
      <c r="Y105" s="23" t="str">
        <f>COUNTIF(F105:J105, "W")&amp;COUNTIF(F105:J105, "d")&amp;COUNTIF(F105:J105, "l")</f>
        <v>131</v>
      </c>
      <c r="Z105" s="13" t="str">
        <f>COUNTIF(K105:O105, "W")&amp;COUNTIF(K105:O105, "d")&amp;COUNTIF(K105:O105, "l")</f>
        <v>140</v>
      </c>
      <c r="AA105" s="23" t="str">
        <f>_xlfn.CONCAT(Y105,"-",Z105)</f>
        <v>131-140</v>
      </c>
      <c r="AB105" s="15" t="str">
        <f>_xlfn.CONCAT(AA105,"…",TEXT(U105,"+00;-00;+00;"))</f>
        <v>131-140…-09</v>
      </c>
      <c r="AC105" s="23" t="str">
        <f>_xlfn.CONCAT(TEXT(P105,"+00;-00;+00;"),"…",TEXT(Q105,"+00;-00;+00;"))</f>
        <v>-02…+07</v>
      </c>
      <c r="AD105" s="14" t="str">
        <f>IF(X105="","?","")</f>
        <v/>
      </c>
      <c r="AE105" s="15" t="str">
        <f>_xlfn.CONCAT(AA105,"…",TEXT(P105,"+00;-00;+00;"),"...",TEXT(Q105,"+00;-00;+00;"))</f>
        <v>131-140…-02...+07</v>
      </c>
      <c r="AF105" s="13" t="str">
        <f>_xlfn.CONCAT(R105,"…",TEXT(P105,"+00;-00;+00;"),"...",TEXT(Q105,"+00;-00;+00;"))</f>
        <v>LWDDD…-02...+07</v>
      </c>
    </row>
    <row r="106" spans="1:32" x14ac:dyDescent="0.25">
      <c r="A106" s="12" t="s">
        <v>187</v>
      </c>
      <c r="B106" s="13" t="s">
        <v>167</v>
      </c>
      <c r="C106" s="14">
        <v>2</v>
      </c>
      <c r="D106" s="13" t="s">
        <v>197</v>
      </c>
      <c r="E106" s="13" t="s">
        <v>198</v>
      </c>
      <c r="F106" s="15" t="s">
        <v>30</v>
      </c>
      <c r="G106" s="15" t="s">
        <v>31</v>
      </c>
      <c r="H106" s="15" t="s">
        <v>30</v>
      </c>
      <c r="I106" s="15" t="s">
        <v>31</v>
      </c>
      <c r="J106" s="15" t="s">
        <v>31</v>
      </c>
      <c r="K106" s="15" t="s">
        <v>31</v>
      </c>
      <c r="L106" s="15" t="s">
        <v>30</v>
      </c>
      <c r="M106" s="15" t="s">
        <v>29</v>
      </c>
      <c r="N106" s="15" t="s">
        <v>31</v>
      </c>
      <c r="O106" s="15" t="s">
        <v>30</v>
      </c>
      <c r="P106" s="16">
        <v>-9</v>
      </c>
      <c r="Q106" s="16">
        <v>6</v>
      </c>
      <c r="R106" s="13" t="str">
        <f>_xlfn.CONCAT(F106,G106,H106,I106,J106)</f>
        <v>WLWLL</v>
      </c>
      <c r="S106" s="13" t="str">
        <f>_xlfn.CONCAT(K106,L106,M106,N106,O106)</f>
        <v>LWDLW</v>
      </c>
      <c r="T106" s="13" t="str">
        <f>_xlfn.CONCAT(R106,"***",S106)</f>
        <v>WLWLL***LWDLW</v>
      </c>
      <c r="U106" s="19">
        <f>(P106-Q106)</f>
        <v>-15</v>
      </c>
      <c r="V106" s="14">
        <v>0</v>
      </c>
      <c r="W106" s="14">
        <v>2</v>
      </c>
      <c r="X106" s="20" t="str">
        <f>IF(ISBLANK(V106),"",IF(V106&gt;W106,"1",IF(V106&lt;W106,"2",IF(V106=W106,"X"))))</f>
        <v>2</v>
      </c>
      <c r="Y106" s="23" t="str">
        <f>COUNTIF(F106:J106, "W")&amp;COUNTIF(F106:J106, "d")&amp;COUNTIF(F106:J106, "l")</f>
        <v>203</v>
      </c>
      <c r="Z106" s="13" t="str">
        <f>COUNTIF(K106:O106, "W")&amp;COUNTIF(K106:O106, "d")&amp;COUNTIF(K106:O106, "l")</f>
        <v>212</v>
      </c>
      <c r="AA106" s="23" t="str">
        <f>_xlfn.CONCAT(Y106,"-",Z106)</f>
        <v>203-212</v>
      </c>
      <c r="AB106" s="15" t="str">
        <f>_xlfn.CONCAT(AA106,"…",TEXT(U106,"+00;-00;+00;"))</f>
        <v>203-212…-15</v>
      </c>
      <c r="AC106" s="23" t="str">
        <f>_xlfn.CONCAT(TEXT(P106,"+00;-00;+00;"),"…",TEXT(Q106,"+00;-00;+00;"))</f>
        <v>-09…+06</v>
      </c>
      <c r="AD106" s="14" t="str">
        <f>IF(X106="","?","")</f>
        <v/>
      </c>
      <c r="AE106" s="15" t="str">
        <f>_xlfn.CONCAT(AA106,"…",TEXT(P106,"+00;-00;+00;"),"...",TEXT(Q106,"+00;-00;+00;"))</f>
        <v>203-212…-09...+06</v>
      </c>
      <c r="AF106" s="13" t="str">
        <f>_xlfn.CONCAT(R106,"…",TEXT(P106,"+00;-00;+00;"),"...",TEXT(Q106,"+00;-00;+00;"))</f>
        <v>WLWLL…-09...+06</v>
      </c>
    </row>
    <row r="107" spans="1:32" x14ac:dyDescent="0.25">
      <c r="A107" s="12" t="s">
        <v>187</v>
      </c>
      <c r="B107" s="13" t="s">
        <v>167</v>
      </c>
      <c r="C107" s="14">
        <v>2</v>
      </c>
      <c r="D107" s="13" t="s">
        <v>195</v>
      </c>
      <c r="E107" s="13" t="s">
        <v>196</v>
      </c>
      <c r="F107" s="15" t="s">
        <v>31</v>
      </c>
      <c r="G107" s="15" t="s">
        <v>30</v>
      </c>
      <c r="H107" s="15" t="s">
        <v>29</v>
      </c>
      <c r="I107" s="15" t="s">
        <v>29</v>
      </c>
      <c r="J107" s="15" t="s">
        <v>30</v>
      </c>
      <c r="K107" s="15" t="s">
        <v>30</v>
      </c>
      <c r="L107" s="15" t="s">
        <v>31</v>
      </c>
      <c r="M107" s="15" t="s">
        <v>31</v>
      </c>
      <c r="N107" s="15" t="s">
        <v>29</v>
      </c>
      <c r="O107" s="15" t="s">
        <v>30</v>
      </c>
      <c r="P107" s="16">
        <v>-5</v>
      </c>
      <c r="Q107" s="16">
        <v>14</v>
      </c>
      <c r="R107" s="13" t="str">
        <f>_xlfn.CONCAT(F107,G107,H107,I107,J107)</f>
        <v>LWDDW</v>
      </c>
      <c r="S107" s="13" t="str">
        <f>_xlfn.CONCAT(K107,L107,M107,N107,O107)</f>
        <v>WLLDW</v>
      </c>
      <c r="T107" s="13" t="str">
        <f>_xlfn.CONCAT(R107,"***",S107)</f>
        <v>LWDDW***WLLDW</v>
      </c>
      <c r="U107" s="19">
        <f>(P107-Q107)</f>
        <v>-19</v>
      </c>
      <c r="V107" s="14">
        <v>0</v>
      </c>
      <c r="W107" s="14">
        <v>0</v>
      </c>
      <c r="X107" s="20" t="str">
        <f>IF(ISBLANK(V107),"",IF(V107&gt;W107,"1",IF(V107&lt;W107,"2",IF(V107=W107,"X"))))</f>
        <v>X</v>
      </c>
      <c r="Y107" s="23" t="str">
        <f>COUNTIF(F107:J107, "W")&amp;COUNTIF(F107:J107, "d")&amp;COUNTIF(F107:J107, "l")</f>
        <v>221</v>
      </c>
      <c r="Z107" s="13" t="str">
        <f>COUNTIF(K107:O107, "W")&amp;COUNTIF(K107:O107, "d")&amp;COUNTIF(K107:O107, "l")</f>
        <v>212</v>
      </c>
      <c r="AA107" s="23" t="str">
        <f>_xlfn.CONCAT(Y107,"-",Z107)</f>
        <v>221-212</v>
      </c>
      <c r="AB107" s="15" t="str">
        <f>_xlfn.CONCAT(AA107,"…",TEXT(U107,"+00;-00;+00;"))</f>
        <v>221-212…-19</v>
      </c>
      <c r="AC107" s="23" t="str">
        <f>_xlfn.CONCAT(TEXT(P107,"+00;-00;+00;"),"…",TEXT(Q107,"+00;-00;+00;"))</f>
        <v>-05…+14</v>
      </c>
      <c r="AD107" s="14" t="str">
        <f>IF(X107="","?","")</f>
        <v/>
      </c>
      <c r="AE107" s="15" t="str">
        <f>_xlfn.CONCAT(AA107,"…",TEXT(P107,"+00;-00;+00;"),"...",TEXT(Q107,"+00;-00;+00;"))</f>
        <v>221-212…-05...+14</v>
      </c>
      <c r="AF107" s="13" t="str">
        <f>_xlfn.CONCAT(R107,"…",TEXT(P107,"+00;-00;+00;"),"...",TEXT(Q107,"+00;-00;+00;"))</f>
        <v>LWDDW…-05...+14</v>
      </c>
    </row>
    <row r="108" spans="1:32" x14ac:dyDescent="0.25">
      <c r="A108" s="12" t="s">
        <v>188</v>
      </c>
      <c r="B108" s="13" t="s">
        <v>167</v>
      </c>
      <c r="C108" s="14">
        <v>2</v>
      </c>
      <c r="D108" s="13" t="s">
        <v>201</v>
      </c>
      <c r="E108" s="13" t="s">
        <v>202</v>
      </c>
      <c r="F108" s="15" t="s">
        <v>29</v>
      </c>
      <c r="G108" s="15" t="s">
        <v>30</v>
      </c>
      <c r="H108" s="15" t="s">
        <v>31</v>
      </c>
      <c r="I108" s="15" t="s">
        <v>29</v>
      </c>
      <c r="J108" s="15" t="s">
        <v>30</v>
      </c>
      <c r="K108" s="15" t="s">
        <v>30</v>
      </c>
      <c r="L108" s="15" t="s">
        <v>31</v>
      </c>
      <c r="M108" s="15" t="s">
        <v>29</v>
      </c>
      <c r="N108" s="15" t="s">
        <v>31</v>
      </c>
      <c r="O108" s="15" t="s">
        <v>31</v>
      </c>
      <c r="P108" s="16">
        <v>-2</v>
      </c>
      <c r="Q108" s="16">
        <v>-6</v>
      </c>
      <c r="R108" s="13" t="str">
        <f>_xlfn.CONCAT(F108,G108,H108,I108,J108)</f>
        <v>DWLDW</v>
      </c>
      <c r="S108" s="13" t="str">
        <f>_xlfn.CONCAT(K108,L108,M108,N108,O108)</f>
        <v>WLDLL</v>
      </c>
      <c r="T108" s="13" t="str">
        <f>_xlfn.CONCAT(R108,"***",S108)</f>
        <v>DWLDW***WLDLL</v>
      </c>
      <c r="U108" s="19">
        <f>(P108-Q108)</f>
        <v>4</v>
      </c>
      <c r="V108" s="14">
        <v>1</v>
      </c>
      <c r="W108" s="14">
        <v>2</v>
      </c>
      <c r="X108" s="20" t="str">
        <f>IF(ISBLANK(V108),"",IF(V108&gt;W108,"1",IF(V108&lt;W108,"2",IF(V108=W108,"X"))))</f>
        <v>2</v>
      </c>
      <c r="Y108" s="23" t="str">
        <f>COUNTIF(F108:J108, "W")&amp;COUNTIF(F108:J108, "d")&amp;COUNTIF(F108:J108, "l")</f>
        <v>221</v>
      </c>
      <c r="Z108" s="13" t="str">
        <f>COUNTIF(K108:O108, "W")&amp;COUNTIF(K108:O108, "d")&amp;COUNTIF(K108:O108, "l")</f>
        <v>113</v>
      </c>
      <c r="AA108" s="23" t="str">
        <f>_xlfn.CONCAT(Y108,"-",Z108)</f>
        <v>221-113</v>
      </c>
      <c r="AB108" s="15" t="str">
        <f>_xlfn.CONCAT(AA108,"…",TEXT(U108,"+00;-00;+00;"))</f>
        <v>221-113…+04</v>
      </c>
      <c r="AC108" s="23" t="str">
        <f>_xlfn.CONCAT(TEXT(P108,"+00;-00;+00;"),"…",TEXT(Q108,"+00;-00;+00;"))</f>
        <v>-02…-06</v>
      </c>
      <c r="AD108" s="14" t="str">
        <f>IF(X108="","?","")</f>
        <v/>
      </c>
      <c r="AE108" s="15" t="str">
        <f>_xlfn.CONCAT(AA108,"…",TEXT(P108,"+00;-00;+00;"),"...",TEXT(Q108,"+00;-00;+00;"))</f>
        <v>221-113…-02...-06</v>
      </c>
      <c r="AF108" s="13" t="str">
        <f>_xlfn.CONCAT(R108,"…",TEXT(P108,"+00;-00;+00;"),"...",TEXT(Q108,"+00;-00;+00;"))</f>
        <v>DWLDW…-02...-06</v>
      </c>
    </row>
    <row r="109" spans="1:32" x14ac:dyDescent="0.25">
      <c r="A109" s="12" t="s">
        <v>230</v>
      </c>
      <c r="B109" s="13" t="s">
        <v>208</v>
      </c>
      <c r="C109" s="14">
        <v>2</v>
      </c>
      <c r="D109" s="13" t="s">
        <v>241</v>
      </c>
      <c r="E109" s="13" t="s">
        <v>242</v>
      </c>
      <c r="F109" s="15" t="s">
        <v>31</v>
      </c>
      <c r="G109" s="15" t="s">
        <v>31</v>
      </c>
      <c r="H109" s="15" t="s">
        <v>30</v>
      </c>
      <c r="I109" s="15" t="s">
        <v>30</v>
      </c>
      <c r="J109" s="15" t="s">
        <v>29</v>
      </c>
      <c r="K109" s="15" t="s">
        <v>31</v>
      </c>
      <c r="L109" s="15" t="s">
        <v>30</v>
      </c>
      <c r="M109" s="15" t="s">
        <v>30</v>
      </c>
      <c r="N109" s="15" t="s">
        <v>31</v>
      </c>
      <c r="O109" s="15" t="s">
        <v>31</v>
      </c>
      <c r="P109" s="16">
        <v>9</v>
      </c>
      <c r="Q109" s="16">
        <v>-8</v>
      </c>
      <c r="R109" s="13" t="str">
        <f>_xlfn.CONCAT(F109,G109,H109,I109,J109)</f>
        <v>LLWWD</v>
      </c>
      <c r="S109" s="13" t="str">
        <f>_xlfn.CONCAT(K109,L109,M109,N109,O109)</f>
        <v>LWWLL</v>
      </c>
      <c r="T109" s="13" t="str">
        <f>_xlfn.CONCAT(R109,"***",S109)</f>
        <v>LLWWD***LWWLL</v>
      </c>
      <c r="U109" s="19">
        <f>(P109-Q109)</f>
        <v>17</v>
      </c>
      <c r="V109" s="14">
        <v>5</v>
      </c>
      <c r="W109" s="14">
        <v>3</v>
      </c>
      <c r="X109" s="20" t="str">
        <f>IF(ISBLANK(V109),"",IF(V109&gt;W109,"1",IF(V109&lt;W109,"2",IF(V109=W109,"X"))))</f>
        <v>1</v>
      </c>
      <c r="Y109" s="23" t="str">
        <f>COUNTIF(F109:J109, "W")&amp;COUNTIF(F109:J109, "d")&amp;COUNTIF(F109:J109, "l")</f>
        <v>212</v>
      </c>
      <c r="Z109" s="13" t="str">
        <f>COUNTIF(K109:O109, "W")&amp;COUNTIF(K109:O109, "d")&amp;COUNTIF(K109:O109, "l")</f>
        <v>203</v>
      </c>
      <c r="AA109" s="23" t="str">
        <f>_xlfn.CONCAT(Y109,"-",Z109)</f>
        <v>212-203</v>
      </c>
      <c r="AB109" s="15" t="str">
        <f>_xlfn.CONCAT(AA109,"…",TEXT(U109,"+00;-00;+00;"))</f>
        <v>212-203…+17</v>
      </c>
      <c r="AC109" s="23" t="str">
        <f>_xlfn.CONCAT(TEXT(P109,"+00;-00;+00;"),"…",TEXT(Q109,"+00;-00;+00;"))</f>
        <v>+09…-08</v>
      </c>
      <c r="AD109" s="14" t="str">
        <f>IF(X109="","?","")</f>
        <v/>
      </c>
      <c r="AE109" s="15" t="str">
        <f>_xlfn.CONCAT(AA109,"…",TEXT(P109,"+00;-00;+00;"),"...",TEXT(Q109,"+00;-00;+00;"))</f>
        <v>212-203…+09...-08</v>
      </c>
      <c r="AF109" s="13" t="str">
        <f>_xlfn.CONCAT(R109,"…",TEXT(P109,"+00;-00;+00;"),"...",TEXT(Q109,"+00;-00;+00;"))</f>
        <v>LLWWD…+09...-08</v>
      </c>
    </row>
    <row r="110" spans="1:32" x14ac:dyDescent="0.25">
      <c r="A110" s="12" t="s">
        <v>120</v>
      </c>
      <c r="B110" s="13" t="s">
        <v>117</v>
      </c>
      <c r="C110" s="14" t="s">
        <v>0</v>
      </c>
      <c r="D110" s="13" t="s">
        <v>130</v>
      </c>
      <c r="E110" s="13" t="s">
        <v>131</v>
      </c>
      <c r="F110" s="15" t="s">
        <v>29</v>
      </c>
      <c r="G110" s="15" t="s">
        <v>31</v>
      </c>
      <c r="H110" s="15" t="s">
        <v>29</v>
      </c>
      <c r="I110" s="15" t="s">
        <v>31</v>
      </c>
      <c r="J110" s="15" t="s">
        <v>30</v>
      </c>
      <c r="K110" s="15" t="s">
        <v>30</v>
      </c>
      <c r="L110" s="15" t="s">
        <v>31</v>
      </c>
      <c r="M110" s="15" t="s">
        <v>31</v>
      </c>
      <c r="N110" s="15" t="s">
        <v>31</v>
      </c>
      <c r="O110" s="15" t="s">
        <v>30</v>
      </c>
      <c r="P110" s="16">
        <v>6</v>
      </c>
      <c r="Q110" s="16">
        <v>4</v>
      </c>
      <c r="R110" s="13" t="str">
        <f>_xlfn.CONCAT(F110,G110,H110,I110,J110)</f>
        <v>DLDLW</v>
      </c>
      <c r="S110" s="13" t="str">
        <f>_xlfn.CONCAT(K110,L110,M110,N110,O110)</f>
        <v>WLLLW</v>
      </c>
      <c r="T110" s="13" t="str">
        <f>_xlfn.CONCAT(R110,"***",S110)</f>
        <v>DLDLW***WLLLW</v>
      </c>
      <c r="U110" s="19">
        <f>(P110-Q110)</f>
        <v>2</v>
      </c>
      <c r="V110" s="14">
        <v>1</v>
      </c>
      <c r="W110" s="14">
        <v>0</v>
      </c>
      <c r="X110" s="20" t="str">
        <f>IF(ISBLANK(V110),"",IF(V110&gt;W110,"1",IF(V110&lt;W110,"2",IF(V110=W110,"X"))))</f>
        <v>1</v>
      </c>
      <c r="Y110" s="23" t="str">
        <f>COUNTIF(F110:J110, "W")&amp;COUNTIF(F110:J110, "d")&amp;COUNTIF(F110:J110, "l")</f>
        <v>122</v>
      </c>
      <c r="Z110" s="13" t="str">
        <f>COUNTIF(K110:O110, "W")&amp;COUNTIF(K110:O110, "d")&amp;COUNTIF(K110:O110, "l")</f>
        <v>203</v>
      </c>
      <c r="AA110" s="23" t="str">
        <f>_xlfn.CONCAT(Y110,"-",Z110)</f>
        <v>122-203</v>
      </c>
      <c r="AB110" s="15" t="str">
        <f>_xlfn.CONCAT(AA110,"…",TEXT(U110,"+00;-00;+00;"))</f>
        <v>122-203…+02</v>
      </c>
      <c r="AC110" s="23" t="str">
        <f>_xlfn.CONCAT(TEXT(P110,"+00;-00;+00;"),"…",TEXT(Q110,"+00;-00;+00;"))</f>
        <v>+06…+04</v>
      </c>
      <c r="AD110" s="14" t="str">
        <f>IF(X110="","?","")</f>
        <v/>
      </c>
      <c r="AE110" s="15" t="str">
        <f>_xlfn.CONCAT(AA110,"…",TEXT(P110,"+00;-00;+00;"),"...",TEXT(Q110,"+00;-00;+00;"))</f>
        <v>122-203…+06...+04</v>
      </c>
      <c r="AF110" s="13" t="str">
        <f>_xlfn.CONCAT(R110,"…",TEXT(P110,"+00;-00;+00;"),"...",TEXT(Q110,"+00;-00;+00;"))</f>
        <v>DLDLW…+06...+04</v>
      </c>
    </row>
    <row r="111" spans="1:32" x14ac:dyDescent="0.25">
      <c r="A111" s="12" t="s">
        <v>120</v>
      </c>
      <c r="B111" s="13" t="s">
        <v>318</v>
      </c>
      <c r="C111" s="14">
        <v>1</v>
      </c>
      <c r="D111" s="13" t="s">
        <v>328</v>
      </c>
      <c r="E111" s="13" t="s">
        <v>329</v>
      </c>
      <c r="F111" s="15" t="s">
        <v>31</v>
      </c>
      <c r="G111" s="15" t="s">
        <v>29</v>
      </c>
      <c r="H111" s="15" t="s">
        <v>31</v>
      </c>
      <c r="I111" s="15" t="s">
        <v>30</v>
      </c>
      <c r="J111" s="15" t="s">
        <v>30</v>
      </c>
      <c r="K111" s="15" t="s">
        <v>30</v>
      </c>
      <c r="L111" s="15" t="s">
        <v>31</v>
      </c>
      <c r="M111" s="15" t="s">
        <v>30</v>
      </c>
      <c r="N111" s="15" t="s">
        <v>30</v>
      </c>
      <c r="O111" s="15" t="s">
        <v>29</v>
      </c>
      <c r="P111" s="16">
        <v>-6</v>
      </c>
      <c r="Q111" s="16">
        <v>14</v>
      </c>
      <c r="R111" s="13" t="str">
        <f>_xlfn.CONCAT(F111,G111,H111,I111,J111)</f>
        <v>LDLWW</v>
      </c>
      <c r="S111" s="13" t="str">
        <f>_xlfn.CONCAT(K111,L111,M111,N111,O111)</f>
        <v>WLWWD</v>
      </c>
      <c r="T111" s="13" t="str">
        <f>_xlfn.CONCAT(R111,"***",S111)</f>
        <v>LDLWW***WLWWD</v>
      </c>
      <c r="U111" s="19">
        <f>(P111-Q111)</f>
        <v>-20</v>
      </c>
      <c r="V111" s="14">
        <v>1</v>
      </c>
      <c r="W111" s="14">
        <v>0</v>
      </c>
      <c r="X111" s="20" t="str">
        <f>IF(ISBLANK(V111),"",IF(V111&gt;W111,"1",IF(V111&lt;W111,"2",IF(V111=W111,"X"))))</f>
        <v>1</v>
      </c>
      <c r="Y111" s="23" t="str">
        <f>COUNTIF(F111:J111, "W")&amp;COUNTIF(F111:J111, "d")&amp;COUNTIF(F111:J111, "l")</f>
        <v>212</v>
      </c>
      <c r="Z111" s="13" t="str">
        <f>COUNTIF(K111:O111, "W")&amp;COUNTIF(K111:O111, "d")&amp;COUNTIF(K111:O111, "l")</f>
        <v>311</v>
      </c>
      <c r="AA111" s="23" t="str">
        <f>_xlfn.CONCAT(Y111,"-",Z111)</f>
        <v>212-311</v>
      </c>
      <c r="AB111" s="15" t="str">
        <f>_xlfn.CONCAT(AA111,"…",TEXT(U111,"+00;-00;+00;"))</f>
        <v>212-311…-20</v>
      </c>
      <c r="AC111" s="23" t="str">
        <f>_xlfn.CONCAT(TEXT(P111,"+00;-00;+00;"),"…",TEXT(Q111,"+00;-00;+00;"))</f>
        <v>-06…+14</v>
      </c>
      <c r="AD111" s="14" t="str">
        <f>IF(X111="","?","")</f>
        <v/>
      </c>
      <c r="AE111" s="15" t="str">
        <f>_xlfn.CONCAT(AA111,"…",TEXT(P111,"+00;-00;+00;"),"...",TEXT(Q111,"+00;-00;+00;"))</f>
        <v>212-311…-06...+14</v>
      </c>
      <c r="AF111" s="13" t="str">
        <f>_xlfn.CONCAT(R111,"…",TEXT(P111,"+00;-00;+00;"),"...",TEXT(Q111,"+00;-00;+00;"))</f>
        <v>LDLWW…-06...+14</v>
      </c>
    </row>
    <row r="112" spans="1:32" x14ac:dyDescent="0.25">
      <c r="A112" s="12" t="s">
        <v>64</v>
      </c>
      <c r="B112" s="13" t="s">
        <v>167</v>
      </c>
      <c r="C112" s="14">
        <v>1</v>
      </c>
      <c r="D112" s="13" t="s">
        <v>173</v>
      </c>
      <c r="E112" s="13" t="s">
        <v>174</v>
      </c>
      <c r="F112" s="15" t="s">
        <v>29</v>
      </c>
      <c r="G112" s="15" t="s">
        <v>29</v>
      </c>
      <c r="H112" s="15" t="s">
        <v>31</v>
      </c>
      <c r="I112" s="15" t="s">
        <v>31</v>
      </c>
      <c r="J112" s="15" t="s">
        <v>31</v>
      </c>
      <c r="K112" s="15" t="s">
        <v>31</v>
      </c>
      <c r="L112" s="15" t="s">
        <v>29</v>
      </c>
      <c r="M112" s="15" t="s">
        <v>31</v>
      </c>
      <c r="N112" s="15" t="s">
        <v>30</v>
      </c>
      <c r="O112" s="15" t="s">
        <v>31</v>
      </c>
      <c r="P112" s="16">
        <v>-6</v>
      </c>
      <c r="Q112" s="16">
        <v>-1</v>
      </c>
      <c r="R112" s="13" t="str">
        <f>_xlfn.CONCAT(F112,G112,H112,I112,J112)</f>
        <v>DDLLL</v>
      </c>
      <c r="S112" s="13" t="str">
        <f>_xlfn.CONCAT(K112,L112,M112,N112,O112)</f>
        <v>LDLWL</v>
      </c>
      <c r="T112" s="13" t="str">
        <f>_xlfn.CONCAT(R112,"***",S112)</f>
        <v>DDLLL***LDLWL</v>
      </c>
      <c r="U112" s="19">
        <f>(P112-Q112)</f>
        <v>-5</v>
      </c>
      <c r="V112" s="14">
        <v>1</v>
      </c>
      <c r="W112" s="14">
        <v>1</v>
      </c>
      <c r="X112" s="20" t="str">
        <f>IF(ISBLANK(V112),"",IF(V112&gt;W112,"1",IF(V112&lt;W112,"2",IF(V112=W112,"X"))))</f>
        <v>X</v>
      </c>
      <c r="Y112" s="23" t="str">
        <f>COUNTIF(F112:J112, "W")&amp;COUNTIF(F112:J112, "d")&amp;COUNTIF(F112:J112, "l")</f>
        <v>023</v>
      </c>
      <c r="Z112" s="13" t="str">
        <f>COUNTIF(K112:O112, "W")&amp;COUNTIF(K112:O112, "d")&amp;COUNTIF(K112:O112, "l")</f>
        <v>113</v>
      </c>
      <c r="AA112" s="23" t="str">
        <f>_xlfn.CONCAT(Y112,"-",Z112)</f>
        <v>023-113</v>
      </c>
      <c r="AB112" s="15" t="str">
        <f>_xlfn.CONCAT(AA112,"…",TEXT(U112,"+00;-00;+00;"))</f>
        <v>023-113…-05</v>
      </c>
      <c r="AC112" s="23" t="str">
        <f>_xlfn.CONCAT(TEXT(P112,"+00;-00;+00;"),"…",TEXT(Q112,"+00;-00;+00;"))</f>
        <v>-06…-01</v>
      </c>
      <c r="AD112" s="14" t="str">
        <f>IF(X112="","?","")</f>
        <v/>
      </c>
      <c r="AE112" s="15" t="str">
        <f>_xlfn.CONCAT(AA112,"…",TEXT(P112,"+00;-00;+00;"),"...",TEXT(Q112,"+00;-00;+00;"))</f>
        <v>023-113…-06...-01</v>
      </c>
      <c r="AF112" s="13" t="str">
        <f>_xlfn.CONCAT(R112,"…",TEXT(P112,"+00;-00;+00;"),"...",TEXT(Q112,"+00;-00;+00;"))</f>
        <v>DDLLL…-06...-01</v>
      </c>
    </row>
    <row r="113" spans="1:32" x14ac:dyDescent="0.25">
      <c r="A113" s="12" t="s">
        <v>64</v>
      </c>
      <c r="B113" s="13" t="s">
        <v>295</v>
      </c>
      <c r="C113" s="14">
        <v>1</v>
      </c>
      <c r="D113" s="13" t="s">
        <v>307</v>
      </c>
      <c r="E113" s="13" t="s">
        <v>308</v>
      </c>
      <c r="F113" s="15" t="s">
        <v>29</v>
      </c>
      <c r="G113" s="15" t="s">
        <v>30</v>
      </c>
      <c r="H113" s="15" t="s">
        <v>30</v>
      </c>
      <c r="I113" s="15" t="s">
        <v>31</v>
      </c>
      <c r="J113" s="15" t="s">
        <v>31</v>
      </c>
      <c r="K113" s="15" t="s">
        <v>31</v>
      </c>
      <c r="L113" s="15" t="s">
        <v>31</v>
      </c>
      <c r="M113" s="15" t="s">
        <v>29</v>
      </c>
      <c r="N113" s="15" t="s">
        <v>31</v>
      </c>
      <c r="O113" s="15" t="s">
        <v>29</v>
      </c>
      <c r="P113" s="16">
        <v>-3</v>
      </c>
      <c r="Q113" s="16">
        <v>-15</v>
      </c>
      <c r="R113" s="13" t="str">
        <f>_xlfn.CONCAT(F113,G113,H113,I113,J113)</f>
        <v>DWWLL</v>
      </c>
      <c r="S113" s="13" t="str">
        <f>_xlfn.CONCAT(K113,L113,M113,N113,O113)</f>
        <v>LLDLD</v>
      </c>
      <c r="T113" s="13" t="str">
        <f>_xlfn.CONCAT(R113,"***",S113)</f>
        <v>DWWLL***LLDLD</v>
      </c>
      <c r="U113" s="19">
        <f>(P113-Q113)</f>
        <v>12</v>
      </c>
      <c r="V113" s="14">
        <v>5</v>
      </c>
      <c r="W113" s="14">
        <v>0</v>
      </c>
      <c r="X113" s="20" t="str">
        <f>IF(ISBLANK(V113),"",IF(V113&gt;W113,"1",IF(V113&lt;W113,"2",IF(V113=W113,"X"))))</f>
        <v>1</v>
      </c>
      <c r="Y113" s="23" t="str">
        <f>COUNTIF(F113:J113, "W")&amp;COUNTIF(F113:J113, "d")&amp;COUNTIF(F113:J113, "l")</f>
        <v>212</v>
      </c>
      <c r="Z113" s="13" t="str">
        <f>COUNTIF(K113:O113, "W")&amp;COUNTIF(K113:O113, "d")&amp;COUNTIF(K113:O113, "l")</f>
        <v>023</v>
      </c>
      <c r="AA113" s="23" t="str">
        <f>_xlfn.CONCAT(Y113,"-",Z113)</f>
        <v>212-023</v>
      </c>
      <c r="AB113" s="15" t="str">
        <f>_xlfn.CONCAT(AA113,"…",TEXT(U113,"+00;-00;+00;"))</f>
        <v>212-023…+12</v>
      </c>
      <c r="AC113" s="23" t="str">
        <f>_xlfn.CONCAT(TEXT(P113,"+00;-00;+00;"),"…",TEXT(Q113,"+00;-00;+00;"))</f>
        <v>-03…-15</v>
      </c>
      <c r="AD113" s="14" t="str">
        <f>IF(X113="","?","")</f>
        <v/>
      </c>
      <c r="AE113" s="15" t="str">
        <f>_xlfn.CONCAT(AA113,"…",TEXT(P113,"+00;-00;+00;"),"...",TEXT(Q113,"+00;-00;+00;"))</f>
        <v>212-023…-03...-15</v>
      </c>
      <c r="AF113" s="13" t="str">
        <f>_xlfn.CONCAT(R113,"…",TEXT(P113,"+00;-00;+00;"),"...",TEXT(Q113,"+00;-00;+00;"))</f>
        <v>DWWLL…-03...-15</v>
      </c>
    </row>
    <row r="114" spans="1:32" x14ac:dyDescent="0.25">
      <c r="A114" s="12" t="s">
        <v>64</v>
      </c>
      <c r="B114" s="13" t="s">
        <v>295</v>
      </c>
      <c r="C114" s="14">
        <v>1</v>
      </c>
      <c r="D114" s="13" t="s">
        <v>309</v>
      </c>
      <c r="E114" s="13" t="s">
        <v>310</v>
      </c>
      <c r="F114" s="15" t="s">
        <v>31</v>
      </c>
      <c r="G114" s="15" t="s">
        <v>30</v>
      </c>
      <c r="H114" s="15" t="s">
        <v>29</v>
      </c>
      <c r="I114" s="15" t="s">
        <v>30</v>
      </c>
      <c r="J114" s="15" t="s">
        <v>31</v>
      </c>
      <c r="K114" s="15" t="s">
        <v>31</v>
      </c>
      <c r="L114" s="15" t="s">
        <v>31</v>
      </c>
      <c r="M114" s="15" t="s">
        <v>31</v>
      </c>
      <c r="N114" s="15" t="s">
        <v>30</v>
      </c>
      <c r="O114" s="15" t="s">
        <v>31</v>
      </c>
      <c r="P114" s="16">
        <v>-7</v>
      </c>
      <c r="Q114" s="16">
        <v>-12</v>
      </c>
      <c r="R114" s="13" t="str">
        <f>_xlfn.CONCAT(F114,G114,H114,I114,J114)</f>
        <v>LWDWL</v>
      </c>
      <c r="S114" s="13" t="str">
        <f>_xlfn.CONCAT(K114,L114,M114,N114,O114)</f>
        <v>LLLWL</v>
      </c>
      <c r="T114" s="13" t="str">
        <f>_xlfn.CONCAT(R114,"***",S114)</f>
        <v>LWDWL***LLLWL</v>
      </c>
      <c r="U114" s="19">
        <f>(P114-Q114)</f>
        <v>5</v>
      </c>
      <c r="V114" s="14">
        <v>1</v>
      </c>
      <c r="W114" s="14">
        <v>2</v>
      </c>
      <c r="X114" s="20" t="str">
        <f>IF(ISBLANK(V114),"",IF(V114&gt;W114,"1",IF(V114&lt;W114,"2",IF(V114=W114,"X"))))</f>
        <v>2</v>
      </c>
      <c r="Y114" s="23" t="str">
        <f>COUNTIF(F114:J114, "W")&amp;COUNTIF(F114:J114, "d")&amp;COUNTIF(F114:J114, "l")</f>
        <v>212</v>
      </c>
      <c r="Z114" s="13" t="str">
        <f>COUNTIF(K114:O114, "W")&amp;COUNTIF(K114:O114, "d")&amp;COUNTIF(K114:O114, "l")</f>
        <v>104</v>
      </c>
      <c r="AA114" s="23" t="str">
        <f>_xlfn.CONCAT(Y114,"-",Z114)</f>
        <v>212-104</v>
      </c>
      <c r="AB114" s="15" t="str">
        <f>_xlfn.CONCAT(AA114,"…",TEXT(U114,"+00;-00;+00;"))</f>
        <v>212-104…+05</v>
      </c>
      <c r="AC114" s="23" t="str">
        <f>_xlfn.CONCAT(TEXT(P114,"+00;-00;+00;"),"…",TEXT(Q114,"+00;-00;+00;"))</f>
        <v>-07…-12</v>
      </c>
      <c r="AD114" s="14" t="str">
        <f>IF(X114="","?","")</f>
        <v/>
      </c>
      <c r="AE114" s="15" t="str">
        <f>_xlfn.CONCAT(AA114,"…",TEXT(P114,"+00;-00;+00;"),"...",TEXT(Q114,"+00;-00;+00;"))</f>
        <v>212-104…-07...-12</v>
      </c>
      <c r="AF114" s="13" t="str">
        <f>_xlfn.CONCAT(R114,"…",TEXT(P114,"+00;-00;+00;"),"...",TEXT(Q114,"+00;-00;+00;"))</f>
        <v>LWDWL…-07...-12</v>
      </c>
    </row>
    <row r="115" spans="1:32" s="8" customFormat="1" x14ac:dyDescent="0.25">
      <c r="A115" s="12" t="s">
        <v>64</v>
      </c>
      <c r="B115" s="13" t="s">
        <v>59</v>
      </c>
      <c r="C115" s="14" t="s">
        <v>31</v>
      </c>
      <c r="D115" s="13" t="s">
        <v>75</v>
      </c>
      <c r="E115" s="13" t="s">
        <v>76</v>
      </c>
      <c r="F115" s="15" t="s">
        <v>30</v>
      </c>
      <c r="G115" s="15" t="s">
        <v>31</v>
      </c>
      <c r="H115" s="15" t="s">
        <v>30</v>
      </c>
      <c r="I115" s="15" t="s">
        <v>30</v>
      </c>
      <c r="J115" s="15" t="s">
        <v>30</v>
      </c>
      <c r="K115" s="15" t="s">
        <v>31</v>
      </c>
      <c r="L115" s="15" t="s">
        <v>29</v>
      </c>
      <c r="M115" s="15" t="s">
        <v>31</v>
      </c>
      <c r="N115" s="15" t="s">
        <v>29</v>
      </c>
      <c r="O115" s="15" t="s">
        <v>29</v>
      </c>
      <c r="P115" s="16">
        <v>17</v>
      </c>
      <c r="Q115" s="16">
        <v>-6</v>
      </c>
      <c r="R115" s="13" t="str">
        <f>_xlfn.CONCAT(F115,G115,H115,I115,J115)</f>
        <v>WLWWW</v>
      </c>
      <c r="S115" s="13" t="str">
        <f>_xlfn.CONCAT(K115,L115,M115,N115,O115)</f>
        <v>LDLDD</v>
      </c>
      <c r="T115" s="13" t="str">
        <f>_xlfn.CONCAT(R115,"***",S115)</f>
        <v>WLWWW***LDLDD</v>
      </c>
      <c r="U115" s="19">
        <f>(P115-Q115)</f>
        <v>23</v>
      </c>
      <c r="V115" s="14">
        <v>1</v>
      </c>
      <c r="W115" s="14">
        <v>0</v>
      </c>
      <c r="X115" s="20" t="str">
        <f>IF(ISBLANK(V115),"",IF(V115&gt;W115,"1",IF(V115&lt;W115,"2",IF(V115=W115,"X"))))</f>
        <v>1</v>
      </c>
      <c r="Y115" s="23" t="str">
        <f>COUNTIF(F115:J115, "W")&amp;COUNTIF(F115:J115, "d")&amp;COUNTIF(F115:J115, "l")</f>
        <v>401</v>
      </c>
      <c r="Z115" s="13" t="str">
        <f>COUNTIF(K115:O115, "W")&amp;COUNTIF(K115:O115, "d")&amp;COUNTIF(K115:O115, "l")</f>
        <v>032</v>
      </c>
      <c r="AA115" s="23" t="str">
        <f>_xlfn.CONCAT(Y115,"-",Z115)</f>
        <v>401-032</v>
      </c>
      <c r="AB115" s="15" t="str">
        <f>_xlfn.CONCAT(AA115,"…",TEXT(U115,"+00;-00;+00;"))</f>
        <v>401-032…+23</v>
      </c>
      <c r="AC115" s="23" t="str">
        <f>_xlfn.CONCAT(TEXT(P115,"+00;-00;+00;"),"…",TEXT(Q115,"+00;-00;+00;"))</f>
        <v>+17…-06</v>
      </c>
      <c r="AD115" s="14" t="str">
        <f>IF(X115="","?","")</f>
        <v/>
      </c>
      <c r="AE115" s="15" t="str">
        <f>_xlfn.CONCAT(AA115,"…",TEXT(P115,"+00;-00;+00;"),"...",TEXT(Q115,"+00;-00;+00;"))</f>
        <v>401-032…+17...-06</v>
      </c>
      <c r="AF115" s="13" t="str">
        <f>_xlfn.CONCAT(R115,"…",TEXT(P115,"+00;-00;+00;"),"...",TEXT(Q115,"+00;-00;+00;"))</f>
        <v>WLWWW…+17...-06</v>
      </c>
    </row>
    <row r="116" spans="1:32" s="8" customFormat="1" x14ac:dyDescent="0.25">
      <c r="A116" s="12" t="s">
        <v>341</v>
      </c>
      <c r="B116" s="13" t="s">
        <v>339</v>
      </c>
      <c r="C116" s="14">
        <v>1</v>
      </c>
      <c r="D116" s="13" t="s">
        <v>352</v>
      </c>
      <c r="E116" s="13" t="s">
        <v>353</v>
      </c>
      <c r="F116" s="15" t="s">
        <v>30</v>
      </c>
      <c r="G116" s="15" t="s">
        <v>30</v>
      </c>
      <c r="H116" s="15" t="s">
        <v>30</v>
      </c>
      <c r="I116" s="15" t="s">
        <v>30</v>
      </c>
      <c r="J116" s="15" t="s">
        <v>31</v>
      </c>
      <c r="K116" s="15" t="s">
        <v>29</v>
      </c>
      <c r="L116" s="15" t="s">
        <v>29</v>
      </c>
      <c r="M116" s="15" t="s">
        <v>30</v>
      </c>
      <c r="N116" s="15" t="s">
        <v>31</v>
      </c>
      <c r="O116" s="15" t="s">
        <v>30</v>
      </c>
      <c r="P116" s="16">
        <v>4</v>
      </c>
      <c r="Q116" s="16">
        <v>11</v>
      </c>
      <c r="R116" s="13" t="str">
        <f>_xlfn.CONCAT(F116,G116,H116,I116,J116)</f>
        <v>WWWWL</v>
      </c>
      <c r="S116" s="13" t="str">
        <f>_xlfn.CONCAT(K116,L116,M116,N116,O116)</f>
        <v>DDWLW</v>
      </c>
      <c r="T116" s="13" t="str">
        <f>_xlfn.CONCAT(R116,"***",S116)</f>
        <v>WWWWL***DDWLW</v>
      </c>
      <c r="U116" s="19">
        <f>(P116-Q116)</f>
        <v>-7</v>
      </c>
      <c r="V116" s="14">
        <v>1</v>
      </c>
      <c r="W116" s="14">
        <v>1</v>
      </c>
      <c r="X116" s="20" t="str">
        <f>IF(ISBLANK(V116),"",IF(V116&gt;W116,"1",IF(V116&lt;W116,"2",IF(V116=W116,"X"))))</f>
        <v>X</v>
      </c>
      <c r="Y116" s="23" t="str">
        <f>COUNTIF(F116:J116, "W")&amp;COUNTIF(F116:J116, "d")&amp;COUNTIF(F116:J116, "l")</f>
        <v>401</v>
      </c>
      <c r="Z116" s="13" t="str">
        <f>COUNTIF(K116:O116, "W")&amp;COUNTIF(K116:O116, "d")&amp;COUNTIF(K116:O116, "l")</f>
        <v>221</v>
      </c>
      <c r="AA116" s="23" t="str">
        <f>_xlfn.CONCAT(Y116,"-",Z116)</f>
        <v>401-221</v>
      </c>
      <c r="AB116" s="15" t="str">
        <f>_xlfn.CONCAT(AA116,"…",TEXT(U116,"+00;-00;+00;"))</f>
        <v>401-221…-07</v>
      </c>
      <c r="AC116" s="23" t="str">
        <f>_xlfn.CONCAT(TEXT(P116,"+00;-00;+00;"),"…",TEXT(Q116,"+00;-00;+00;"))</f>
        <v>+04…+11</v>
      </c>
      <c r="AD116" s="14" t="str">
        <f>IF(X116="","?","")</f>
        <v/>
      </c>
      <c r="AE116" s="15" t="str">
        <f>_xlfn.CONCAT(AA116,"…",TEXT(P116,"+00;-00;+00;"),"...",TEXT(Q116,"+00;-00;+00;"))</f>
        <v>401-221…+04...+11</v>
      </c>
      <c r="AF116" s="13" t="str">
        <f>_xlfn.CONCAT(R116,"…",TEXT(P116,"+00;-00;+00;"),"...",TEXT(Q116,"+00;-00;+00;"))</f>
        <v>WWWWL…+04...+11</v>
      </c>
    </row>
    <row r="117" spans="1:32" x14ac:dyDescent="0.25">
      <c r="A117" s="12" t="s">
        <v>298</v>
      </c>
      <c r="B117" s="13" t="s">
        <v>295</v>
      </c>
      <c r="C117" s="14">
        <v>1</v>
      </c>
      <c r="D117" s="13" t="s">
        <v>74</v>
      </c>
      <c r="E117" s="13" t="s">
        <v>311</v>
      </c>
      <c r="F117" s="15" t="s">
        <v>29</v>
      </c>
      <c r="G117" s="15" t="s">
        <v>30</v>
      </c>
      <c r="H117" s="15" t="s">
        <v>29</v>
      </c>
      <c r="I117" s="15" t="s">
        <v>29</v>
      </c>
      <c r="J117" s="15" t="s">
        <v>30</v>
      </c>
      <c r="K117" s="15" t="s">
        <v>31</v>
      </c>
      <c r="L117" s="15" t="s">
        <v>31</v>
      </c>
      <c r="M117" s="15" t="s">
        <v>31</v>
      </c>
      <c r="N117" s="15" t="s">
        <v>29</v>
      </c>
      <c r="O117" s="15" t="s">
        <v>31</v>
      </c>
      <c r="P117" s="16">
        <v>-10</v>
      </c>
      <c r="Q117" s="16">
        <v>-17</v>
      </c>
      <c r="R117" s="13" t="str">
        <f>_xlfn.CONCAT(F117,G117,H117,I117,J117)</f>
        <v>DWDDW</v>
      </c>
      <c r="S117" s="13" t="str">
        <f>_xlfn.CONCAT(K117,L117,M117,N117,O117)</f>
        <v>LLLDL</v>
      </c>
      <c r="T117" s="13" t="str">
        <f>_xlfn.CONCAT(R117,"***",S117)</f>
        <v>DWDDW***LLLDL</v>
      </c>
      <c r="U117" s="19">
        <f>(P117-Q117)</f>
        <v>7</v>
      </c>
      <c r="V117" s="14">
        <v>0</v>
      </c>
      <c r="W117" s="14">
        <v>5</v>
      </c>
      <c r="X117" s="20" t="str">
        <f>IF(ISBLANK(V117),"",IF(V117&gt;W117,"1",IF(V117&lt;W117,"2",IF(V117=W117,"X"))))</f>
        <v>2</v>
      </c>
      <c r="Y117" s="23" t="str">
        <f>COUNTIF(F117:J117, "W")&amp;COUNTIF(F117:J117, "d")&amp;COUNTIF(F117:J117, "l")</f>
        <v>230</v>
      </c>
      <c r="Z117" s="13" t="str">
        <f>COUNTIF(K117:O117, "W")&amp;COUNTIF(K117:O117, "d")&amp;COUNTIF(K117:O117, "l")</f>
        <v>014</v>
      </c>
      <c r="AA117" s="23" t="str">
        <f>_xlfn.CONCAT(Y117,"-",Z117)</f>
        <v>230-014</v>
      </c>
      <c r="AB117" s="15" t="str">
        <f>_xlfn.CONCAT(AA117,"…",TEXT(U117,"+00;-00;+00;"))</f>
        <v>230-014…+07</v>
      </c>
      <c r="AC117" s="23" t="str">
        <f>_xlfn.CONCAT(TEXT(P117,"+00;-00;+00;"),"…",TEXT(Q117,"+00;-00;+00;"))</f>
        <v>-10…-17</v>
      </c>
      <c r="AD117" s="14" t="str">
        <f>IF(X117="","?","")</f>
        <v/>
      </c>
      <c r="AE117" s="15" t="str">
        <f>_xlfn.CONCAT(AA117,"…",TEXT(P117,"+00;-00;+00;"),"...",TEXT(Q117,"+00;-00;+00;"))</f>
        <v>230-014…-10...-17</v>
      </c>
      <c r="AF117" s="13" t="str">
        <f>_xlfn.CONCAT(R117,"…",TEXT(P117,"+00;-00;+00;"),"...",TEXT(Q117,"+00;-00;+00;"))</f>
        <v>DWDDW…-10...-17</v>
      </c>
    </row>
    <row r="118" spans="1:32" x14ac:dyDescent="0.25">
      <c r="A118" s="12" t="s">
        <v>121</v>
      </c>
      <c r="B118" s="13" t="s">
        <v>117</v>
      </c>
      <c r="C118" s="14" t="s">
        <v>0</v>
      </c>
      <c r="D118" s="13" t="s">
        <v>132</v>
      </c>
      <c r="E118" s="13" t="s">
        <v>133</v>
      </c>
      <c r="F118" s="15" t="s">
        <v>31</v>
      </c>
      <c r="G118" s="15" t="s">
        <v>30</v>
      </c>
      <c r="H118" s="15" t="s">
        <v>30</v>
      </c>
      <c r="I118" s="15" t="s">
        <v>29</v>
      </c>
      <c r="J118" s="15" t="s">
        <v>31</v>
      </c>
      <c r="K118" s="15" t="s">
        <v>29</v>
      </c>
      <c r="L118" s="15" t="s">
        <v>30</v>
      </c>
      <c r="M118" s="15" t="s">
        <v>29</v>
      </c>
      <c r="N118" s="15" t="s">
        <v>31</v>
      </c>
      <c r="O118" s="15" t="s">
        <v>30</v>
      </c>
      <c r="P118" s="16">
        <v>-12</v>
      </c>
      <c r="Q118" s="16">
        <v>2</v>
      </c>
      <c r="R118" s="13" t="str">
        <f>_xlfn.CONCAT(F118,G118,H118,I118,J118)</f>
        <v>LWWDL</v>
      </c>
      <c r="S118" s="13" t="str">
        <f>_xlfn.CONCAT(K118,L118,M118,N118,O118)</f>
        <v>DWDLW</v>
      </c>
      <c r="T118" s="13" t="str">
        <f>_xlfn.CONCAT(R118,"***",S118)</f>
        <v>LWWDL***DWDLW</v>
      </c>
      <c r="U118" s="19">
        <f>(P118-Q118)</f>
        <v>-14</v>
      </c>
      <c r="V118" s="14">
        <v>1</v>
      </c>
      <c r="W118" s="14">
        <v>1</v>
      </c>
      <c r="X118" s="20" t="str">
        <f>IF(ISBLANK(V118),"",IF(V118&gt;W118,"1",IF(V118&lt;W118,"2",IF(V118=W118,"X"))))</f>
        <v>X</v>
      </c>
      <c r="Y118" s="23" t="str">
        <f>COUNTIF(F118:J118, "W")&amp;COUNTIF(F118:J118, "d")&amp;COUNTIF(F118:J118, "l")</f>
        <v>212</v>
      </c>
      <c r="Z118" s="13" t="str">
        <f>COUNTIF(K118:O118, "W")&amp;COUNTIF(K118:O118, "d")&amp;COUNTIF(K118:O118, "l")</f>
        <v>221</v>
      </c>
      <c r="AA118" s="23" t="str">
        <f>_xlfn.CONCAT(Y118,"-",Z118)</f>
        <v>212-221</v>
      </c>
      <c r="AB118" s="15" t="str">
        <f>_xlfn.CONCAT(AA118,"…",TEXT(U118,"+00;-00;+00;"))</f>
        <v>212-221…-14</v>
      </c>
      <c r="AC118" s="23" t="str">
        <f>_xlfn.CONCAT(TEXT(P118,"+00;-00;+00;"),"…",TEXT(Q118,"+00;-00;+00;"))</f>
        <v>-12…+02</v>
      </c>
      <c r="AD118" s="14" t="str">
        <f>IF(X118="","?","")</f>
        <v/>
      </c>
      <c r="AE118" s="15" t="str">
        <f>_xlfn.CONCAT(AA118,"…",TEXT(P118,"+00;-00;+00;"),"...",TEXT(Q118,"+00;-00;+00;"))</f>
        <v>212-221…-12...+02</v>
      </c>
      <c r="AF118" s="13" t="str">
        <f>_xlfn.CONCAT(R118,"…",TEXT(P118,"+00;-00;+00;"),"...",TEXT(Q118,"+00;-00;+00;"))</f>
        <v>LWWDL…-12...+02</v>
      </c>
    </row>
    <row r="119" spans="1:32" s="8" customFormat="1" x14ac:dyDescent="0.25">
      <c r="A119" s="12" t="s">
        <v>459</v>
      </c>
      <c r="B119" s="13" t="s">
        <v>167</v>
      </c>
      <c r="C119" s="14">
        <v>1</v>
      </c>
      <c r="D119" s="13" t="s">
        <v>175</v>
      </c>
      <c r="E119" s="13" t="s">
        <v>176</v>
      </c>
      <c r="F119" s="15" t="s">
        <v>29</v>
      </c>
      <c r="G119" s="15" t="s">
        <v>30</v>
      </c>
      <c r="H119" s="15" t="s">
        <v>30</v>
      </c>
      <c r="I119" s="15" t="s">
        <v>30</v>
      </c>
      <c r="J119" s="15" t="s">
        <v>30</v>
      </c>
      <c r="K119" s="15" t="s">
        <v>29</v>
      </c>
      <c r="L119" s="15" t="s">
        <v>31</v>
      </c>
      <c r="M119" s="15" t="s">
        <v>31</v>
      </c>
      <c r="N119" s="15" t="s">
        <v>29</v>
      </c>
      <c r="O119" s="15" t="s">
        <v>29</v>
      </c>
      <c r="P119" s="16">
        <v>9</v>
      </c>
      <c r="Q119" s="16">
        <v>-3</v>
      </c>
      <c r="R119" s="13" t="str">
        <f>_xlfn.CONCAT(F119,G119,H119,I119,J119)</f>
        <v>DWWWW</v>
      </c>
      <c r="S119" s="13" t="str">
        <f>_xlfn.CONCAT(K119,L119,M119,N119,O119)</f>
        <v>DLLDD</v>
      </c>
      <c r="T119" s="13" t="str">
        <f>_xlfn.CONCAT(R119,"***",S119)</f>
        <v>DWWWW***DLLDD</v>
      </c>
      <c r="U119" s="19">
        <f>(P119-Q119)</f>
        <v>12</v>
      </c>
      <c r="V119" s="14">
        <v>1</v>
      </c>
      <c r="W119" s="14">
        <v>0</v>
      </c>
      <c r="X119" s="20" t="str">
        <f>IF(ISBLANK(V119),"",IF(V119&gt;W119,"1",IF(V119&lt;W119,"2",IF(V119=W119,"X"))))</f>
        <v>1</v>
      </c>
      <c r="Y119" s="23" t="str">
        <f>COUNTIF(F119:J119, "W")&amp;COUNTIF(F119:J119, "d")&amp;COUNTIF(F119:J119, "l")</f>
        <v>410</v>
      </c>
      <c r="Z119" s="13" t="str">
        <f>COUNTIF(K119:O119, "W")&amp;COUNTIF(K119:O119, "d")&amp;COUNTIF(K119:O119, "l")</f>
        <v>032</v>
      </c>
      <c r="AA119" s="23" t="str">
        <f>_xlfn.CONCAT(Y119,"-",Z119)</f>
        <v>410-032</v>
      </c>
      <c r="AB119" s="15" t="str">
        <f>_xlfn.CONCAT(AA119,"…",TEXT(U119,"+00;-00;+00;"))</f>
        <v>410-032…+12</v>
      </c>
      <c r="AC119" s="23" t="str">
        <f>_xlfn.CONCAT(TEXT(P119,"+00;-00;+00;"),"…",TEXT(Q119,"+00;-00;+00;"))</f>
        <v>+09…-03</v>
      </c>
      <c r="AD119" s="14" t="str">
        <f>IF(X119="","?","")</f>
        <v/>
      </c>
      <c r="AE119" s="15" t="str">
        <f>_xlfn.CONCAT(AA119,"…",TEXT(P119,"+00;-00;+00;"),"...",TEXT(Q119,"+00;-00;+00;"))</f>
        <v>410-032…+09...-03</v>
      </c>
      <c r="AF119" s="13" t="str">
        <f>_xlfn.CONCAT(R119,"…",TEXT(P119,"+00;-00;+00;"),"...",TEXT(Q119,"+00;-00;+00;"))</f>
        <v>DWWWW…+09...-03</v>
      </c>
    </row>
    <row r="120" spans="1:32" x14ac:dyDescent="0.25">
      <c r="A120" s="12" t="s">
        <v>231</v>
      </c>
      <c r="B120" s="13" t="s">
        <v>208</v>
      </c>
      <c r="C120" s="14">
        <v>2</v>
      </c>
      <c r="D120" s="13" t="s">
        <v>244</v>
      </c>
      <c r="E120" s="13" t="s">
        <v>245</v>
      </c>
      <c r="F120" s="15" t="s">
        <v>31</v>
      </c>
      <c r="G120" s="15" t="s">
        <v>31</v>
      </c>
      <c r="H120" s="15" t="s">
        <v>29</v>
      </c>
      <c r="I120" s="15" t="s">
        <v>31</v>
      </c>
      <c r="J120" s="15" t="s">
        <v>30</v>
      </c>
      <c r="K120" s="15" t="s">
        <v>30</v>
      </c>
      <c r="L120" s="15" t="s">
        <v>29</v>
      </c>
      <c r="M120" s="15" t="s">
        <v>31</v>
      </c>
      <c r="N120" s="15" t="s">
        <v>30</v>
      </c>
      <c r="O120" s="15" t="s">
        <v>29</v>
      </c>
      <c r="P120" s="16">
        <v>0</v>
      </c>
      <c r="Q120" s="16">
        <v>2</v>
      </c>
      <c r="R120" s="13" t="str">
        <f>_xlfn.CONCAT(F120,G120,H120,I120,J120)</f>
        <v>LLDLW</v>
      </c>
      <c r="S120" s="13" t="str">
        <f>_xlfn.CONCAT(K120,L120,M120,N120,O120)</f>
        <v>WDLWD</v>
      </c>
      <c r="T120" s="13" t="str">
        <f>_xlfn.CONCAT(R120,"***",S120)</f>
        <v>LLDLW***WDLWD</v>
      </c>
      <c r="U120" s="19">
        <f>(P120-Q120)</f>
        <v>-2</v>
      </c>
      <c r="V120" s="14">
        <v>0</v>
      </c>
      <c r="W120" s="14">
        <v>3</v>
      </c>
      <c r="X120" s="20" t="str">
        <f>IF(ISBLANK(V120),"",IF(V120&gt;W120,"1",IF(V120&lt;W120,"2",IF(V120=W120,"X"))))</f>
        <v>2</v>
      </c>
      <c r="Y120" s="23" t="str">
        <f>COUNTIF(F120:J120, "W")&amp;COUNTIF(F120:J120, "d")&amp;COUNTIF(F120:J120, "l")</f>
        <v>113</v>
      </c>
      <c r="Z120" s="13" t="str">
        <f>COUNTIF(K120:O120, "W")&amp;COUNTIF(K120:O120, "d")&amp;COUNTIF(K120:O120, "l")</f>
        <v>221</v>
      </c>
      <c r="AA120" s="23" t="str">
        <f>_xlfn.CONCAT(Y120,"-",Z120)</f>
        <v>113-221</v>
      </c>
      <c r="AB120" s="15" t="str">
        <f>_xlfn.CONCAT(AA120,"…",TEXT(U120,"+00;-00;+00;"))</f>
        <v>113-221…-02</v>
      </c>
      <c r="AC120" s="23" t="str">
        <f>_xlfn.CONCAT(TEXT(P120,"+00;-00;+00;"),"…",TEXT(Q120,"+00;-00;+00;"))</f>
        <v>+00…+02</v>
      </c>
      <c r="AD120" s="14" t="str">
        <f>IF(X120="","?","")</f>
        <v/>
      </c>
      <c r="AE120" s="15" t="str">
        <f>_xlfn.CONCAT(AA120,"…",TEXT(P120,"+00;-00;+00;"),"...",TEXT(Q120,"+00;-00;+00;"))</f>
        <v>113-221…+00...+02</v>
      </c>
      <c r="AF120" s="13" t="str">
        <f>_xlfn.CONCAT(R120,"…",TEXT(P120,"+00;-00;+00;"),"...",TEXT(Q120,"+00;-00;+00;"))</f>
        <v>LLDLW…+00...+02</v>
      </c>
    </row>
    <row r="121" spans="1:32" x14ac:dyDescent="0.25">
      <c r="A121" s="12" t="s">
        <v>231</v>
      </c>
      <c r="B121" s="13" t="s">
        <v>208</v>
      </c>
      <c r="C121" s="14">
        <v>2</v>
      </c>
      <c r="D121" s="13" t="s">
        <v>246</v>
      </c>
      <c r="E121" s="13" t="s">
        <v>247</v>
      </c>
      <c r="F121" s="15" t="s">
        <v>29</v>
      </c>
      <c r="G121" s="15" t="s">
        <v>31</v>
      </c>
      <c r="H121" s="15" t="s">
        <v>31</v>
      </c>
      <c r="I121" s="15" t="s">
        <v>30</v>
      </c>
      <c r="J121" s="15" t="s">
        <v>29</v>
      </c>
      <c r="K121" s="15" t="s">
        <v>30</v>
      </c>
      <c r="L121" s="15" t="s">
        <v>31</v>
      </c>
      <c r="M121" s="15" t="s">
        <v>30</v>
      </c>
      <c r="N121" s="15" t="s">
        <v>30</v>
      </c>
      <c r="O121" s="15" t="s">
        <v>31</v>
      </c>
      <c r="P121" s="16">
        <v>-4</v>
      </c>
      <c r="Q121" s="16">
        <v>0</v>
      </c>
      <c r="R121" s="13" t="str">
        <f>_xlfn.CONCAT(F121,G121,H121,I121,J121)</f>
        <v>DLLWD</v>
      </c>
      <c r="S121" s="13" t="str">
        <f>_xlfn.CONCAT(K121,L121,M121,N121,O121)</f>
        <v>WLWWL</v>
      </c>
      <c r="T121" s="13" t="str">
        <f>_xlfn.CONCAT(R121,"***",S121)</f>
        <v>DLLWD***WLWWL</v>
      </c>
      <c r="U121" s="19">
        <f>(P121-Q121)</f>
        <v>-4</v>
      </c>
      <c r="V121" s="14">
        <v>4</v>
      </c>
      <c r="W121" s="14">
        <v>1</v>
      </c>
      <c r="X121" s="20" t="str">
        <f>IF(ISBLANK(V121),"",IF(V121&gt;W121,"1",IF(V121&lt;W121,"2",IF(V121=W121,"X"))))</f>
        <v>1</v>
      </c>
      <c r="Y121" s="23" t="str">
        <f>COUNTIF(F121:J121, "W")&amp;COUNTIF(F121:J121, "d")&amp;COUNTIF(F121:J121, "l")</f>
        <v>122</v>
      </c>
      <c r="Z121" s="13" t="str">
        <f>COUNTIF(K121:O121, "W")&amp;COUNTIF(K121:O121, "d")&amp;COUNTIF(K121:O121, "l")</f>
        <v>302</v>
      </c>
      <c r="AA121" s="23" t="str">
        <f>_xlfn.CONCAT(Y121,"-",Z121)</f>
        <v>122-302</v>
      </c>
      <c r="AB121" s="15" t="str">
        <f>_xlfn.CONCAT(AA121,"…",TEXT(U121,"+00;-00;+00;"))</f>
        <v>122-302…-04</v>
      </c>
      <c r="AC121" s="23" t="str">
        <f>_xlfn.CONCAT(TEXT(P121,"+00;-00;+00;"),"…",TEXT(Q121,"+00;-00;+00;"))</f>
        <v>-04…+00</v>
      </c>
      <c r="AD121" s="14" t="str">
        <f>IF(X121="","?","")</f>
        <v/>
      </c>
      <c r="AE121" s="15" t="str">
        <f>_xlfn.CONCAT(AA121,"…",TEXT(P121,"+00;-00;+00;"),"...",TEXT(Q121,"+00;-00;+00;"))</f>
        <v>122-302…-04...+00</v>
      </c>
      <c r="AF121" s="13" t="str">
        <f>_xlfn.CONCAT(R121,"…",TEXT(P121,"+00;-00;+00;"),"...",TEXT(Q121,"+00;-00;+00;"))</f>
        <v>DLLWD…-04...+00</v>
      </c>
    </row>
    <row r="122" spans="1:32" x14ac:dyDescent="0.25">
      <c r="A122" s="12" t="s">
        <v>231</v>
      </c>
      <c r="B122" s="13" t="s">
        <v>318</v>
      </c>
      <c r="C122" s="14">
        <v>1</v>
      </c>
      <c r="D122" s="13" t="s">
        <v>330</v>
      </c>
      <c r="E122" s="13" t="s">
        <v>331</v>
      </c>
      <c r="F122" s="15" t="s">
        <v>29</v>
      </c>
      <c r="G122" s="15" t="s">
        <v>30</v>
      </c>
      <c r="H122" s="15" t="s">
        <v>30</v>
      </c>
      <c r="I122" s="15" t="s">
        <v>31</v>
      </c>
      <c r="J122" s="15" t="s">
        <v>29</v>
      </c>
      <c r="K122" s="15" t="s">
        <v>30</v>
      </c>
      <c r="L122" s="15" t="s">
        <v>30</v>
      </c>
      <c r="M122" s="15" t="s">
        <v>30</v>
      </c>
      <c r="N122" s="15" t="s">
        <v>30</v>
      </c>
      <c r="O122" s="15" t="s">
        <v>30</v>
      </c>
      <c r="P122" s="16">
        <v>8</v>
      </c>
      <c r="Q122" s="16">
        <v>19</v>
      </c>
      <c r="R122" s="13" t="str">
        <f>_xlfn.CONCAT(F122,G122,H122,I122,J122)</f>
        <v>DWWLD</v>
      </c>
      <c r="S122" s="13" t="str">
        <f>_xlfn.CONCAT(K122,L122,M122,N122,O122)</f>
        <v>WWWWW</v>
      </c>
      <c r="T122" s="13" t="str">
        <f>_xlfn.CONCAT(R122,"***",S122)</f>
        <v>DWWLD***WWWWW</v>
      </c>
      <c r="U122" s="19">
        <f>(P122-Q122)</f>
        <v>-11</v>
      </c>
      <c r="V122" s="14">
        <v>1</v>
      </c>
      <c r="W122" s="14">
        <v>1</v>
      </c>
      <c r="X122" s="20" t="str">
        <f>IF(ISBLANK(V122),"",IF(V122&gt;W122,"1",IF(V122&lt;W122,"2",IF(V122=W122,"X"))))</f>
        <v>X</v>
      </c>
      <c r="Y122" s="23" t="str">
        <f>COUNTIF(F122:J122, "W")&amp;COUNTIF(F122:J122, "d")&amp;COUNTIF(F122:J122, "l")</f>
        <v>221</v>
      </c>
      <c r="Z122" s="13" t="str">
        <f>COUNTIF(K122:O122, "W")&amp;COUNTIF(K122:O122, "d")&amp;COUNTIF(K122:O122, "l")</f>
        <v>500</v>
      </c>
      <c r="AA122" s="23" t="str">
        <f>_xlfn.CONCAT(Y122,"-",Z122)</f>
        <v>221-500</v>
      </c>
      <c r="AB122" s="15" t="str">
        <f>_xlfn.CONCAT(AA122,"…",TEXT(U122,"+00;-00;+00;"))</f>
        <v>221-500…-11</v>
      </c>
      <c r="AC122" s="23" t="str">
        <f>_xlfn.CONCAT(TEXT(P122,"+00;-00;+00;"),"…",TEXT(Q122,"+00;-00;+00;"))</f>
        <v>+08…+19</v>
      </c>
      <c r="AD122" s="14" t="str">
        <f>IF(X122="","?","")</f>
        <v/>
      </c>
      <c r="AE122" s="15" t="str">
        <f>_xlfn.CONCAT(AA122,"…",TEXT(P122,"+00;-00;+00;"),"...",TEXT(Q122,"+00;-00;+00;"))</f>
        <v>221-500…+08...+19</v>
      </c>
      <c r="AF122" s="13" t="str">
        <f>_xlfn.CONCAT(R122,"…",TEXT(P122,"+00;-00;+00;"),"...",TEXT(Q122,"+00;-00;+00;"))</f>
        <v>DWWLD…+08...+19</v>
      </c>
    </row>
    <row r="123" spans="1:32" s="8" customFormat="1" x14ac:dyDescent="0.25">
      <c r="A123" s="12" t="s">
        <v>231</v>
      </c>
      <c r="B123" s="13" t="s">
        <v>208</v>
      </c>
      <c r="C123" s="14">
        <v>2</v>
      </c>
      <c r="D123" s="13" t="s">
        <v>249</v>
      </c>
      <c r="E123" s="13" t="s">
        <v>243</v>
      </c>
      <c r="F123" s="15" t="s">
        <v>30</v>
      </c>
      <c r="G123" s="15" t="s">
        <v>30</v>
      </c>
      <c r="H123" s="15" t="s">
        <v>30</v>
      </c>
      <c r="I123" s="15" t="s">
        <v>31</v>
      </c>
      <c r="J123" s="15" t="s">
        <v>30</v>
      </c>
      <c r="K123" s="15" t="s">
        <v>30</v>
      </c>
      <c r="L123" s="15" t="s">
        <v>30</v>
      </c>
      <c r="M123" s="15" t="s">
        <v>30</v>
      </c>
      <c r="N123" s="15" t="s">
        <v>30</v>
      </c>
      <c r="O123" s="15" t="s">
        <v>29</v>
      </c>
      <c r="P123" s="16">
        <v>4</v>
      </c>
      <c r="Q123" s="16">
        <v>2</v>
      </c>
      <c r="R123" s="13" t="str">
        <f>_xlfn.CONCAT(F123,G123,H123,I123,J123)</f>
        <v>WWWLW</v>
      </c>
      <c r="S123" s="13" t="str">
        <f>_xlfn.CONCAT(K123,L123,M123,N123,O123)</f>
        <v>WWWWD</v>
      </c>
      <c r="T123" s="13" t="str">
        <f>_xlfn.CONCAT(R123,"***",S123)</f>
        <v>WWWLW***WWWWD</v>
      </c>
      <c r="U123" s="19">
        <f>(P123-Q123)</f>
        <v>2</v>
      </c>
      <c r="V123" s="14">
        <v>2</v>
      </c>
      <c r="W123" s="14">
        <v>0</v>
      </c>
      <c r="X123" s="20" t="str">
        <f>IF(ISBLANK(V123),"",IF(V123&gt;W123,"1",IF(V123&lt;W123,"2",IF(V123=W123,"X"))))</f>
        <v>1</v>
      </c>
      <c r="Y123" s="23" t="str">
        <f>COUNTIF(F123:J123, "W")&amp;COUNTIF(F123:J123, "d")&amp;COUNTIF(F123:J123, "l")</f>
        <v>401</v>
      </c>
      <c r="Z123" s="13" t="str">
        <f>COUNTIF(K123:O123, "W")&amp;COUNTIF(K123:O123, "d")&amp;COUNTIF(K123:O123, "l")</f>
        <v>410</v>
      </c>
      <c r="AA123" s="23" t="str">
        <f>_xlfn.CONCAT(Y123,"-",Z123)</f>
        <v>401-410</v>
      </c>
      <c r="AB123" s="15" t="str">
        <f>_xlfn.CONCAT(AA123,"…",TEXT(U123,"+00;-00;+00;"))</f>
        <v>401-410…+02</v>
      </c>
      <c r="AC123" s="23" t="str">
        <f>_xlfn.CONCAT(TEXT(P123,"+00;-00;+00;"),"…",TEXT(Q123,"+00;-00;+00;"))</f>
        <v>+04…+02</v>
      </c>
      <c r="AD123" s="14" t="str">
        <f>IF(X123="","?","")</f>
        <v/>
      </c>
      <c r="AE123" s="15" t="str">
        <f>_xlfn.CONCAT(AA123,"…",TEXT(P123,"+00;-00;+00;"),"...",TEXT(Q123,"+00;-00;+00;"))</f>
        <v>401-410…+04...+02</v>
      </c>
      <c r="AF123" s="13" t="str">
        <f>_xlfn.CONCAT(R123,"…",TEXT(P123,"+00;-00;+00;"),"...",TEXT(Q123,"+00;-00;+00;"))</f>
        <v>WWWLW…+04...+02</v>
      </c>
    </row>
    <row r="124" spans="1:32" x14ac:dyDescent="0.25">
      <c r="A124" s="12" t="s">
        <v>65</v>
      </c>
      <c r="B124" s="13" t="s">
        <v>59</v>
      </c>
      <c r="C124" s="14" t="s">
        <v>31</v>
      </c>
      <c r="D124" s="13" t="s">
        <v>77</v>
      </c>
      <c r="E124" s="13" t="s">
        <v>78</v>
      </c>
      <c r="F124" s="15" t="s">
        <v>31</v>
      </c>
      <c r="G124" s="15" t="s">
        <v>31</v>
      </c>
      <c r="H124" s="15" t="s">
        <v>30</v>
      </c>
      <c r="I124" s="15" t="s">
        <v>29</v>
      </c>
      <c r="J124" s="15" t="s">
        <v>31</v>
      </c>
      <c r="K124" s="15" t="s">
        <v>29</v>
      </c>
      <c r="L124" s="15" t="s">
        <v>31</v>
      </c>
      <c r="M124" s="15" t="s">
        <v>31</v>
      </c>
      <c r="N124" s="15" t="s">
        <v>30</v>
      </c>
      <c r="O124" s="15" t="s">
        <v>31</v>
      </c>
      <c r="P124" s="16">
        <v>-6</v>
      </c>
      <c r="Q124" s="16">
        <v>-6</v>
      </c>
      <c r="R124" s="13" t="str">
        <f>_xlfn.CONCAT(F124,G124,H124,I124,J124)</f>
        <v>LLWDL</v>
      </c>
      <c r="S124" s="13" t="str">
        <f>_xlfn.CONCAT(K124,L124,M124,N124,O124)</f>
        <v>DLLWL</v>
      </c>
      <c r="T124" s="13" t="str">
        <f>_xlfn.CONCAT(R124,"***",S124)</f>
        <v>LLWDL***DLLWL</v>
      </c>
      <c r="U124" s="19">
        <f>(P124-Q124)</f>
        <v>0</v>
      </c>
      <c r="V124" s="14">
        <v>3</v>
      </c>
      <c r="W124" s="14">
        <v>1</v>
      </c>
      <c r="X124" s="20" t="str">
        <f>IF(ISBLANK(V124),"",IF(V124&gt;W124,"1",IF(V124&lt;W124,"2",IF(V124=W124,"X"))))</f>
        <v>1</v>
      </c>
      <c r="Y124" s="23" t="str">
        <f>COUNTIF(F124:J124, "W")&amp;COUNTIF(F124:J124, "d")&amp;COUNTIF(F124:J124, "l")</f>
        <v>113</v>
      </c>
      <c r="Z124" s="13" t="str">
        <f>COUNTIF(K124:O124, "W")&amp;COUNTIF(K124:O124, "d")&amp;COUNTIF(K124:O124, "l")</f>
        <v>113</v>
      </c>
      <c r="AA124" s="23" t="str">
        <f>_xlfn.CONCAT(Y124,"-",Z124)</f>
        <v>113-113</v>
      </c>
      <c r="AB124" s="15" t="str">
        <f>_xlfn.CONCAT(AA124,"…",TEXT(U124,"+00;-00;+00;"))</f>
        <v>113-113…+00</v>
      </c>
      <c r="AC124" s="23" t="str">
        <f>_xlfn.CONCAT(TEXT(P124,"+00;-00;+00;"),"…",TEXT(Q124,"+00;-00;+00;"))</f>
        <v>-06…-06</v>
      </c>
      <c r="AD124" s="14" t="str">
        <f>IF(X124="","?","")</f>
        <v/>
      </c>
      <c r="AE124" s="15" t="str">
        <f>_xlfn.CONCAT(AA124,"…",TEXT(P124,"+00;-00;+00;"),"...",TEXT(Q124,"+00;-00;+00;"))</f>
        <v>113-113…-06...-06</v>
      </c>
      <c r="AF124" s="13" t="str">
        <f>_xlfn.CONCAT(R124,"…",TEXT(P124,"+00;-00;+00;"),"...",TEXT(Q124,"+00;-00;+00;"))</f>
        <v>LLWDL…-06...-06</v>
      </c>
    </row>
    <row r="125" spans="1:32" x14ac:dyDescent="0.25">
      <c r="A125" s="12" t="s">
        <v>65</v>
      </c>
      <c r="B125" s="13" t="s">
        <v>364</v>
      </c>
      <c r="C125" s="14">
        <v>1</v>
      </c>
      <c r="D125" s="13" t="s">
        <v>371</v>
      </c>
      <c r="E125" s="13" t="s">
        <v>372</v>
      </c>
      <c r="F125" s="15" t="s">
        <v>31</v>
      </c>
      <c r="G125" s="15" t="s">
        <v>30</v>
      </c>
      <c r="H125" s="15" t="s">
        <v>31</v>
      </c>
      <c r="I125" s="15" t="s">
        <v>30</v>
      </c>
      <c r="J125" s="15" t="s">
        <v>31</v>
      </c>
      <c r="K125" s="15" t="s">
        <v>30</v>
      </c>
      <c r="L125" s="15" t="s">
        <v>29</v>
      </c>
      <c r="M125" s="15" t="s">
        <v>30</v>
      </c>
      <c r="N125" s="15" t="s">
        <v>30</v>
      </c>
      <c r="O125" s="15" t="s">
        <v>29</v>
      </c>
      <c r="P125" s="16">
        <v>12</v>
      </c>
      <c r="Q125" s="16">
        <v>3</v>
      </c>
      <c r="R125" s="13" t="str">
        <f>_xlfn.CONCAT(F125,G125,H125,I125,J125)</f>
        <v>LWLWL</v>
      </c>
      <c r="S125" s="13" t="str">
        <f>_xlfn.CONCAT(K125,L125,M125,N125,O125)</f>
        <v>WDWWD</v>
      </c>
      <c r="T125" s="13" t="str">
        <f>_xlfn.CONCAT(R125,"***",S125)</f>
        <v>LWLWL***WDWWD</v>
      </c>
      <c r="U125" s="19">
        <f>(P125-Q125)</f>
        <v>9</v>
      </c>
      <c r="V125" s="14">
        <v>0</v>
      </c>
      <c r="W125" s="14">
        <v>0</v>
      </c>
      <c r="X125" s="20" t="str">
        <f>IF(ISBLANK(V125),"",IF(V125&gt;W125,"1",IF(V125&lt;W125,"2",IF(V125=W125,"X"))))</f>
        <v>X</v>
      </c>
      <c r="Y125" s="23" t="str">
        <f>COUNTIF(F125:J125, "W")&amp;COUNTIF(F125:J125, "d")&amp;COUNTIF(F125:J125, "l")</f>
        <v>203</v>
      </c>
      <c r="Z125" s="13" t="str">
        <f>COUNTIF(K125:O125, "W")&amp;COUNTIF(K125:O125, "d")&amp;COUNTIF(K125:O125, "l")</f>
        <v>320</v>
      </c>
      <c r="AA125" s="23" t="str">
        <f>_xlfn.CONCAT(Y125,"-",Z125)</f>
        <v>203-320</v>
      </c>
      <c r="AB125" s="15" t="str">
        <f>_xlfn.CONCAT(AA125,"…",TEXT(U125,"+00;-00;+00;"))</f>
        <v>203-320…+09</v>
      </c>
      <c r="AC125" s="23" t="str">
        <f>_xlfn.CONCAT(TEXT(P125,"+00;-00;+00;"),"…",TEXT(Q125,"+00;-00;+00;"))</f>
        <v>+12…+03</v>
      </c>
      <c r="AD125" s="14" t="str">
        <f>IF(X125="","?","")</f>
        <v/>
      </c>
      <c r="AE125" s="15" t="str">
        <f>_xlfn.CONCAT(AA125,"…",TEXT(P125,"+00;-00;+00;"),"...",TEXT(Q125,"+00;-00;+00;"))</f>
        <v>203-320…+12...+03</v>
      </c>
      <c r="AF125" s="13" t="str">
        <f>_xlfn.CONCAT(R125,"…",TEXT(P125,"+00;-00;+00;"),"...",TEXT(Q125,"+00;-00;+00;"))</f>
        <v>LWLWL…+12...+03</v>
      </c>
    </row>
    <row r="126" spans="1:32" x14ac:dyDescent="0.25">
      <c r="A126" s="12" t="s">
        <v>65</v>
      </c>
      <c r="B126" s="13" t="s">
        <v>339</v>
      </c>
      <c r="C126" s="14">
        <v>1</v>
      </c>
      <c r="D126" s="13" t="s">
        <v>356</v>
      </c>
      <c r="E126" s="13" t="s">
        <v>357</v>
      </c>
      <c r="F126" s="15" t="s">
        <v>31</v>
      </c>
      <c r="G126" s="15" t="s">
        <v>30</v>
      </c>
      <c r="H126" s="15" t="s">
        <v>30</v>
      </c>
      <c r="I126" s="15" t="s">
        <v>31</v>
      </c>
      <c r="J126" s="15" t="s">
        <v>29</v>
      </c>
      <c r="K126" s="15" t="s">
        <v>30</v>
      </c>
      <c r="L126" s="15" t="s">
        <v>31</v>
      </c>
      <c r="M126" s="15" t="s">
        <v>30</v>
      </c>
      <c r="N126" s="15" t="s">
        <v>31</v>
      </c>
      <c r="O126" s="15" t="s">
        <v>30</v>
      </c>
      <c r="P126" s="16">
        <v>-10</v>
      </c>
      <c r="Q126" s="16">
        <v>4</v>
      </c>
      <c r="R126" s="13" t="str">
        <f>_xlfn.CONCAT(F126,G126,H126,I126,J126)</f>
        <v>LWWLD</v>
      </c>
      <c r="S126" s="13" t="str">
        <f>_xlfn.CONCAT(K126,L126,M126,N126,O126)</f>
        <v>WLWLW</v>
      </c>
      <c r="T126" s="13" t="str">
        <f>_xlfn.CONCAT(R126,"***",S126)</f>
        <v>LWWLD***WLWLW</v>
      </c>
      <c r="U126" s="19">
        <f>(P126-Q126)</f>
        <v>-14</v>
      </c>
      <c r="V126" s="14">
        <v>1</v>
      </c>
      <c r="W126" s="14">
        <v>2</v>
      </c>
      <c r="X126" s="20" t="str">
        <f>IF(ISBLANK(V126),"",IF(V126&gt;W126,"1",IF(V126&lt;W126,"2",IF(V126=W126,"X"))))</f>
        <v>2</v>
      </c>
      <c r="Y126" s="23" t="str">
        <f>COUNTIF(F126:J126, "W")&amp;COUNTIF(F126:J126, "d")&amp;COUNTIF(F126:J126, "l")</f>
        <v>212</v>
      </c>
      <c r="Z126" s="13" t="str">
        <f>COUNTIF(K126:O126, "W")&amp;COUNTIF(K126:O126, "d")&amp;COUNTIF(K126:O126, "l")</f>
        <v>302</v>
      </c>
      <c r="AA126" s="23" t="str">
        <f>_xlfn.CONCAT(Y126,"-",Z126)</f>
        <v>212-302</v>
      </c>
      <c r="AB126" s="15" t="str">
        <f>_xlfn.CONCAT(AA126,"…",TEXT(U126,"+00;-00;+00;"))</f>
        <v>212-302…-14</v>
      </c>
      <c r="AC126" s="23" t="str">
        <f>_xlfn.CONCAT(TEXT(P126,"+00;-00;+00;"),"…",TEXT(Q126,"+00;-00;+00;"))</f>
        <v>-10…+04</v>
      </c>
      <c r="AD126" s="14" t="str">
        <f>IF(X126="","?","")</f>
        <v/>
      </c>
      <c r="AE126" s="15" t="str">
        <f>_xlfn.CONCAT(AA126,"…",TEXT(P126,"+00;-00;+00;"),"...",TEXT(Q126,"+00;-00;+00;"))</f>
        <v>212-302…-10...+04</v>
      </c>
      <c r="AF126" s="13" t="str">
        <f>_xlfn.CONCAT(R126,"…",TEXT(P126,"+00;-00;+00;"),"...",TEXT(Q126,"+00;-00;+00;"))</f>
        <v>LWWLD…-10...+04</v>
      </c>
    </row>
    <row r="127" spans="1:32" x14ac:dyDescent="0.25">
      <c r="A127" s="12" t="s">
        <v>65</v>
      </c>
      <c r="B127" s="13" t="s">
        <v>339</v>
      </c>
      <c r="C127" s="14">
        <v>1</v>
      </c>
      <c r="D127" s="13" t="s">
        <v>354</v>
      </c>
      <c r="E127" s="13" t="s">
        <v>355</v>
      </c>
      <c r="F127" s="15" t="s">
        <v>30</v>
      </c>
      <c r="G127" s="15" t="s">
        <v>30</v>
      </c>
      <c r="H127" s="15" t="s">
        <v>30</v>
      </c>
      <c r="I127" s="15" t="s">
        <v>31</v>
      </c>
      <c r="J127" s="15" t="s">
        <v>31</v>
      </c>
      <c r="K127" s="15" t="s">
        <v>30</v>
      </c>
      <c r="L127" s="15" t="s">
        <v>31</v>
      </c>
      <c r="M127" s="15" t="s">
        <v>31</v>
      </c>
      <c r="N127" s="15" t="s">
        <v>31</v>
      </c>
      <c r="O127" s="15" t="s">
        <v>30</v>
      </c>
      <c r="P127" s="16">
        <v>4</v>
      </c>
      <c r="Q127" s="16">
        <v>-6</v>
      </c>
      <c r="R127" s="13" t="str">
        <f>_xlfn.CONCAT(F127,G127,H127,I127,J127)</f>
        <v>WWWLL</v>
      </c>
      <c r="S127" s="13" t="str">
        <f>_xlfn.CONCAT(K127,L127,M127,N127,O127)</f>
        <v>WLLLW</v>
      </c>
      <c r="T127" s="13" t="str">
        <f>_xlfn.CONCAT(R127,"***",S127)</f>
        <v>WWWLL***WLLLW</v>
      </c>
      <c r="U127" s="19">
        <f>(P127-Q127)</f>
        <v>10</v>
      </c>
      <c r="V127" s="14">
        <v>0</v>
      </c>
      <c r="W127" s="14">
        <v>0</v>
      </c>
      <c r="X127" s="20" t="str">
        <f>IF(ISBLANK(V127),"",IF(V127&gt;W127,"1",IF(V127&lt;W127,"2",IF(V127=W127,"X"))))</f>
        <v>X</v>
      </c>
      <c r="Y127" s="23" t="str">
        <f>COUNTIF(F127:J127, "W")&amp;COUNTIF(F127:J127, "d")&amp;COUNTIF(F127:J127, "l")</f>
        <v>302</v>
      </c>
      <c r="Z127" s="13" t="str">
        <f>COUNTIF(K127:O127, "W")&amp;COUNTIF(K127:O127, "d")&amp;COUNTIF(K127:O127, "l")</f>
        <v>203</v>
      </c>
      <c r="AA127" s="23" t="str">
        <f>_xlfn.CONCAT(Y127,"-",Z127)</f>
        <v>302-203</v>
      </c>
      <c r="AB127" s="15" t="str">
        <f>_xlfn.CONCAT(AA127,"…",TEXT(U127,"+00;-00;+00;"))</f>
        <v>302-203…+10</v>
      </c>
      <c r="AC127" s="23" t="str">
        <f>_xlfn.CONCAT(TEXT(P127,"+00;-00;+00;"),"…",TEXT(Q127,"+00;-00;+00;"))</f>
        <v>+04…-06</v>
      </c>
      <c r="AD127" s="14" t="str">
        <f>IF(X127="","?","")</f>
        <v/>
      </c>
      <c r="AE127" s="15" t="str">
        <f>_xlfn.CONCAT(AA127,"…",TEXT(P127,"+00;-00;+00;"),"...",TEXT(Q127,"+00;-00;+00;"))</f>
        <v>302-203…+04...-06</v>
      </c>
      <c r="AF127" s="13" t="str">
        <f>_xlfn.CONCAT(R127,"…",TEXT(P127,"+00;-00;+00;"),"...",TEXT(Q127,"+00;-00;+00;"))</f>
        <v>WWWLL…+04...-06</v>
      </c>
    </row>
    <row r="128" spans="1:32" x14ac:dyDescent="0.25">
      <c r="A128" s="12" t="s">
        <v>299</v>
      </c>
      <c r="B128" s="13" t="s">
        <v>295</v>
      </c>
      <c r="C128" s="14">
        <v>1</v>
      </c>
      <c r="D128" s="13" t="s">
        <v>314</v>
      </c>
      <c r="E128" s="13" t="s">
        <v>315</v>
      </c>
      <c r="F128" s="15" t="s">
        <v>29</v>
      </c>
      <c r="G128" s="15" t="s">
        <v>29</v>
      </c>
      <c r="H128" s="15" t="s">
        <v>29</v>
      </c>
      <c r="I128" s="15" t="s">
        <v>29</v>
      </c>
      <c r="J128" s="15" t="s">
        <v>31</v>
      </c>
      <c r="K128" s="15" t="s">
        <v>30</v>
      </c>
      <c r="L128" s="15" t="s">
        <v>30</v>
      </c>
      <c r="M128" s="15" t="s">
        <v>29</v>
      </c>
      <c r="N128" s="15" t="s">
        <v>29</v>
      </c>
      <c r="O128" s="15" t="s">
        <v>30</v>
      </c>
      <c r="P128" s="16">
        <v>-2</v>
      </c>
      <c r="Q128" s="16">
        <v>7</v>
      </c>
      <c r="R128" s="13" t="str">
        <f>_xlfn.CONCAT(F128,G128,H128,I128,J128)</f>
        <v>DDDDL</v>
      </c>
      <c r="S128" s="13" t="str">
        <f>_xlfn.CONCAT(K128,L128,M128,N128,O128)</f>
        <v>WWDDW</v>
      </c>
      <c r="T128" s="13" t="str">
        <f>_xlfn.CONCAT(R128,"***",S128)</f>
        <v>DDDDL***WWDDW</v>
      </c>
      <c r="U128" s="19">
        <f>(P128-Q128)</f>
        <v>-9</v>
      </c>
      <c r="V128" s="14">
        <v>1</v>
      </c>
      <c r="W128" s="14">
        <v>1</v>
      </c>
      <c r="X128" s="20" t="str">
        <f>IF(ISBLANK(V128),"",IF(V128&gt;W128,"1",IF(V128&lt;W128,"2",IF(V128=W128,"X"))))</f>
        <v>X</v>
      </c>
      <c r="Y128" s="23" t="str">
        <f>COUNTIF(F128:J128, "W")&amp;COUNTIF(F128:J128, "d")&amp;COUNTIF(F128:J128, "l")</f>
        <v>041</v>
      </c>
      <c r="Z128" s="13" t="str">
        <f>COUNTIF(K128:O128, "W")&amp;COUNTIF(K128:O128, "d")&amp;COUNTIF(K128:O128, "l")</f>
        <v>320</v>
      </c>
      <c r="AA128" s="23" t="str">
        <f>_xlfn.CONCAT(Y128,"-",Z128)</f>
        <v>041-320</v>
      </c>
      <c r="AB128" s="15" t="str">
        <f>_xlfn.CONCAT(AA128,"…",TEXT(U128,"+00;-00;+00;"))</f>
        <v>041-320…-09</v>
      </c>
      <c r="AC128" s="23" t="str">
        <f>_xlfn.CONCAT(TEXT(P128,"+00;-00;+00;"),"…",TEXT(Q128,"+00;-00;+00;"))</f>
        <v>-02…+07</v>
      </c>
      <c r="AD128" s="14" t="str">
        <f>IF(X128="","?","")</f>
        <v/>
      </c>
      <c r="AE128" s="15" t="str">
        <f>_xlfn.CONCAT(AA128,"…",TEXT(P128,"+00;-00;+00;"),"...",TEXT(Q128,"+00;-00;+00;"))</f>
        <v>041-320…-02...+07</v>
      </c>
      <c r="AF128" s="13" t="str">
        <f>_xlfn.CONCAT(R128,"…",TEXT(P128,"+00;-00;+00;"),"...",TEXT(Q128,"+00;-00;+00;"))</f>
        <v>DDDDL…-02...+07</v>
      </c>
    </row>
    <row r="129" spans="1:32" s="8" customFormat="1" x14ac:dyDescent="0.25">
      <c r="A129" s="12" t="s">
        <v>299</v>
      </c>
      <c r="B129" s="13" t="s">
        <v>295</v>
      </c>
      <c r="C129" s="14">
        <v>1</v>
      </c>
      <c r="D129" s="13" t="s">
        <v>312</v>
      </c>
      <c r="E129" s="13" t="s">
        <v>313</v>
      </c>
      <c r="F129" s="15" t="s">
        <v>31</v>
      </c>
      <c r="G129" s="15" t="s">
        <v>29</v>
      </c>
      <c r="H129" s="15" t="s">
        <v>30</v>
      </c>
      <c r="I129" s="15" t="s">
        <v>30</v>
      </c>
      <c r="J129" s="15" t="s">
        <v>30</v>
      </c>
      <c r="K129" s="15" t="s">
        <v>31</v>
      </c>
      <c r="L129" s="15" t="s">
        <v>29</v>
      </c>
      <c r="M129" s="15" t="s">
        <v>31</v>
      </c>
      <c r="N129" s="15" t="s">
        <v>30</v>
      </c>
      <c r="O129" s="15" t="s">
        <v>31</v>
      </c>
      <c r="P129" s="16">
        <v>20</v>
      </c>
      <c r="Q129" s="16">
        <v>-13</v>
      </c>
      <c r="R129" s="13" t="str">
        <f>_xlfn.CONCAT(F129,G129,H129,I129,J129)</f>
        <v>LDWWW</v>
      </c>
      <c r="S129" s="13" t="str">
        <f>_xlfn.CONCAT(K129,L129,M129,N129,O129)</f>
        <v>LDLWL</v>
      </c>
      <c r="T129" s="13" t="str">
        <f>_xlfn.CONCAT(R129,"***",S129)</f>
        <v>LDWWW***LDLWL</v>
      </c>
      <c r="U129" s="19">
        <f>(P129-Q129)</f>
        <v>33</v>
      </c>
      <c r="V129" s="14">
        <v>3</v>
      </c>
      <c r="W129" s="14">
        <v>0</v>
      </c>
      <c r="X129" s="20" t="str">
        <f>IF(ISBLANK(V129),"",IF(V129&gt;W129,"1",IF(V129&lt;W129,"2",IF(V129=W129,"X"))))</f>
        <v>1</v>
      </c>
      <c r="Y129" s="23" t="str">
        <f>COUNTIF(F129:J129, "W")&amp;COUNTIF(F129:J129, "d")&amp;COUNTIF(F129:J129, "l")</f>
        <v>311</v>
      </c>
      <c r="Z129" s="13" t="str">
        <f>COUNTIF(K129:O129, "W")&amp;COUNTIF(K129:O129, "d")&amp;COUNTIF(K129:O129, "l")</f>
        <v>113</v>
      </c>
      <c r="AA129" s="23" t="str">
        <f>_xlfn.CONCAT(Y129,"-",Z129)</f>
        <v>311-113</v>
      </c>
      <c r="AB129" s="15" t="str">
        <f>_xlfn.CONCAT(AA129,"…",TEXT(U129,"+00;-00;+00;"))</f>
        <v>311-113…+33</v>
      </c>
      <c r="AC129" s="23" t="str">
        <f>_xlfn.CONCAT(TEXT(P129,"+00;-00;+00;"),"…",TEXT(Q129,"+00;-00;+00;"))</f>
        <v>+20…-13</v>
      </c>
      <c r="AD129" s="14" t="str">
        <f>IF(X129="","?","")</f>
        <v/>
      </c>
      <c r="AE129" s="15" t="str">
        <f>_xlfn.CONCAT(AA129,"…",TEXT(P129,"+00;-00;+00;"),"...",TEXT(Q129,"+00;-00;+00;"))</f>
        <v>311-113…+20...-13</v>
      </c>
      <c r="AF129" s="13" t="str">
        <f>_xlfn.CONCAT(R129,"…",TEXT(P129,"+00;-00;+00;"),"...",TEXT(Q129,"+00;-00;+00;"))</f>
        <v>LDWWW…+20...-13</v>
      </c>
    </row>
    <row r="130" spans="1:32" x14ac:dyDescent="0.25">
      <c r="A130" s="12" t="s">
        <v>4</v>
      </c>
      <c r="B130" s="13" t="s">
        <v>401</v>
      </c>
      <c r="C130" s="14">
        <v>1</v>
      </c>
      <c r="D130" s="13" t="s">
        <v>407</v>
      </c>
      <c r="E130" s="13" t="s">
        <v>408</v>
      </c>
      <c r="F130" s="15" t="s">
        <v>31</v>
      </c>
      <c r="G130" s="15" t="s">
        <v>29</v>
      </c>
      <c r="H130" s="15" t="s">
        <v>31</v>
      </c>
      <c r="I130" s="15" t="s">
        <v>29</v>
      </c>
      <c r="J130" s="15" t="s">
        <v>29</v>
      </c>
      <c r="K130" s="15" t="s">
        <v>31</v>
      </c>
      <c r="L130" s="15" t="s">
        <v>30</v>
      </c>
      <c r="M130" s="15" t="s">
        <v>31</v>
      </c>
      <c r="N130" s="15" t="s">
        <v>31</v>
      </c>
      <c r="O130" s="15" t="s">
        <v>29</v>
      </c>
      <c r="P130" s="16">
        <v>-9</v>
      </c>
      <c r="Q130" s="16">
        <v>-8</v>
      </c>
      <c r="R130" s="13" t="str">
        <f>_xlfn.CONCAT(F130,G130,H130,I130,J130)</f>
        <v>LDLDD</v>
      </c>
      <c r="S130" s="13" t="str">
        <f>_xlfn.CONCAT(K130,L130,M130,N130,O130)</f>
        <v>LWLLD</v>
      </c>
      <c r="T130" s="13" t="str">
        <f>_xlfn.CONCAT(R130,"***",S130)</f>
        <v>LDLDD***LWLLD</v>
      </c>
      <c r="U130" s="19">
        <f>(P130-Q130)</f>
        <v>-1</v>
      </c>
      <c r="V130" s="14">
        <v>1</v>
      </c>
      <c r="W130" s="14">
        <v>3</v>
      </c>
      <c r="X130" s="20" t="str">
        <f>IF(ISBLANK(V130),"",IF(V130&gt;W130,"1",IF(V130&lt;W130,"2",IF(V130=W130,"X"))))</f>
        <v>2</v>
      </c>
      <c r="Y130" s="23" t="str">
        <f>COUNTIF(F130:J130, "W")&amp;COUNTIF(F130:J130, "d")&amp;COUNTIF(F130:J130, "l")</f>
        <v>032</v>
      </c>
      <c r="Z130" s="13" t="str">
        <f>COUNTIF(K130:O130, "W")&amp;COUNTIF(K130:O130, "d")&amp;COUNTIF(K130:O130, "l")</f>
        <v>113</v>
      </c>
      <c r="AA130" s="23" t="str">
        <f>_xlfn.CONCAT(Y130,"-",Z130)</f>
        <v>032-113</v>
      </c>
      <c r="AB130" s="15" t="str">
        <f>_xlfn.CONCAT(AA130,"…",TEXT(U130,"+00;-00;+00;"))</f>
        <v>032-113…-01</v>
      </c>
      <c r="AC130" s="23" t="str">
        <f>_xlfn.CONCAT(TEXT(P130,"+00;-00;+00;"),"…",TEXT(Q130,"+00;-00;+00;"))</f>
        <v>-09…-08</v>
      </c>
      <c r="AD130" s="14" t="str">
        <f>IF(X130="","?","")</f>
        <v/>
      </c>
      <c r="AE130" s="15" t="str">
        <f>_xlfn.CONCAT(AA130,"…",TEXT(P130,"+00;-00;+00;"),"...",TEXT(Q130,"+00;-00;+00;"))</f>
        <v>032-113…-09...-08</v>
      </c>
      <c r="AF130" s="13" t="str">
        <f>_xlfn.CONCAT(R130,"…",TEXT(P130,"+00;-00;+00;"),"...",TEXT(Q130,"+00;-00;+00;"))</f>
        <v>LDLDD…-09...-08</v>
      </c>
    </row>
    <row r="131" spans="1:32" x14ac:dyDescent="0.25">
      <c r="A131" s="12" t="s">
        <v>4</v>
      </c>
      <c r="B131" s="13" t="s">
        <v>167</v>
      </c>
      <c r="C131" s="14">
        <v>1</v>
      </c>
      <c r="D131" s="13" t="s">
        <v>177</v>
      </c>
      <c r="E131" s="13" t="s">
        <v>178</v>
      </c>
      <c r="F131" s="15" t="s">
        <v>31</v>
      </c>
      <c r="G131" s="15" t="s">
        <v>29</v>
      </c>
      <c r="H131" s="15" t="s">
        <v>31</v>
      </c>
      <c r="I131" s="15" t="s">
        <v>30</v>
      </c>
      <c r="J131" s="15" t="s">
        <v>29</v>
      </c>
      <c r="K131" s="15" t="s">
        <v>30</v>
      </c>
      <c r="L131" s="15" t="s">
        <v>29</v>
      </c>
      <c r="M131" s="15" t="s">
        <v>29</v>
      </c>
      <c r="N131" s="15" t="s">
        <v>31</v>
      </c>
      <c r="O131" s="15" t="s">
        <v>31</v>
      </c>
      <c r="P131" s="16">
        <v>-6</v>
      </c>
      <c r="Q131" s="16">
        <v>-6</v>
      </c>
      <c r="R131" s="13" t="str">
        <f>_xlfn.CONCAT(F131,G131,H131,I131,J131)</f>
        <v>LDLWD</v>
      </c>
      <c r="S131" s="13" t="str">
        <f>_xlfn.CONCAT(K131,L131,M131,N131,O131)</f>
        <v>WDDLL</v>
      </c>
      <c r="T131" s="13" t="str">
        <f>_xlfn.CONCAT(R131,"***",S131)</f>
        <v>LDLWD***WDDLL</v>
      </c>
      <c r="U131" s="19">
        <f>(P131-Q131)</f>
        <v>0</v>
      </c>
      <c r="V131" s="14">
        <v>2</v>
      </c>
      <c r="W131" s="14">
        <v>3</v>
      </c>
      <c r="X131" s="20" t="str">
        <f>IF(ISBLANK(V131),"",IF(V131&gt;W131,"1",IF(V131&lt;W131,"2",IF(V131=W131,"X"))))</f>
        <v>2</v>
      </c>
      <c r="Y131" s="23" t="str">
        <f>COUNTIF(F131:J131, "W")&amp;COUNTIF(F131:J131, "d")&amp;COUNTIF(F131:J131, "l")</f>
        <v>122</v>
      </c>
      <c r="Z131" s="13" t="str">
        <f>COUNTIF(K131:O131, "W")&amp;COUNTIF(K131:O131, "d")&amp;COUNTIF(K131:O131, "l")</f>
        <v>122</v>
      </c>
      <c r="AA131" s="23" t="str">
        <f>_xlfn.CONCAT(Y131,"-",Z131)</f>
        <v>122-122</v>
      </c>
      <c r="AB131" s="15" t="str">
        <f>_xlfn.CONCAT(AA131,"…",TEXT(U131,"+00;-00;+00;"))</f>
        <v>122-122…+00</v>
      </c>
      <c r="AC131" s="23" t="str">
        <f>_xlfn.CONCAT(TEXT(P131,"+00;-00;+00;"),"…",TEXT(Q131,"+00;-00;+00;"))</f>
        <v>-06…-06</v>
      </c>
      <c r="AD131" s="14" t="str">
        <f>IF(X131="","?","")</f>
        <v/>
      </c>
      <c r="AE131" s="15" t="str">
        <f>_xlfn.CONCAT(AA131,"…",TEXT(P131,"+00;-00;+00;"),"...",TEXT(Q131,"+00;-00;+00;"))</f>
        <v>122-122…-06...-06</v>
      </c>
      <c r="AF131" s="13" t="str">
        <f>_xlfn.CONCAT(R131,"…",TEXT(P131,"+00;-00;+00;"),"...",TEXT(Q131,"+00;-00;+00;"))</f>
        <v>LDLWD…-06...-06</v>
      </c>
    </row>
    <row r="132" spans="1:32" x14ac:dyDescent="0.25">
      <c r="A132" s="12" t="s">
        <v>4</v>
      </c>
      <c r="B132" s="13" t="s">
        <v>167</v>
      </c>
      <c r="C132" s="14">
        <v>1</v>
      </c>
      <c r="D132" s="13" t="s">
        <v>181</v>
      </c>
      <c r="E132" s="13" t="s">
        <v>182</v>
      </c>
      <c r="F132" s="15" t="s">
        <v>31</v>
      </c>
      <c r="G132" s="15" t="s">
        <v>31</v>
      </c>
      <c r="H132" s="15" t="s">
        <v>31</v>
      </c>
      <c r="I132" s="15" t="s">
        <v>30</v>
      </c>
      <c r="J132" s="15" t="s">
        <v>30</v>
      </c>
      <c r="K132" s="15" t="s">
        <v>29</v>
      </c>
      <c r="L132" s="15" t="s">
        <v>30</v>
      </c>
      <c r="M132" s="15" t="s">
        <v>29</v>
      </c>
      <c r="N132" s="15" t="s">
        <v>29</v>
      </c>
      <c r="O132" s="15" t="s">
        <v>31</v>
      </c>
      <c r="P132" s="16">
        <v>-6</v>
      </c>
      <c r="Q132" s="16">
        <v>-1</v>
      </c>
      <c r="R132" s="13" t="str">
        <f>_xlfn.CONCAT(F132,G132,H132,I132,J132)</f>
        <v>LLLWW</v>
      </c>
      <c r="S132" s="13" t="str">
        <f>_xlfn.CONCAT(K132,L132,M132,N132,O132)</f>
        <v>DWDDL</v>
      </c>
      <c r="T132" s="13" t="str">
        <f>_xlfn.CONCAT(R132,"***",S132)</f>
        <v>LLLWW***DWDDL</v>
      </c>
      <c r="U132" s="19">
        <f>(P132-Q132)</f>
        <v>-5</v>
      </c>
      <c r="V132" s="14">
        <v>0</v>
      </c>
      <c r="W132" s="14">
        <v>0</v>
      </c>
      <c r="X132" s="20" t="str">
        <f>IF(ISBLANK(V132),"",IF(V132&gt;W132,"1",IF(V132&lt;W132,"2",IF(V132=W132,"X"))))</f>
        <v>X</v>
      </c>
      <c r="Y132" s="23" t="str">
        <f>COUNTIF(F132:J132, "W")&amp;COUNTIF(F132:J132, "d")&amp;COUNTIF(F132:J132, "l")</f>
        <v>203</v>
      </c>
      <c r="Z132" s="13" t="str">
        <f>COUNTIF(K132:O132, "W")&amp;COUNTIF(K132:O132, "d")&amp;COUNTIF(K132:O132, "l")</f>
        <v>131</v>
      </c>
      <c r="AA132" s="23" t="str">
        <f>_xlfn.CONCAT(Y132,"-",Z132)</f>
        <v>203-131</v>
      </c>
      <c r="AB132" s="15" t="str">
        <f>_xlfn.CONCAT(AA132,"…",TEXT(U132,"+00;-00;+00;"))</f>
        <v>203-131…-05</v>
      </c>
      <c r="AC132" s="23" t="str">
        <f>_xlfn.CONCAT(TEXT(P132,"+00;-00;+00;"),"…",TEXT(Q132,"+00;-00;+00;"))</f>
        <v>-06…-01</v>
      </c>
      <c r="AD132" s="14" t="str">
        <f>IF(X132="","?","")</f>
        <v/>
      </c>
      <c r="AE132" s="15" t="str">
        <f>_xlfn.CONCAT(AA132,"…",TEXT(P132,"+00;-00;+00;"),"...",TEXT(Q132,"+00;-00;+00;"))</f>
        <v>203-131…-06...-01</v>
      </c>
      <c r="AF132" s="13" t="str">
        <f>_xlfn.CONCAT(R132,"…",TEXT(P132,"+00;-00;+00;"),"...",TEXT(Q132,"+00;-00;+00;"))</f>
        <v>LLLWW…-06...-01</v>
      </c>
    </row>
    <row r="133" spans="1:32" x14ac:dyDescent="0.25">
      <c r="A133" s="12" t="s">
        <v>4</v>
      </c>
      <c r="B133" s="13" t="s">
        <v>117</v>
      </c>
      <c r="C133" s="14" t="s">
        <v>0</v>
      </c>
      <c r="D133" s="13" t="s">
        <v>136</v>
      </c>
      <c r="E133" s="13" t="s">
        <v>137</v>
      </c>
      <c r="F133" s="15" t="s">
        <v>31</v>
      </c>
      <c r="G133" s="15" t="s">
        <v>30</v>
      </c>
      <c r="H133" s="15" t="s">
        <v>31</v>
      </c>
      <c r="I133" s="15" t="s">
        <v>31</v>
      </c>
      <c r="J133" s="15" t="s">
        <v>30</v>
      </c>
      <c r="K133" s="15" t="s">
        <v>30</v>
      </c>
      <c r="L133" s="15" t="s">
        <v>31</v>
      </c>
      <c r="M133" s="15" t="s">
        <v>30</v>
      </c>
      <c r="N133" s="15" t="s">
        <v>31</v>
      </c>
      <c r="O133" s="15" t="s">
        <v>31</v>
      </c>
      <c r="P133" s="16">
        <v>-3</v>
      </c>
      <c r="Q133" s="16">
        <v>-3</v>
      </c>
      <c r="R133" s="13" t="str">
        <f>_xlfn.CONCAT(F133,G133,H133,I133,J133)</f>
        <v>LWLLW</v>
      </c>
      <c r="S133" s="13" t="str">
        <f>_xlfn.CONCAT(K133,L133,M133,N133,O133)</f>
        <v>WLWLL</v>
      </c>
      <c r="T133" s="13" t="str">
        <f>_xlfn.CONCAT(R133,"***",S133)</f>
        <v>LWLLW***WLWLL</v>
      </c>
      <c r="U133" s="19">
        <f>(P133-Q133)</f>
        <v>0</v>
      </c>
      <c r="V133" s="14">
        <v>2</v>
      </c>
      <c r="W133" s="14">
        <v>1</v>
      </c>
      <c r="X133" s="20" t="str">
        <f>IF(ISBLANK(V133),"",IF(V133&gt;W133,"1",IF(V133&lt;W133,"2",IF(V133=W133,"X"))))</f>
        <v>1</v>
      </c>
      <c r="Y133" s="23" t="str">
        <f>COUNTIF(F133:J133, "W")&amp;COUNTIF(F133:J133, "d")&amp;COUNTIF(F133:J133, "l")</f>
        <v>203</v>
      </c>
      <c r="Z133" s="13" t="str">
        <f>COUNTIF(K133:O133, "W")&amp;COUNTIF(K133:O133, "d")&amp;COUNTIF(K133:O133, "l")</f>
        <v>203</v>
      </c>
      <c r="AA133" s="23" t="str">
        <f>_xlfn.CONCAT(Y133,"-",Z133)</f>
        <v>203-203</v>
      </c>
      <c r="AB133" s="15" t="str">
        <f>_xlfn.CONCAT(AA133,"…",TEXT(U133,"+00;-00;+00;"))</f>
        <v>203-203…+00</v>
      </c>
      <c r="AC133" s="23" t="str">
        <f>_xlfn.CONCAT(TEXT(P133,"+00;-00;+00;"),"…",TEXT(Q133,"+00;-00;+00;"))</f>
        <v>-03…-03</v>
      </c>
      <c r="AD133" s="14" t="str">
        <f>IF(X133="","?","")</f>
        <v/>
      </c>
      <c r="AE133" s="15" t="str">
        <f>_xlfn.CONCAT(AA133,"…",TEXT(P133,"+00;-00;+00;"),"...",TEXT(Q133,"+00;-00;+00;"))</f>
        <v>203-203…-03...-03</v>
      </c>
      <c r="AF133" s="13" t="str">
        <f>_xlfn.CONCAT(R133,"…",TEXT(P133,"+00;-00;+00;"),"...",TEXT(Q133,"+00;-00;+00;"))</f>
        <v>LWLLW…-03...-03</v>
      </c>
    </row>
    <row r="134" spans="1:32" x14ac:dyDescent="0.25">
      <c r="A134" s="12" t="s">
        <v>4</v>
      </c>
      <c r="B134" s="13" t="s">
        <v>167</v>
      </c>
      <c r="C134" s="14">
        <v>1</v>
      </c>
      <c r="D134" s="13" t="s">
        <v>179</v>
      </c>
      <c r="E134" s="13" t="s">
        <v>180</v>
      </c>
      <c r="F134" s="15" t="s">
        <v>29</v>
      </c>
      <c r="G134" s="15" t="s">
        <v>31</v>
      </c>
      <c r="H134" s="15" t="s">
        <v>30</v>
      </c>
      <c r="I134" s="15" t="s">
        <v>31</v>
      </c>
      <c r="J134" s="15" t="s">
        <v>30</v>
      </c>
      <c r="K134" s="15" t="s">
        <v>31</v>
      </c>
      <c r="L134" s="15" t="s">
        <v>31</v>
      </c>
      <c r="M134" s="15" t="s">
        <v>31</v>
      </c>
      <c r="N134" s="15" t="s">
        <v>29</v>
      </c>
      <c r="O134" s="15" t="s">
        <v>29</v>
      </c>
      <c r="P134" s="16">
        <v>1</v>
      </c>
      <c r="Q134" s="16">
        <v>-2</v>
      </c>
      <c r="R134" s="13" t="str">
        <f>_xlfn.CONCAT(F134,G134,H134,I134,J134)</f>
        <v>DLWLW</v>
      </c>
      <c r="S134" s="13" t="str">
        <f>_xlfn.CONCAT(K134,L134,M134,N134,O134)</f>
        <v>LLLDD</v>
      </c>
      <c r="T134" s="13" t="str">
        <f>_xlfn.CONCAT(R134,"***",S134)</f>
        <v>DLWLW***LLLDD</v>
      </c>
      <c r="U134" s="19">
        <f>(P134-Q134)</f>
        <v>3</v>
      </c>
      <c r="V134" s="14">
        <v>1</v>
      </c>
      <c r="W134" s="14">
        <v>3</v>
      </c>
      <c r="X134" s="20" t="str">
        <f>IF(ISBLANK(V134),"",IF(V134&gt;W134,"1",IF(V134&lt;W134,"2",IF(V134=W134,"X"))))</f>
        <v>2</v>
      </c>
      <c r="Y134" s="23" t="str">
        <f>COUNTIF(F134:J134, "W")&amp;COUNTIF(F134:J134, "d")&amp;COUNTIF(F134:J134, "l")</f>
        <v>212</v>
      </c>
      <c r="Z134" s="13" t="str">
        <f>COUNTIF(K134:O134, "W")&amp;COUNTIF(K134:O134, "d")&amp;COUNTIF(K134:O134, "l")</f>
        <v>023</v>
      </c>
      <c r="AA134" s="23" t="str">
        <f>_xlfn.CONCAT(Y134,"-",Z134)</f>
        <v>212-023</v>
      </c>
      <c r="AB134" s="15" t="str">
        <f>_xlfn.CONCAT(AA134,"…",TEXT(U134,"+00;-00;+00;"))</f>
        <v>212-023…+03</v>
      </c>
      <c r="AC134" s="23" t="str">
        <f>_xlfn.CONCAT(TEXT(P134,"+00;-00;+00;"),"…",TEXT(Q134,"+00;-00;+00;"))</f>
        <v>+01…-02</v>
      </c>
      <c r="AD134" s="14" t="str">
        <f>IF(X134="","?","")</f>
        <v/>
      </c>
      <c r="AE134" s="15" t="str">
        <f>_xlfn.CONCAT(AA134,"…",TEXT(P134,"+00;-00;+00;"),"...",TEXT(Q134,"+00;-00;+00;"))</f>
        <v>212-023…+01...-02</v>
      </c>
      <c r="AF134" s="13" t="str">
        <f>_xlfn.CONCAT(R134,"…",TEXT(P134,"+00;-00;+00;"),"...",TEXT(Q134,"+00;-00;+00;"))</f>
        <v>DLWLW…+01...-02</v>
      </c>
    </row>
    <row r="135" spans="1:32" x14ac:dyDescent="0.25">
      <c r="A135" s="12" t="s">
        <v>4</v>
      </c>
      <c r="B135" s="13" t="s">
        <v>117</v>
      </c>
      <c r="C135" s="14" t="s">
        <v>0</v>
      </c>
      <c r="D135" s="13" t="s">
        <v>134</v>
      </c>
      <c r="E135" s="13" t="s">
        <v>135</v>
      </c>
      <c r="F135" s="15" t="s">
        <v>30</v>
      </c>
      <c r="G135" s="15" t="s">
        <v>31</v>
      </c>
      <c r="H135" s="15" t="s">
        <v>31</v>
      </c>
      <c r="I135" s="15" t="s">
        <v>30</v>
      </c>
      <c r="J135" s="15" t="s">
        <v>29</v>
      </c>
      <c r="K135" s="15" t="s">
        <v>29</v>
      </c>
      <c r="L135" s="15" t="s">
        <v>31</v>
      </c>
      <c r="M135" s="15" t="s">
        <v>29</v>
      </c>
      <c r="N135" s="15" t="s">
        <v>31</v>
      </c>
      <c r="O135" s="15" t="s">
        <v>29</v>
      </c>
      <c r="P135" s="16">
        <v>-16</v>
      </c>
      <c r="Q135" s="16">
        <v>-5</v>
      </c>
      <c r="R135" s="13" t="str">
        <f>_xlfn.CONCAT(F135,G135,H135,I135,J135)</f>
        <v>WLLWD</v>
      </c>
      <c r="S135" s="13" t="str">
        <f>_xlfn.CONCAT(K135,L135,M135,N135,O135)</f>
        <v>DLDLD</v>
      </c>
      <c r="T135" s="13" t="str">
        <f>_xlfn.CONCAT(R135,"***",S135)</f>
        <v>WLLWD***DLDLD</v>
      </c>
      <c r="U135" s="19">
        <f>(P135-Q135)</f>
        <v>-11</v>
      </c>
      <c r="V135" s="14">
        <v>3</v>
      </c>
      <c r="W135" s="14">
        <v>4</v>
      </c>
      <c r="X135" s="20" t="str">
        <f>IF(ISBLANK(V135),"",IF(V135&gt;W135,"1",IF(V135&lt;W135,"2",IF(V135=W135,"X"))))</f>
        <v>2</v>
      </c>
      <c r="Y135" s="23" t="str">
        <f>COUNTIF(F135:J135, "W")&amp;COUNTIF(F135:J135, "d")&amp;COUNTIF(F135:J135, "l")</f>
        <v>212</v>
      </c>
      <c r="Z135" s="13" t="str">
        <f>COUNTIF(K135:O135, "W")&amp;COUNTIF(K135:O135, "d")&amp;COUNTIF(K135:O135, "l")</f>
        <v>032</v>
      </c>
      <c r="AA135" s="23" t="str">
        <f>_xlfn.CONCAT(Y135,"-",Z135)</f>
        <v>212-032</v>
      </c>
      <c r="AB135" s="15" t="str">
        <f>_xlfn.CONCAT(AA135,"…",TEXT(U135,"+00;-00;+00;"))</f>
        <v>212-032…-11</v>
      </c>
      <c r="AC135" s="23" t="str">
        <f>_xlfn.CONCAT(TEXT(P135,"+00;-00;+00;"),"…",TEXT(Q135,"+00;-00;+00;"))</f>
        <v>-16…-05</v>
      </c>
      <c r="AD135" s="14" t="str">
        <f>IF(X135="","?","")</f>
        <v/>
      </c>
      <c r="AE135" s="15" t="str">
        <f>_xlfn.CONCAT(AA135,"…",TEXT(P135,"+00;-00;+00;"),"...",TEXT(Q135,"+00;-00;+00;"))</f>
        <v>212-032…-16...-05</v>
      </c>
      <c r="AF135" s="13" t="str">
        <f>_xlfn.CONCAT(R135,"…",TEXT(P135,"+00;-00;+00;"),"...",TEXT(Q135,"+00;-00;+00;"))</f>
        <v>WLLWD…-16...-05</v>
      </c>
    </row>
    <row r="136" spans="1:32" x14ac:dyDescent="0.25">
      <c r="A136" s="12" t="s">
        <v>4</v>
      </c>
      <c r="B136" s="13" t="s">
        <v>7</v>
      </c>
      <c r="C136" s="14" t="s">
        <v>8</v>
      </c>
      <c r="D136" s="13" t="s">
        <v>16</v>
      </c>
      <c r="E136" s="13" t="s">
        <v>26</v>
      </c>
      <c r="F136" s="15" t="s">
        <v>31</v>
      </c>
      <c r="G136" s="15" t="s">
        <v>31</v>
      </c>
      <c r="H136" s="15" t="s">
        <v>30</v>
      </c>
      <c r="I136" s="15" t="s">
        <v>30</v>
      </c>
      <c r="J136" s="15" t="s">
        <v>30</v>
      </c>
      <c r="K136" s="15" t="s">
        <v>30</v>
      </c>
      <c r="L136" s="15" t="s">
        <v>31</v>
      </c>
      <c r="M136" s="15" t="s">
        <v>30</v>
      </c>
      <c r="N136" s="15" t="s">
        <v>30</v>
      </c>
      <c r="O136" s="15" t="s">
        <v>29</v>
      </c>
      <c r="P136" s="16">
        <v>9</v>
      </c>
      <c r="Q136" s="16">
        <v>12</v>
      </c>
      <c r="R136" s="13" t="str">
        <f>_xlfn.CONCAT(F136,G136,H136,I136,J136)</f>
        <v>LLWWW</v>
      </c>
      <c r="S136" s="13" t="str">
        <f>_xlfn.CONCAT(K136,L136,M136,N136,O136)</f>
        <v>WLWWD</v>
      </c>
      <c r="T136" s="13" t="str">
        <f>_xlfn.CONCAT(R136,"***",S136)</f>
        <v>LLWWW***WLWWD</v>
      </c>
      <c r="U136" s="19">
        <f>(P136-Q136)</f>
        <v>-3</v>
      </c>
      <c r="V136" s="14">
        <v>1</v>
      </c>
      <c r="W136" s="14">
        <v>2</v>
      </c>
      <c r="X136" s="20" t="str">
        <f>IF(ISBLANK(V136),"",IF(V136&gt;W136,"1",IF(V136&lt;W136,"2",IF(V136=W136,"X"))))</f>
        <v>2</v>
      </c>
      <c r="Y136" s="23" t="str">
        <f>COUNTIF(F136:J136, "W")&amp;COUNTIF(F136:J136, "d")&amp;COUNTIF(F136:J136, "l")</f>
        <v>302</v>
      </c>
      <c r="Z136" s="13" t="str">
        <f>COUNTIF(K136:O136, "W")&amp;COUNTIF(K136:O136, "d")&amp;COUNTIF(K136:O136, "l")</f>
        <v>311</v>
      </c>
      <c r="AA136" s="23" t="str">
        <f>_xlfn.CONCAT(Y136,"-",Z136)</f>
        <v>302-311</v>
      </c>
      <c r="AB136" s="15" t="str">
        <f>_xlfn.CONCAT(AA136,"…",TEXT(U136,"+00;-00;+00;"))</f>
        <v>302-311…-03</v>
      </c>
      <c r="AC136" s="23" t="str">
        <f>_xlfn.CONCAT(TEXT(P136,"+00;-00;+00;"),"…",TEXT(Q136,"+00;-00;+00;"))</f>
        <v>+09…+12</v>
      </c>
      <c r="AD136" s="14" t="str">
        <f>IF(X136="","?","")</f>
        <v/>
      </c>
      <c r="AE136" s="15" t="str">
        <f>_xlfn.CONCAT(AA136,"…",TEXT(P136,"+00;-00;+00;"),"...",TEXT(Q136,"+00;-00;+00;"))</f>
        <v>302-311…+09...+12</v>
      </c>
      <c r="AF136" s="13" t="str">
        <f>_xlfn.CONCAT(R136,"…",TEXT(P136,"+00;-00;+00;"),"...",TEXT(Q136,"+00;-00;+00;"))</f>
        <v>LLWWW…+09...+12</v>
      </c>
    </row>
    <row r="137" spans="1:32" x14ac:dyDescent="0.25">
      <c r="A137" s="12" t="s">
        <v>210</v>
      </c>
      <c r="B137" s="13" t="s">
        <v>208</v>
      </c>
      <c r="C137" s="14">
        <v>1</v>
      </c>
      <c r="D137" s="13" t="s">
        <v>223</v>
      </c>
      <c r="E137" s="13" t="s">
        <v>227</v>
      </c>
      <c r="F137" s="15" t="s">
        <v>31</v>
      </c>
      <c r="G137" s="15" t="s">
        <v>30</v>
      </c>
      <c r="H137" s="15" t="s">
        <v>31</v>
      </c>
      <c r="I137" s="15" t="s">
        <v>31</v>
      </c>
      <c r="J137" s="15" t="s">
        <v>31</v>
      </c>
      <c r="K137" s="15" t="s">
        <v>29</v>
      </c>
      <c r="L137" s="15" t="s">
        <v>30</v>
      </c>
      <c r="M137" s="15" t="s">
        <v>29</v>
      </c>
      <c r="N137" s="15" t="s">
        <v>31</v>
      </c>
      <c r="O137" s="15" t="s">
        <v>29</v>
      </c>
      <c r="P137" s="16">
        <v>-9</v>
      </c>
      <c r="Q137" s="16">
        <v>-14</v>
      </c>
      <c r="R137" s="13" t="str">
        <f>_xlfn.CONCAT(F137,G137,H137,I137,J137)</f>
        <v>LWLLL</v>
      </c>
      <c r="S137" s="13" t="str">
        <f>_xlfn.CONCAT(K137,L137,M137,N137,O137)</f>
        <v>DWDLD</v>
      </c>
      <c r="T137" s="13" t="str">
        <f>_xlfn.CONCAT(R137,"***",S137)</f>
        <v>LWLLL***DWDLD</v>
      </c>
      <c r="U137" s="19">
        <f>(P137-Q137)</f>
        <v>5</v>
      </c>
      <c r="V137" s="14">
        <v>0</v>
      </c>
      <c r="W137" s="14">
        <v>0</v>
      </c>
      <c r="X137" s="20" t="str">
        <f>IF(ISBLANK(V137),"",IF(V137&gt;W137,"1",IF(V137&lt;W137,"2",IF(V137=W137,"X"))))</f>
        <v>X</v>
      </c>
      <c r="Y137" s="23" t="str">
        <f>COUNTIF(F137:J137, "W")&amp;COUNTIF(F137:J137, "d")&amp;COUNTIF(F137:J137, "l")</f>
        <v>104</v>
      </c>
      <c r="Z137" s="13" t="str">
        <f>COUNTIF(K137:O137, "W")&amp;COUNTIF(K137:O137, "d")&amp;COUNTIF(K137:O137, "l")</f>
        <v>131</v>
      </c>
      <c r="AA137" s="23" t="str">
        <f>_xlfn.CONCAT(Y137,"-",Z137)</f>
        <v>104-131</v>
      </c>
      <c r="AB137" s="15" t="str">
        <f>_xlfn.CONCAT(AA137,"…",TEXT(U137,"+00;-00;+00;"))</f>
        <v>104-131…+05</v>
      </c>
      <c r="AC137" s="23" t="str">
        <f>_xlfn.CONCAT(TEXT(P137,"+00;-00;+00;"),"…",TEXT(Q137,"+00;-00;+00;"))</f>
        <v>-09…-14</v>
      </c>
      <c r="AD137" s="14" t="str">
        <f>IF(X137="","?","")</f>
        <v/>
      </c>
      <c r="AE137" s="15" t="str">
        <f>_xlfn.CONCAT(AA137,"…",TEXT(P137,"+00;-00;+00;"),"...",TEXT(Q137,"+00;-00;+00;"))</f>
        <v>104-131…-09...-14</v>
      </c>
      <c r="AF137" s="13" t="str">
        <f>_xlfn.CONCAT(R137,"…",TEXT(P137,"+00;-00;+00;"),"...",TEXT(Q137,"+00;-00;+00;"))</f>
        <v>LWLLL…-09...-14</v>
      </c>
    </row>
    <row r="138" spans="1:32" x14ac:dyDescent="0.25">
      <c r="A138" s="12" t="s">
        <v>321</v>
      </c>
      <c r="B138" s="13" t="s">
        <v>401</v>
      </c>
      <c r="C138" s="14">
        <v>1</v>
      </c>
      <c r="D138" s="13" t="s">
        <v>409</v>
      </c>
      <c r="E138" s="13" t="s">
        <v>410</v>
      </c>
      <c r="F138" s="15" t="s">
        <v>29</v>
      </c>
      <c r="G138" s="15" t="s">
        <v>29</v>
      </c>
      <c r="H138" s="15" t="s">
        <v>31</v>
      </c>
      <c r="I138" s="15" t="s">
        <v>31</v>
      </c>
      <c r="J138" s="15" t="s">
        <v>31</v>
      </c>
      <c r="K138" s="15" t="s">
        <v>30</v>
      </c>
      <c r="L138" s="15" t="s">
        <v>29</v>
      </c>
      <c r="M138" s="15" t="s">
        <v>30</v>
      </c>
      <c r="N138" s="15" t="s">
        <v>30</v>
      </c>
      <c r="O138" s="15" t="s">
        <v>30</v>
      </c>
      <c r="P138" s="16">
        <v>-7</v>
      </c>
      <c r="Q138" s="16">
        <v>12</v>
      </c>
      <c r="R138" s="13" t="str">
        <f>_xlfn.CONCAT(F138,G138,H138,I138,J138)</f>
        <v>DDLLL</v>
      </c>
      <c r="S138" s="13" t="str">
        <f>_xlfn.CONCAT(K138,L138,M138,N138,O138)</f>
        <v>WDWWW</v>
      </c>
      <c r="T138" s="13" t="str">
        <f>_xlfn.CONCAT(R138,"***",S138)</f>
        <v>DDLLL***WDWWW</v>
      </c>
      <c r="U138" s="19">
        <f>(P138-Q138)</f>
        <v>-19</v>
      </c>
      <c r="V138" s="14">
        <v>0</v>
      </c>
      <c r="W138" s="14">
        <v>1</v>
      </c>
      <c r="X138" s="20" t="str">
        <f>IF(ISBLANK(V138),"",IF(V138&gt;W138,"1",IF(V138&lt;W138,"2",IF(V138=W138,"X"))))</f>
        <v>2</v>
      </c>
      <c r="Y138" s="23" t="str">
        <f>COUNTIF(F138:J138, "W")&amp;COUNTIF(F138:J138, "d")&amp;COUNTIF(F138:J138, "l")</f>
        <v>023</v>
      </c>
      <c r="Z138" s="13" t="str">
        <f>COUNTIF(K138:O138, "W")&amp;COUNTIF(K138:O138, "d")&amp;COUNTIF(K138:O138, "l")</f>
        <v>410</v>
      </c>
      <c r="AA138" s="23" t="str">
        <f>_xlfn.CONCAT(Y138,"-",Z138)</f>
        <v>023-410</v>
      </c>
      <c r="AB138" s="15" t="str">
        <f>_xlfn.CONCAT(AA138,"…",TEXT(U138,"+00;-00;+00;"))</f>
        <v>023-410…-19</v>
      </c>
      <c r="AC138" s="23" t="str">
        <f>_xlfn.CONCAT(TEXT(P138,"+00;-00;+00;"),"…",TEXT(Q138,"+00;-00;+00;"))</f>
        <v>-07…+12</v>
      </c>
      <c r="AD138" s="14" t="str">
        <f>IF(X138="","?","")</f>
        <v/>
      </c>
      <c r="AE138" s="15" t="str">
        <f>_xlfn.CONCAT(AA138,"…",TEXT(P138,"+00;-00;+00;"),"...",TEXT(Q138,"+00;-00;+00;"))</f>
        <v>023-410…-07...+12</v>
      </c>
      <c r="AF138" s="13" t="str">
        <f>_xlfn.CONCAT(R138,"…",TEXT(P138,"+00;-00;+00;"),"...",TEXT(Q138,"+00;-00;+00;"))</f>
        <v>DDLLL…-07...+12</v>
      </c>
    </row>
    <row r="139" spans="1:32" x14ac:dyDescent="0.25">
      <c r="A139" s="12" t="s">
        <v>321</v>
      </c>
      <c r="B139" s="13" t="s">
        <v>364</v>
      </c>
      <c r="C139" s="14">
        <v>1</v>
      </c>
      <c r="D139" s="13" t="s">
        <v>373</v>
      </c>
      <c r="E139" s="13" t="s">
        <v>374</v>
      </c>
      <c r="F139" s="15" t="s">
        <v>29</v>
      </c>
      <c r="G139" s="15" t="s">
        <v>31</v>
      </c>
      <c r="H139" s="15" t="s">
        <v>31</v>
      </c>
      <c r="I139" s="15" t="s">
        <v>29</v>
      </c>
      <c r="J139" s="15" t="s">
        <v>29</v>
      </c>
      <c r="K139" s="15" t="s">
        <v>31</v>
      </c>
      <c r="L139" s="15" t="s">
        <v>29</v>
      </c>
      <c r="M139" s="15" t="s">
        <v>29</v>
      </c>
      <c r="N139" s="15" t="s">
        <v>31</v>
      </c>
      <c r="O139" s="15" t="s">
        <v>30</v>
      </c>
      <c r="P139" s="16">
        <v>-12</v>
      </c>
      <c r="Q139" s="16">
        <v>-5</v>
      </c>
      <c r="R139" s="13" t="str">
        <f>_xlfn.CONCAT(F139,G139,H139,I139,J139)</f>
        <v>DLLDD</v>
      </c>
      <c r="S139" s="13" t="str">
        <f>_xlfn.CONCAT(K139,L139,M139,N139,O139)</f>
        <v>LDDLW</v>
      </c>
      <c r="T139" s="13" t="str">
        <f>_xlfn.CONCAT(R139,"***",S139)</f>
        <v>DLLDD***LDDLW</v>
      </c>
      <c r="U139" s="19">
        <f>(P139-Q139)</f>
        <v>-7</v>
      </c>
      <c r="V139" s="14">
        <v>0</v>
      </c>
      <c r="W139" s="14">
        <v>1</v>
      </c>
      <c r="X139" s="20" t="str">
        <f>IF(ISBLANK(V139),"",IF(V139&gt;W139,"1",IF(V139&lt;W139,"2",IF(V139=W139,"X"))))</f>
        <v>2</v>
      </c>
      <c r="Y139" s="23" t="str">
        <f>COUNTIF(F139:J139, "W")&amp;COUNTIF(F139:J139, "d")&amp;COUNTIF(F139:J139, "l")</f>
        <v>032</v>
      </c>
      <c r="Z139" s="13" t="str">
        <f>COUNTIF(K139:O139, "W")&amp;COUNTIF(K139:O139, "d")&amp;COUNTIF(K139:O139, "l")</f>
        <v>122</v>
      </c>
      <c r="AA139" s="23" t="str">
        <f>_xlfn.CONCAT(Y139,"-",Z139)</f>
        <v>032-122</v>
      </c>
      <c r="AB139" s="15" t="str">
        <f>_xlfn.CONCAT(AA139,"…",TEXT(U139,"+00;-00;+00;"))</f>
        <v>032-122…-07</v>
      </c>
      <c r="AC139" s="23" t="str">
        <f>_xlfn.CONCAT(TEXT(P139,"+00;-00;+00;"),"…",TEXT(Q139,"+00;-00;+00;"))</f>
        <v>-12…-05</v>
      </c>
      <c r="AD139" s="14" t="str">
        <f>IF(X139="","?","")</f>
        <v/>
      </c>
      <c r="AE139" s="15" t="str">
        <f>_xlfn.CONCAT(AA139,"…",TEXT(P139,"+00;-00;+00;"),"...",TEXT(Q139,"+00;-00;+00;"))</f>
        <v>032-122…-12...-05</v>
      </c>
      <c r="AF139" s="13" t="str">
        <f>_xlfn.CONCAT(R139,"…",TEXT(P139,"+00;-00;+00;"),"...",TEXT(Q139,"+00;-00;+00;"))</f>
        <v>DLLDD…-12...-05</v>
      </c>
    </row>
    <row r="140" spans="1:32" x14ac:dyDescent="0.25">
      <c r="A140" s="12" t="s">
        <v>321</v>
      </c>
      <c r="B140" s="13" t="s">
        <v>318</v>
      </c>
      <c r="C140" s="14">
        <v>1</v>
      </c>
      <c r="D140" s="13" t="s">
        <v>332</v>
      </c>
      <c r="E140" s="13" t="s">
        <v>333</v>
      </c>
      <c r="F140" s="15" t="s">
        <v>31</v>
      </c>
      <c r="G140" s="15" t="s">
        <v>31</v>
      </c>
      <c r="H140" s="15" t="s">
        <v>31</v>
      </c>
      <c r="I140" s="15" t="s">
        <v>30</v>
      </c>
      <c r="J140" s="15" t="s">
        <v>31</v>
      </c>
      <c r="K140" s="15" t="s">
        <v>29</v>
      </c>
      <c r="L140" s="15" t="s">
        <v>31</v>
      </c>
      <c r="M140" s="15" t="s">
        <v>30</v>
      </c>
      <c r="N140" s="15" t="s">
        <v>31</v>
      </c>
      <c r="O140" s="15" t="s">
        <v>31</v>
      </c>
      <c r="P140" s="16">
        <v>-9</v>
      </c>
      <c r="Q140" s="16">
        <v>11</v>
      </c>
      <c r="R140" s="13" t="str">
        <f>_xlfn.CONCAT(F140,G140,H140,I140,J140)</f>
        <v>LLLWL</v>
      </c>
      <c r="S140" s="13" t="str">
        <f>_xlfn.CONCAT(K140,L140,M140,N140,O140)</f>
        <v>DLWLL</v>
      </c>
      <c r="T140" s="13" t="str">
        <f>_xlfn.CONCAT(R140,"***",S140)</f>
        <v>LLLWL***DLWLL</v>
      </c>
      <c r="U140" s="19">
        <f>(P140-Q140)</f>
        <v>-20</v>
      </c>
      <c r="V140" s="14">
        <v>0</v>
      </c>
      <c r="W140" s="14">
        <v>1</v>
      </c>
      <c r="X140" s="20" t="str">
        <f>IF(ISBLANK(V140),"",IF(V140&gt;W140,"1",IF(V140&lt;W140,"2",IF(V140=W140,"X"))))</f>
        <v>2</v>
      </c>
      <c r="Y140" s="23" t="str">
        <f>COUNTIF(F140:J140, "W")&amp;COUNTIF(F140:J140, "d")&amp;COUNTIF(F140:J140, "l")</f>
        <v>104</v>
      </c>
      <c r="Z140" s="13" t="str">
        <f>COUNTIF(K140:O140, "W")&amp;COUNTIF(K140:O140, "d")&amp;COUNTIF(K140:O140, "l")</f>
        <v>113</v>
      </c>
      <c r="AA140" s="23" t="str">
        <f>_xlfn.CONCAT(Y140,"-",Z140)</f>
        <v>104-113</v>
      </c>
      <c r="AB140" s="15" t="str">
        <f>_xlfn.CONCAT(AA140,"…",TEXT(U140,"+00;-00;+00;"))</f>
        <v>104-113…-20</v>
      </c>
      <c r="AC140" s="23" t="str">
        <f>_xlfn.CONCAT(TEXT(P140,"+00;-00;+00;"),"…",TEXT(Q140,"+00;-00;+00;"))</f>
        <v>-09…+11</v>
      </c>
      <c r="AD140" s="14" t="str">
        <f>IF(X140="","?","")</f>
        <v/>
      </c>
      <c r="AE140" s="15" t="str">
        <f>_xlfn.CONCAT(AA140,"…",TEXT(P140,"+00;-00;+00;"),"...",TEXT(Q140,"+00;-00;+00;"))</f>
        <v>104-113…-09...+11</v>
      </c>
      <c r="AF140" s="13" t="str">
        <f>_xlfn.CONCAT(R140,"…",TEXT(P140,"+00;-00;+00;"),"...",TEXT(Q140,"+00;-00;+00;"))</f>
        <v>LLLWL…-09...+11</v>
      </c>
    </row>
    <row r="141" spans="1:32" x14ac:dyDescent="0.25">
      <c r="A141" s="12" t="s">
        <v>66</v>
      </c>
      <c r="B141" s="13" t="s">
        <v>117</v>
      </c>
      <c r="C141" s="14" t="s">
        <v>33</v>
      </c>
      <c r="D141" s="13" t="s">
        <v>165</v>
      </c>
      <c r="E141" s="13" t="s">
        <v>166</v>
      </c>
      <c r="F141" s="15" t="s">
        <v>29</v>
      </c>
      <c r="G141" s="15" t="s">
        <v>31</v>
      </c>
      <c r="H141" s="15" t="s">
        <v>31</v>
      </c>
      <c r="I141" s="15" t="s">
        <v>31</v>
      </c>
      <c r="J141" s="15" t="s">
        <v>29</v>
      </c>
      <c r="K141" s="15" t="s">
        <v>31</v>
      </c>
      <c r="L141" s="15" t="s">
        <v>30</v>
      </c>
      <c r="M141" s="15" t="s">
        <v>31</v>
      </c>
      <c r="N141" s="15" t="s">
        <v>31</v>
      </c>
      <c r="O141" s="15" t="s">
        <v>29</v>
      </c>
      <c r="P141" s="16">
        <v>-6</v>
      </c>
      <c r="Q141" s="16">
        <v>8</v>
      </c>
      <c r="R141" s="13" t="str">
        <f>_xlfn.CONCAT(F141,G141,H141,I141,J141)</f>
        <v>DLLLD</v>
      </c>
      <c r="S141" s="13" t="str">
        <f>_xlfn.CONCAT(K141,L141,M141,N141,O141)</f>
        <v>LWLLD</v>
      </c>
      <c r="T141" s="13" t="str">
        <f>_xlfn.CONCAT(R141,"***",S141)</f>
        <v>DLLLD***LWLLD</v>
      </c>
      <c r="U141" s="19">
        <f>(P141-Q141)</f>
        <v>-14</v>
      </c>
      <c r="V141" s="14">
        <v>1</v>
      </c>
      <c r="W141" s="14">
        <v>1</v>
      </c>
      <c r="X141" s="20" t="str">
        <f>IF(ISBLANK(V141),"",IF(V141&gt;W141,"1",IF(V141&lt;W141,"2",IF(V141=W141,"X"))))</f>
        <v>X</v>
      </c>
      <c r="Y141" s="23" t="str">
        <f>COUNTIF(F141:J141, "W")&amp;COUNTIF(F141:J141, "d")&amp;COUNTIF(F141:J141, "l")</f>
        <v>023</v>
      </c>
      <c r="Z141" s="13" t="str">
        <f>COUNTIF(K141:O141, "W")&amp;COUNTIF(K141:O141, "d")&amp;COUNTIF(K141:O141, "l")</f>
        <v>113</v>
      </c>
      <c r="AA141" s="23" t="str">
        <f>_xlfn.CONCAT(Y141,"-",Z141)</f>
        <v>023-113</v>
      </c>
      <c r="AB141" s="15" t="str">
        <f>_xlfn.CONCAT(AA141,"…",TEXT(U141,"+00;-00;+00;"))</f>
        <v>023-113…-14</v>
      </c>
      <c r="AC141" s="23" t="str">
        <f>_xlfn.CONCAT(TEXT(P141,"+00;-00;+00;"),"…",TEXT(Q141,"+00;-00;+00;"))</f>
        <v>-06…+08</v>
      </c>
      <c r="AD141" s="14" t="str">
        <f>IF(X141="","?","")</f>
        <v/>
      </c>
      <c r="AE141" s="15" t="str">
        <f>_xlfn.CONCAT(AA141,"…",TEXT(P141,"+00;-00;+00;"),"...",TEXT(Q141,"+00;-00;+00;"))</f>
        <v>023-113…-06...+08</v>
      </c>
      <c r="AF141" s="13" t="str">
        <f>_xlfn.CONCAT(R141,"…",TEXT(P141,"+00;-00;+00;"),"...",TEXT(Q141,"+00;-00;+00;"))</f>
        <v>DLLLD…-06...+08</v>
      </c>
    </row>
    <row r="142" spans="1:32" x14ac:dyDescent="0.25">
      <c r="A142" s="12" t="s">
        <v>66</v>
      </c>
      <c r="B142" s="13" t="s">
        <v>117</v>
      </c>
      <c r="C142" s="14" t="s">
        <v>33</v>
      </c>
      <c r="D142" s="13" t="s">
        <v>163</v>
      </c>
      <c r="E142" s="13" t="s">
        <v>164</v>
      </c>
      <c r="F142" s="15" t="s">
        <v>31</v>
      </c>
      <c r="G142" s="15" t="s">
        <v>31</v>
      </c>
      <c r="H142" s="15" t="s">
        <v>31</v>
      </c>
      <c r="I142" s="15" t="s">
        <v>30</v>
      </c>
      <c r="J142" s="15" t="s">
        <v>30</v>
      </c>
      <c r="K142" s="15" t="s">
        <v>30</v>
      </c>
      <c r="L142" s="15" t="s">
        <v>29</v>
      </c>
      <c r="M142" s="15" t="s">
        <v>29</v>
      </c>
      <c r="N142" s="15" t="s">
        <v>31</v>
      </c>
      <c r="O142" s="15" t="s">
        <v>30</v>
      </c>
      <c r="P142" s="16">
        <v>2</v>
      </c>
      <c r="Q142" s="16">
        <v>5</v>
      </c>
      <c r="R142" s="13" t="str">
        <f>_xlfn.CONCAT(F142,G142,H142,I142,J142)</f>
        <v>LLLWW</v>
      </c>
      <c r="S142" s="13" t="str">
        <f>_xlfn.CONCAT(K142,L142,M142,N142,O142)</f>
        <v>WDDLW</v>
      </c>
      <c r="T142" s="13" t="str">
        <f>_xlfn.CONCAT(R142,"***",S142)</f>
        <v>LLLWW***WDDLW</v>
      </c>
      <c r="U142" s="19">
        <f>(P142-Q142)</f>
        <v>-3</v>
      </c>
      <c r="V142" s="14">
        <v>2</v>
      </c>
      <c r="W142" s="14">
        <v>0</v>
      </c>
      <c r="X142" s="20" t="str">
        <f>IF(ISBLANK(V142),"",IF(V142&gt;W142,"1",IF(V142&lt;W142,"2",IF(V142=W142,"X"))))</f>
        <v>1</v>
      </c>
      <c r="Y142" s="23" t="str">
        <f>COUNTIF(F142:J142, "W")&amp;COUNTIF(F142:J142, "d")&amp;COUNTIF(F142:J142, "l")</f>
        <v>203</v>
      </c>
      <c r="Z142" s="13" t="str">
        <f>COUNTIF(K142:O142, "W")&amp;COUNTIF(K142:O142, "d")&amp;COUNTIF(K142:O142, "l")</f>
        <v>221</v>
      </c>
      <c r="AA142" s="23" t="str">
        <f>_xlfn.CONCAT(Y142,"-",Z142)</f>
        <v>203-221</v>
      </c>
      <c r="AB142" s="15" t="str">
        <f>_xlfn.CONCAT(AA142,"…",TEXT(U142,"+00;-00;+00;"))</f>
        <v>203-221…-03</v>
      </c>
      <c r="AC142" s="23" t="str">
        <f>_xlfn.CONCAT(TEXT(P142,"+00;-00;+00;"),"…",TEXT(Q142,"+00;-00;+00;"))</f>
        <v>+02…+05</v>
      </c>
      <c r="AD142" s="14" t="str">
        <f>IF(X142="","?","")</f>
        <v/>
      </c>
      <c r="AE142" s="15" t="str">
        <f>_xlfn.CONCAT(AA142,"…",TEXT(P142,"+00;-00;+00;"),"...",TEXT(Q142,"+00;-00;+00;"))</f>
        <v>203-221…+02...+05</v>
      </c>
      <c r="AF142" s="13" t="str">
        <f>_xlfn.CONCAT(R142,"…",TEXT(P142,"+00;-00;+00;"),"...",TEXT(Q142,"+00;-00;+00;"))</f>
        <v>LLLWW…+02...+05</v>
      </c>
    </row>
    <row r="143" spans="1:32" x14ac:dyDescent="0.25">
      <c r="A143" s="12" t="s">
        <v>66</v>
      </c>
      <c r="B143" s="13" t="s">
        <v>59</v>
      </c>
      <c r="C143" s="14" t="s">
        <v>31</v>
      </c>
      <c r="D143" s="13" t="s">
        <v>79</v>
      </c>
      <c r="E143" s="13" t="s">
        <v>80</v>
      </c>
      <c r="F143" s="15" t="s">
        <v>30</v>
      </c>
      <c r="G143" s="15" t="s">
        <v>31</v>
      </c>
      <c r="H143" s="15" t="s">
        <v>29</v>
      </c>
      <c r="I143" s="15" t="s">
        <v>30</v>
      </c>
      <c r="J143" s="15" t="s">
        <v>31</v>
      </c>
      <c r="K143" s="15" t="s">
        <v>29</v>
      </c>
      <c r="L143" s="15" t="s">
        <v>29</v>
      </c>
      <c r="M143" s="15" t="s">
        <v>29</v>
      </c>
      <c r="N143" s="15" t="s">
        <v>29</v>
      </c>
      <c r="O143" s="15" t="s">
        <v>29</v>
      </c>
      <c r="P143" s="16">
        <v>7</v>
      </c>
      <c r="Q143" s="16">
        <v>1</v>
      </c>
      <c r="R143" s="13" t="str">
        <f>_xlfn.CONCAT(F143,G143,H143,I143,J143)</f>
        <v>WLDWL</v>
      </c>
      <c r="S143" s="13" t="str">
        <f>_xlfn.CONCAT(K143,L143,M143,N143,O143)</f>
        <v>DDDDD</v>
      </c>
      <c r="T143" s="13" t="str">
        <f>_xlfn.CONCAT(R143,"***",S143)</f>
        <v>WLDWL***DDDDD</v>
      </c>
      <c r="U143" s="19">
        <f>(P143-Q143)</f>
        <v>6</v>
      </c>
      <c r="V143" s="14">
        <v>2</v>
      </c>
      <c r="W143" s="14">
        <v>1</v>
      </c>
      <c r="X143" s="20" t="str">
        <f>IF(ISBLANK(V143),"",IF(V143&gt;W143,"1",IF(V143&lt;W143,"2",IF(V143=W143,"X"))))</f>
        <v>1</v>
      </c>
      <c r="Y143" s="23" t="str">
        <f>COUNTIF(F143:J143, "W")&amp;COUNTIF(F143:J143, "d")&amp;COUNTIF(F143:J143, "l")</f>
        <v>212</v>
      </c>
      <c r="Z143" s="13" t="str">
        <f>COUNTIF(K143:O143, "W")&amp;COUNTIF(K143:O143, "d")&amp;COUNTIF(K143:O143, "l")</f>
        <v>050</v>
      </c>
      <c r="AA143" s="23" t="str">
        <f>_xlfn.CONCAT(Y143,"-",Z143)</f>
        <v>212-050</v>
      </c>
      <c r="AB143" s="15" t="str">
        <f>_xlfn.CONCAT(AA143,"…",TEXT(U143,"+00;-00;+00;"))</f>
        <v>212-050…+06</v>
      </c>
      <c r="AC143" s="23" t="str">
        <f>_xlfn.CONCAT(TEXT(P143,"+00;-00;+00;"),"…",TEXT(Q143,"+00;-00;+00;"))</f>
        <v>+07…+01</v>
      </c>
      <c r="AD143" s="14" t="str">
        <f>IF(X143="","?","")</f>
        <v/>
      </c>
      <c r="AE143" s="15" t="str">
        <f>_xlfn.CONCAT(AA143,"…",TEXT(P143,"+00;-00;+00;"),"...",TEXT(Q143,"+00;-00;+00;"))</f>
        <v>212-050…+07...+01</v>
      </c>
      <c r="AF143" s="13" t="str">
        <f>_xlfn.CONCAT(R143,"…",TEXT(P143,"+00;-00;+00;"),"...",TEXT(Q143,"+00;-00;+00;"))</f>
        <v>WLDWL…+07...+01</v>
      </c>
    </row>
    <row r="144" spans="1:32" x14ac:dyDescent="0.25">
      <c r="A144" s="12" t="s">
        <v>300</v>
      </c>
      <c r="B144" s="13" t="s">
        <v>295</v>
      </c>
      <c r="C144" s="14">
        <v>1</v>
      </c>
      <c r="D144" s="13" t="s">
        <v>316</v>
      </c>
      <c r="E144" s="13" t="s">
        <v>317</v>
      </c>
      <c r="F144" s="15" t="s">
        <v>30</v>
      </c>
      <c r="G144" s="15" t="s">
        <v>31</v>
      </c>
      <c r="H144" s="15" t="s">
        <v>30</v>
      </c>
      <c r="I144" s="15" t="s">
        <v>29</v>
      </c>
      <c r="J144" s="15" t="s">
        <v>31</v>
      </c>
      <c r="K144" s="15" t="s">
        <v>29</v>
      </c>
      <c r="L144" s="15" t="s">
        <v>29</v>
      </c>
      <c r="M144" s="15" t="s">
        <v>29</v>
      </c>
      <c r="N144" s="15" t="s">
        <v>30</v>
      </c>
      <c r="O144" s="15" t="s">
        <v>31</v>
      </c>
      <c r="P144" s="16">
        <v>1</v>
      </c>
      <c r="Q144" s="16">
        <v>-12</v>
      </c>
      <c r="R144" s="13" t="str">
        <f>_xlfn.CONCAT(F144,G144,H144,I144,J144)</f>
        <v>WLWDL</v>
      </c>
      <c r="S144" s="13" t="str">
        <f>_xlfn.CONCAT(K144,L144,M144,N144,O144)</f>
        <v>DDDWL</v>
      </c>
      <c r="T144" s="13" t="str">
        <f>_xlfn.CONCAT(R144,"***",S144)</f>
        <v>WLWDL***DDDWL</v>
      </c>
      <c r="U144" s="19">
        <f>(P144-Q144)</f>
        <v>13</v>
      </c>
      <c r="V144" s="14">
        <v>1</v>
      </c>
      <c r="W144" s="14">
        <v>2</v>
      </c>
      <c r="X144" s="20" t="str">
        <f>IF(ISBLANK(V144),"",IF(V144&gt;W144,"1",IF(V144&lt;W144,"2",IF(V144=W144,"X"))))</f>
        <v>2</v>
      </c>
      <c r="Y144" s="23" t="str">
        <f>COUNTIF(F144:J144, "W")&amp;COUNTIF(F144:J144, "d")&amp;COUNTIF(F144:J144, "l")</f>
        <v>212</v>
      </c>
      <c r="Z144" s="13" t="str">
        <f>COUNTIF(K144:O144, "W")&amp;COUNTIF(K144:O144, "d")&amp;COUNTIF(K144:O144, "l")</f>
        <v>131</v>
      </c>
      <c r="AA144" s="23" t="str">
        <f>_xlfn.CONCAT(Y144,"-",Z144)</f>
        <v>212-131</v>
      </c>
      <c r="AB144" s="15" t="str">
        <f>_xlfn.CONCAT(AA144,"…",TEXT(U144,"+00;-00;+00;"))</f>
        <v>212-131…+13</v>
      </c>
      <c r="AC144" s="23" t="str">
        <f>_xlfn.CONCAT(TEXT(P144,"+00;-00;+00;"),"…",TEXT(Q144,"+00;-00;+00;"))</f>
        <v>+01…-12</v>
      </c>
      <c r="AD144" s="14" t="str">
        <f>IF(X144="","?","")</f>
        <v/>
      </c>
      <c r="AE144" s="15" t="str">
        <f>_xlfn.CONCAT(AA144,"…",TEXT(P144,"+00;-00;+00;"),"...",TEXT(Q144,"+00;-00;+00;"))</f>
        <v>212-131…+01...-12</v>
      </c>
      <c r="AF144" s="13" t="str">
        <f>_xlfn.CONCAT(R144,"…",TEXT(P144,"+00;-00;+00;"),"...",TEXT(Q144,"+00;-00;+00;"))</f>
        <v>WLWDL…+01...-12</v>
      </c>
    </row>
    <row r="145" spans="1:32" s="8" customFormat="1" x14ac:dyDescent="0.25">
      <c r="A145" s="12" t="s">
        <v>342</v>
      </c>
      <c r="B145" s="13" t="s">
        <v>379</v>
      </c>
      <c r="C145" s="14">
        <v>1</v>
      </c>
      <c r="D145" s="13" t="s">
        <v>393</v>
      </c>
      <c r="E145" s="13" t="s">
        <v>394</v>
      </c>
      <c r="F145" s="15" t="s">
        <v>29</v>
      </c>
      <c r="G145" s="15" t="s">
        <v>31</v>
      </c>
      <c r="H145" s="15" t="s">
        <v>29</v>
      </c>
      <c r="I145" s="15" t="s">
        <v>29</v>
      </c>
      <c r="J145" s="15" t="s">
        <v>30</v>
      </c>
      <c r="K145" s="15" t="s">
        <v>30</v>
      </c>
      <c r="L145" s="15" t="s">
        <v>30</v>
      </c>
      <c r="M145" s="15" t="s">
        <v>29</v>
      </c>
      <c r="N145" s="15" t="s">
        <v>31</v>
      </c>
      <c r="O145" s="15" t="s">
        <v>31</v>
      </c>
      <c r="P145" s="16">
        <v>-16</v>
      </c>
      <c r="Q145" s="16">
        <v>-8</v>
      </c>
      <c r="R145" s="13" t="str">
        <f>_xlfn.CONCAT(F145,G145,H145,I145,J145)</f>
        <v>DLDDW</v>
      </c>
      <c r="S145" s="13" t="str">
        <f>_xlfn.CONCAT(K145,L145,M145,N145,O145)</f>
        <v>WWDLL</v>
      </c>
      <c r="T145" s="13" t="str">
        <f>_xlfn.CONCAT(R145,"***",S145)</f>
        <v>DLDDW***WWDLL</v>
      </c>
      <c r="U145" s="19">
        <f>(P145-Q145)</f>
        <v>-8</v>
      </c>
      <c r="V145" s="14">
        <v>2</v>
      </c>
      <c r="W145" s="14">
        <v>1</v>
      </c>
      <c r="X145" s="20" t="str">
        <f>IF(ISBLANK(V145),"",IF(V145&gt;W145,"1",IF(V145&lt;W145,"2",IF(V145=W145,"X"))))</f>
        <v>1</v>
      </c>
      <c r="Y145" s="23" t="str">
        <f>COUNTIF(F145:J145, "W")&amp;COUNTIF(F145:J145, "d")&amp;COUNTIF(F145:J145, "l")</f>
        <v>131</v>
      </c>
      <c r="Z145" s="13" t="str">
        <f>COUNTIF(K145:O145, "W")&amp;COUNTIF(K145:O145, "d")&amp;COUNTIF(K145:O145, "l")</f>
        <v>212</v>
      </c>
      <c r="AA145" s="23" t="str">
        <f>_xlfn.CONCAT(Y145,"-",Z145)</f>
        <v>131-212</v>
      </c>
      <c r="AB145" s="15" t="str">
        <f>_xlfn.CONCAT(AA145,"…",TEXT(U145,"+00;-00;+00;"))</f>
        <v>131-212…-08</v>
      </c>
      <c r="AC145" s="23" t="str">
        <f>_xlfn.CONCAT(TEXT(P145,"+00;-00;+00;"),"…",TEXT(Q145,"+00;-00;+00;"))</f>
        <v>-16…-08</v>
      </c>
      <c r="AD145" s="14" t="str">
        <f>IF(X145="","?","")</f>
        <v/>
      </c>
      <c r="AE145" s="15" t="str">
        <f>_xlfn.CONCAT(AA145,"…",TEXT(P145,"+00;-00;+00;"),"...",TEXT(Q145,"+00;-00;+00;"))</f>
        <v>131-212…-16...-08</v>
      </c>
      <c r="AF145" s="13" t="str">
        <f>_xlfn.CONCAT(R145,"…",TEXT(P145,"+00;-00;+00;"),"...",TEXT(Q145,"+00;-00;+00;"))</f>
        <v>DLDDW…-16...-08</v>
      </c>
    </row>
    <row r="146" spans="1:32" x14ac:dyDescent="0.25">
      <c r="A146" s="12" t="s">
        <v>342</v>
      </c>
      <c r="B146" s="13" t="s">
        <v>379</v>
      </c>
      <c r="C146" s="14">
        <v>1</v>
      </c>
      <c r="D146" s="13" t="s">
        <v>387</v>
      </c>
      <c r="E146" s="13" t="s">
        <v>388</v>
      </c>
      <c r="F146" s="15" t="s">
        <v>31</v>
      </c>
      <c r="G146" s="15" t="s">
        <v>30</v>
      </c>
      <c r="H146" s="15" t="s">
        <v>31</v>
      </c>
      <c r="I146" s="15" t="s">
        <v>30</v>
      </c>
      <c r="J146" s="15" t="s">
        <v>31</v>
      </c>
      <c r="K146" s="15" t="s">
        <v>31</v>
      </c>
      <c r="L146" s="15" t="s">
        <v>31</v>
      </c>
      <c r="M146" s="15" t="s">
        <v>30</v>
      </c>
      <c r="N146" s="15" t="s">
        <v>31</v>
      </c>
      <c r="O146" s="15" t="s">
        <v>29</v>
      </c>
      <c r="P146" s="16">
        <v>1</v>
      </c>
      <c r="Q146" s="16">
        <v>-5</v>
      </c>
      <c r="R146" s="13" t="str">
        <f>_xlfn.CONCAT(F146,G146,H146,I146,J146)</f>
        <v>LWLWL</v>
      </c>
      <c r="S146" s="13" t="str">
        <f>_xlfn.CONCAT(K146,L146,M146,N146,O146)</f>
        <v>LLWLD</v>
      </c>
      <c r="T146" s="13" t="str">
        <f>_xlfn.CONCAT(R146,"***",S146)</f>
        <v>LWLWL***LLWLD</v>
      </c>
      <c r="U146" s="19">
        <f>(P146-Q146)</f>
        <v>6</v>
      </c>
      <c r="V146" s="14">
        <v>4</v>
      </c>
      <c r="W146" s="14">
        <v>4</v>
      </c>
      <c r="X146" s="20" t="str">
        <f>IF(ISBLANK(V146),"",IF(V146&gt;W146,"1",IF(V146&lt;W146,"2",IF(V146=W146,"X"))))</f>
        <v>X</v>
      </c>
      <c r="Y146" s="23" t="str">
        <f>COUNTIF(F146:J146, "W")&amp;COUNTIF(F146:J146, "d")&amp;COUNTIF(F146:J146, "l")</f>
        <v>203</v>
      </c>
      <c r="Z146" s="13" t="str">
        <f>COUNTIF(K146:O146, "W")&amp;COUNTIF(K146:O146, "d")&amp;COUNTIF(K146:O146, "l")</f>
        <v>113</v>
      </c>
      <c r="AA146" s="23" t="str">
        <f>_xlfn.CONCAT(Y146,"-",Z146)</f>
        <v>203-113</v>
      </c>
      <c r="AB146" s="15" t="str">
        <f>_xlfn.CONCAT(AA146,"…",TEXT(U146,"+00;-00;+00;"))</f>
        <v>203-113…+06</v>
      </c>
      <c r="AC146" s="23" t="str">
        <f>_xlfn.CONCAT(TEXT(P146,"+00;-00;+00;"),"…",TEXT(Q146,"+00;-00;+00;"))</f>
        <v>+01…-05</v>
      </c>
      <c r="AD146" s="14" t="str">
        <f>IF(X146="","?","")</f>
        <v/>
      </c>
      <c r="AE146" s="15" t="str">
        <f>_xlfn.CONCAT(AA146,"…",TEXT(P146,"+00;-00;+00;"),"...",TEXT(Q146,"+00;-00;+00;"))</f>
        <v>203-113…+01...-05</v>
      </c>
      <c r="AF146" s="13" t="str">
        <f>_xlfn.CONCAT(R146,"…",TEXT(P146,"+00;-00;+00;"),"...",TEXT(Q146,"+00;-00;+00;"))</f>
        <v>LWLWL…+01...-05</v>
      </c>
    </row>
    <row r="147" spans="1:32" x14ac:dyDescent="0.25">
      <c r="A147" s="12" t="s">
        <v>342</v>
      </c>
      <c r="B147" s="13" t="s">
        <v>379</v>
      </c>
      <c r="C147" s="14">
        <v>1</v>
      </c>
      <c r="D147" s="13" t="s">
        <v>381</v>
      </c>
      <c r="E147" s="13" t="s">
        <v>382</v>
      </c>
      <c r="F147" s="15" t="s">
        <v>31</v>
      </c>
      <c r="G147" s="15" t="s">
        <v>31</v>
      </c>
      <c r="H147" s="15" t="s">
        <v>31</v>
      </c>
      <c r="I147" s="15" t="s">
        <v>30</v>
      </c>
      <c r="J147" s="15" t="s">
        <v>30</v>
      </c>
      <c r="K147" s="15" t="s">
        <v>30</v>
      </c>
      <c r="L147" s="15" t="s">
        <v>31</v>
      </c>
      <c r="M147" s="15" t="s">
        <v>31</v>
      </c>
      <c r="N147" s="15" t="s">
        <v>31</v>
      </c>
      <c r="O147" s="15" t="s">
        <v>29</v>
      </c>
      <c r="P147" s="16">
        <v>-43</v>
      </c>
      <c r="Q147" s="16">
        <v>13</v>
      </c>
      <c r="R147" s="13" t="str">
        <f>_xlfn.CONCAT(F147,G147,H147,I147,J147)</f>
        <v>LLLWW</v>
      </c>
      <c r="S147" s="13" t="str">
        <f>_xlfn.CONCAT(K147,L147,M147,N147,O147)</f>
        <v>WLLLD</v>
      </c>
      <c r="T147" s="13" t="str">
        <f>_xlfn.CONCAT(R147,"***",S147)</f>
        <v>LLLWW***WLLLD</v>
      </c>
      <c r="U147" s="19">
        <f>(P147-Q147)</f>
        <v>-56</v>
      </c>
      <c r="V147" s="14">
        <v>0</v>
      </c>
      <c r="W147" s="14">
        <v>4</v>
      </c>
      <c r="X147" s="20" t="str">
        <f>IF(ISBLANK(V147),"",IF(V147&gt;W147,"1",IF(V147&lt;W147,"2",IF(V147=W147,"X"))))</f>
        <v>2</v>
      </c>
      <c r="Y147" s="23" t="str">
        <f>COUNTIF(F147:J147, "W")&amp;COUNTIF(F147:J147, "d")&amp;COUNTIF(F147:J147, "l")</f>
        <v>203</v>
      </c>
      <c r="Z147" s="13" t="str">
        <f>COUNTIF(K147:O147, "W")&amp;COUNTIF(K147:O147, "d")&amp;COUNTIF(K147:O147, "l")</f>
        <v>113</v>
      </c>
      <c r="AA147" s="23" t="str">
        <f>_xlfn.CONCAT(Y147,"-",Z147)</f>
        <v>203-113</v>
      </c>
      <c r="AB147" s="15" t="str">
        <f>_xlfn.CONCAT(AA147,"…",TEXT(U147,"+00;-00;+00;"))</f>
        <v>203-113…-56</v>
      </c>
      <c r="AC147" s="23" t="str">
        <f>_xlfn.CONCAT(TEXT(P147,"+00;-00;+00;"),"…",TEXT(Q147,"+00;-00;+00;"))</f>
        <v>-43…+13</v>
      </c>
      <c r="AD147" s="14" t="str">
        <f>IF(X147="","?","")</f>
        <v/>
      </c>
      <c r="AE147" s="15" t="str">
        <f>_xlfn.CONCAT(AA147,"…",TEXT(P147,"+00;-00;+00;"),"...",TEXT(Q147,"+00;-00;+00;"))</f>
        <v>203-113…-43...+13</v>
      </c>
      <c r="AF147" s="13" t="str">
        <f>_xlfn.CONCAT(R147,"…",TEXT(P147,"+00;-00;+00;"),"...",TEXT(Q147,"+00;-00;+00;"))</f>
        <v>LLLWW…-43...+13</v>
      </c>
    </row>
    <row r="148" spans="1:32" x14ac:dyDescent="0.25">
      <c r="A148" s="12" t="s">
        <v>342</v>
      </c>
      <c r="B148" s="13" t="s">
        <v>379</v>
      </c>
      <c r="C148" s="14">
        <v>1</v>
      </c>
      <c r="D148" s="13" t="s">
        <v>391</v>
      </c>
      <c r="E148" s="13" t="s">
        <v>392</v>
      </c>
      <c r="F148" s="15" t="s">
        <v>31</v>
      </c>
      <c r="G148" s="15" t="s">
        <v>30</v>
      </c>
      <c r="H148" s="15" t="s">
        <v>29</v>
      </c>
      <c r="I148" s="15" t="s">
        <v>31</v>
      </c>
      <c r="J148" s="15" t="s">
        <v>30</v>
      </c>
      <c r="K148" s="15" t="s">
        <v>30</v>
      </c>
      <c r="L148" s="15" t="s">
        <v>31</v>
      </c>
      <c r="M148" s="15" t="s">
        <v>31</v>
      </c>
      <c r="N148" s="15" t="s">
        <v>31</v>
      </c>
      <c r="O148" s="15" t="s">
        <v>31</v>
      </c>
      <c r="P148" s="16">
        <v>7</v>
      </c>
      <c r="Q148" s="16">
        <v>24</v>
      </c>
      <c r="R148" s="13" t="str">
        <f>_xlfn.CONCAT(F148,G148,H148,I148,J148)</f>
        <v>LWDLW</v>
      </c>
      <c r="S148" s="13" t="str">
        <f>_xlfn.CONCAT(K148,L148,M148,N148,O148)</f>
        <v>WLLLL</v>
      </c>
      <c r="T148" s="13" t="str">
        <f>_xlfn.CONCAT(R148,"***",S148)</f>
        <v>LWDLW***WLLLL</v>
      </c>
      <c r="U148" s="19">
        <f>(P148-Q148)</f>
        <v>-17</v>
      </c>
      <c r="V148" s="14">
        <v>1</v>
      </c>
      <c r="W148" s="14">
        <v>3</v>
      </c>
      <c r="X148" s="20" t="str">
        <f>IF(ISBLANK(V148),"",IF(V148&gt;W148,"1",IF(V148&lt;W148,"2",IF(V148=W148,"X"))))</f>
        <v>2</v>
      </c>
      <c r="Y148" s="23" t="str">
        <f>COUNTIF(F148:J148, "W")&amp;COUNTIF(F148:J148, "d")&amp;COUNTIF(F148:J148, "l")</f>
        <v>212</v>
      </c>
      <c r="Z148" s="13" t="str">
        <f>COUNTIF(K148:O148, "W")&amp;COUNTIF(K148:O148, "d")&amp;COUNTIF(K148:O148, "l")</f>
        <v>104</v>
      </c>
      <c r="AA148" s="23" t="str">
        <f>_xlfn.CONCAT(Y148,"-",Z148)</f>
        <v>212-104</v>
      </c>
      <c r="AB148" s="15" t="str">
        <f>_xlfn.CONCAT(AA148,"…",TEXT(U148,"+00;-00;+00;"))</f>
        <v>212-104…-17</v>
      </c>
      <c r="AC148" s="23" t="str">
        <f>_xlfn.CONCAT(TEXT(P148,"+00;-00;+00;"),"…",TEXT(Q148,"+00;-00;+00;"))</f>
        <v>+07…+24</v>
      </c>
      <c r="AD148" s="14" t="str">
        <f>IF(X148="","?","")</f>
        <v/>
      </c>
      <c r="AE148" s="15" t="str">
        <f>_xlfn.CONCAT(AA148,"…",TEXT(P148,"+00;-00;+00;"),"...",TEXT(Q148,"+00;-00;+00;"))</f>
        <v>212-104…+07...+24</v>
      </c>
      <c r="AF148" s="13" t="str">
        <f>_xlfn.CONCAT(R148,"…",TEXT(P148,"+00;-00;+00;"),"...",TEXT(Q148,"+00;-00;+00;"))</f>
        <v>LWDLW…+07...+24</v>
      </c>
    </row>
    <row r="149" spans="1:32" x14ac:dyDescent="0.25">
      <c r="A149" s="12" t="s">
        <v>342</v>
      </c>
      <c r="B149" s="13" t="s">
        <v>379</v>
      </c>
      <c r="C149" s="14">
        <v>1</v>
      </c>
      <c r="D149" s="13" t="s">
        <v>389</v>
      </c>
      <c r="E149" s="13" t="s">
        <v>390</v>
      </c>
      <c r="F149" s="15" t="s">
        <v>31</v>
      </c>
      <c r="G149" s="15" t="s">
        <v>30</v>
      </c>
      <c r="H149" s="15" t="s">
        <v>30</v>
      </c>
      <c r="I149" s="15" t="s">
        <v>29</v>
      </c>
      <c r="J149" s="15" t="s">
        <v>31</v>
      </c>
      <c r="K149" s="15" t="s">
        <v>31</v>
      </c>
      <c r="L149" s="15" t="s">
        <v>30</v>
      </c>
      <c r="M149" s="15" t="s">
        <v>30</v>
      </c>
      <c r="N149" s="15" t="s">
        <v>30</v>
      </c>
      <c r="O149" s="15" t="s">
        <v>31</v>
      </c>
      <c r="P149" s="16">
        <v>-6</v>
      </c>
      <c r="Q149" s="16">
        <v>-3</v>
      </c>
      <c r="R149" s="13" t="str">
        <f>_xlfn.CONCAT(F149,G149,H149,I149,J149)</f>
        <v>LWWDL</v>
      </c>
      <c r="S149" s="13" t="str">
        <f>_xlfn.CONCAT(K149,L149,M149,N149,O149)</f>
        <v>LWWWL</v>
      </c>
      <c r="T149" s="13" t="str">
        <f>_xlfn.CONCAT(R149,"***",S149)</f>
        <v>LWWDL***LWWWL</v>
      </c>
      <c r="U149" s="19">
        <f>(P149-Q149)</f>
        <v>-3</v>
      </c>
      <c r="V149" s="14">
        <v>1</v>
      </c>
      <c r="W149" s="14">
        <v>3</v>
      </c>
      <c r="X149" s="20" t="str">
        <f>IF(ISBLANK(V149),"",IF(V149&gt;W149,"1",IF(V149&lt;W149,"2",IF(V149=W149,"X"))))</f>
        <v>2</v>
      </c>
      <c r="Y149" s="23" t="str">
        <f>COUNTIF(F149:J149, "W")&amp;COUNTIF(F149:J149, "d")&amp;COUNTIF(F149:J149, "l")</f>
        <v>212</v>
      </c>
      <c r="Z149" s="13" t="str">
        <f>COUNTIF(K149:O149, "W")&amp;COUNTIF(K149:O149, "d")&amp;COUNTIF(K149:O149, "l")</f>
        <v>302</v>
      </c>
      <c r="AA149" s="23" t="str">
        <f>_xlfn.CONCAT(Y149,"-",Z149)</f>
        <v>212-302</v>
      </c>
      <c r="AB149" s="15" t="str">
        <f>_xlfn.CONCAT(AA149,"…",TEXT(U149,"+00;-00;+00;"))</f>
        <v>212-302…-03</v>
      </c>
      <c r="AC149" s="23" t="str">
        <f>_xlfn.CONCAT(TEXT(P149,"+00;-00;+00;"),"…",TEXT(Q149,"+00;-00;+00;"))</f>
        <v>-06…-03</v>
      </c>
      <c r="AD149" s="14" t="str">
        <f>IF(X149="","?","")</f>
        <v/>
      </c>
      <c r="AE149" s="15" t="str">
        <f>_xlfn.CONCAT(AA149,"…",TEXT(P149,"+00;-00;+00;"),"...",TEXT(Q149,"+00;-00;+00;"))</f>
        <v>212-302…-06...-03</v>
      </c>
      <c r="AF149" s="13" t="str">
        <f>_xlfn.CONCAT(R149,"…",TEXT(P149,"+00;-00;+00;"),"...",TEXT(Q149,"+00;-00;+00;"))</f>
        <v>LWWDL…-06...-03</v>
      </c>
    </row>
    <row r="150" spans="1:32" x14ac:dyDescent="0.25">
      <c r="A150" s="12" t="s">
        <v>342</v>
      </c>
      <c r="B150" s="13" t="s">
        <v>379</v>
      </c>
      <c r="C150" s="14">
        <v>1</v>
      </c>
      <c r="D150" s="13" t="s">
        <v>385</v>
      </c>
      <c r="E150" s="13" t="s">
        <v>386</v>
      </c>
      <c r="F150" s="15" t="s">
        <v>30</v>
      </c>
      <c r="G150" s="15" t="s">
        <v>30</v>
      </c>
      <c r="H150" s="15" t="s">
        <v>31</v>
      </c>
      <c r="I150" s="15" t="s">
        <v>31</v>
      </c>
      <c r="J150" s="15" t="s">
        <v>30</v>
      </c>
      <c r="K150" s="15" t="s">
        <v>29</v>
      </c>
      <c r="L150" s="15" t="s">
        <v>31</v>
      </c>
      <c r="M150" s="15" t="s">
        <v>31</v>
      </c>
      <c r="N150" s="15" t="s">
        <v>31</v>
      </c>
      <c r="O150" s="15" t="s">
        <v>31</v>
      </c>
      <c r="P150" s="16">
        <v>-18</v>
      </c>
      <c r="Q150" s="16">
        <v>-13</v>
      </c>
      <c r="R150" s="13" t="str">
        <f>_xlfn.CONCAT(F150,G150,H150,I150,J150)</f>
        <v>WWLLW</v>
      </c>
      <c r="S150" s="13" t="str">
        <f>_xlfn.CONCAT(K150,L150,M150,N150,O150)</f>
        <v>DLLLL</v>
      </c>
      <c r="T150" s="13" t="str">
        <f>_xlfn.CONCAT(R150,"***",S150)</f>
        <v>WWLLW***DLLLL</v>
      </c>
      <c r="U150" s="19">
        <f>(P150-Q150)</f>
        <v>-5</v>
      </c>
      <c r="V150" s="14">
        <v>0</v>
      </c>
      <c r="W150" s="14">
        <v>2</v>
      </c>
      <c r="X150" s="20" t="str">
        <f>IF(ISBLANK(V150),"",IF(V150&gt;W150,"1",IF(V150&lt;W150,"2",IF(V150=W150,"X"))))</f>
        <v>2</v>
      </c>
      <c r="Y150" s="23" t="str">
        <f>COUNTIF(F150:J150, "W")&amp;COUNTIF(F150:J150, "d")&amp;COUNTIF(F150:J150, "l")</f>
        <v>302</v>
      </c>
      <c r="Z150" s="13" t="str">
        <f>COUNTIF(K150:O150, "W")&amp;COUNTIF(K150:O150, "d")&amp;COUNTIF(K150:O150, "l")</f>
        <v>014</v>
      </c>
      <c r="AA150" s="23" t="str">
        <f>_xlfn.CONCAT(Y150,"-",Z150)</f>
        <v>302-014</v>
      </c>
      <c r="AB150" s="15" t="str">
        <f>_xlfn.CONCAT(AA150,"…",TEXT(U150,"+00;-00;+00;"))</f>
        <v>302-014…-05</v>
      </c>
      <c r="AC150" s="23" t="str">
        <f>_xlfn.CONCAT(TEXT(P150,"+00;-00;+00;"),"…",TEXT(Q150,"+00;-00;+00;"))</f>
        <v>-18…-13</v>
      </c>
      <c r="AD150" s="14" t="str">
        <f>IF(X150="","?","")</f>
        <v/>
      </c>
      <c r="AE150" s="15" t="str">
        <f>_xlfn.CONCAT(AA150,"…",TEXT(P150,"+00;-00;+00;"),"...",TEXT(Q150,"+00;-00;+00;"))</f>
        <v>302-014…-18...-13</v>
      </c>
      <c r="AF150" s="13" t="str">
        <f>_xlfn.CONCAT(R150,"…",TEXT(P150,"+00;-00;+00;"),"...",TEXT(Q150,"+00;-00;+00;"))</f>
        <v>WWLLW…-18...-13</v>
      </c>
    </row>
    <row r="151" spans="1:32" s="8" customFormat="1" x14ac:dyDescent="0.25">
      <c r="A151" s="12" t="s">
        <v>342</v>
      </c>
      <c r="B151" s="13" t="s">
        <v>379</v>
      </c>
      <c r="C151" s="14">
        <v>1</v>
      </c>
      <c r="D151" s="13" t="s">
        <v>395</v>
      </c>
      <c r="E151" s="13" t="s">
        <v>396</v>
      </c>
      <c r="F151" s="15" t="s">
        <v>30</v>
      </c>
      <c r="G151" s="15" t="s">
        <v>31</v>
      </c>
      <c r="H151" s="15" t="s">
        <v>30</v>
      </c>
      <c r="I151" s="15" t="s">
        <v>30</v>
      </c>
      <c r="J151" s="15" t="s">
        <v>31</v>
      </c>
      <c r="K151" s="15" t="s">
        <v>31</v>
      </c>
      <c r="L151" s="15" t="s">
        <v>31</v>
      </c>
      <c r="M151" s="15" t="s">
        <v>30</v>
      </c>
      <c r="N151" s="15" t="s">
        <v>30</v>
      </c>
      <c r="O151" s="15" t="s">
        <v>30</v>
      </c>
      <c r="P151" s="16">
        <v>14</v>
      </c>
      <c r="Q151" s="16">
        <v>-8</v>
      </c>
      <c r="R151" s="13" t="str">
        <f>_xlfn.CONCAT(F151,G151,H151,I151,J151)</f>
        <v>WLWWL</v>
      </c>
      <c r="S151" s="13" t="str">
        <f>_xlfn.CONCAT(K151,L151,M151,N151,O151)</f>
        <v>LLWWW</v>
      </c>
      <c r="T151" s="13" t="str">
        <f>_xlfn.CONCAT(R151,"***",S151)</f>
        <v>WLWWL***LLWWW</v>
      </c>
      <c r="U151" s="19">
        <f>(P151-Q151)</f>
        <v>22</v>
      </c>
      <c r="V151" s="14">
        <v>2</v>
      </c>
      <c r="W151" s="14">
        <v>1</v>
      </c>
      <c r="X151" s="20" t="str">
        <f>IF(ISBLANK(V151),"",IF(V151&gt;W151,"1",IF(V151&lt;W151,"2",IF(V151=W151,"X"))))</f>
        <v>1</v>
      </c>
      <c r="Y151" s="23" t="str">
        <f>COUNTIF(F151:J151, "W")&amp;COUNTIF(F151:J151, "d")&amp;COUNTIF(F151:J151, "l")</f>
        <v>302</v>
      </c>
      <c r="Z151" s="13" t="str">
        <f>COUNTIF(K151:O151, "W")&amp;COUNTIF(K151:O151, "d")&amp;COUNTIF(K151:O151, "l")</f>
        <v>302</v>
      </c>
      <c r="AA151" s="23" t="str">
        <f>_xlfn.CONCAT(Y151,"-",Z151)</f>
        <v>302-302</v>
      </c>
      <c r="AB151" s="15" t="str">
        <f>_xlfn.CONCAT(AA151,"…",TEXT(U151,"+00;-00;+00;"))</f>
        <v>302-302…+22</v>
      </c>
      <c r="AC151" s="23" t="str">
        <f>_xlfn.CONCAT(TEXT(P151,"+00;-00;+00;"),"…",TEXT(Q151,"+00;-00;+00;"))</f>
        <v>+14…-08</v>
      </c>
      <c r="AD151" s="14" t="str">
        <f>IF(X151="","?","")</f>
        <v/>
      </c>
      <c r="AE151" s="15" t="str">
        <f>_xlfn.CONCAT(AA151,"…",TEXT(P151,"+00;-00;+00;"),"...",TEXT(Q151,"+00;-00;+00;"))</f>
        <v>302-302…+14...-08</v>
      </c>
      <c r="AF151" s="13" t="str">
        <f>_xlfn.CONCAT(R151,"…",TEXT(P151,"+00;-00;+00;"),"...",TEXT(Q151,"+00;-00;+00;"))</f>
        <v>WLWWL…+14...-08</v>
      </c>
    </row>
    <row r="152" spans="1:32" s="8" customFormat="1" x14ac:dyDescent="0.25">
      <c r="A152" s="12" t="s">
        <v>342</v>
      </c>
      <c r="B152" s="13" t="s">
        <v>339</v>
      </c>
      <c r="C152" s="14">
        <v>1</v>
      </c>
      <c r="D152" s="13" t="s">
        <v>358</v>
      </c>
      <c r="E152" s="13" t="s">
        <v>359</v>
      </c>
      <c r="F152" s="15" t="s">
        <v>29</v>
      </c>
      <c r="G152" s="15" t="s">
        <v>31</v>
      </c>
      <c r="H152" s="15" t="s">
        <v>30</v>
      </c>
      <c r="I152" s="15" t="s">
        <v>30</v>
      </c>
      <c r="J152" s="15" t="s">
        <v>30</v>
      </c>
      <c r="K152" s="15" t="s">
        <v>30</v>
      </c>
      <c r="L152" s="15" t="s">
        <v>29</v>
      </c>
      <c r="M152" s="15" t="s">
        <v>29</v>
      </c>
      <c r="N152" s="15" t="s">
        <v>30</v>
      </c>
      <c r="O152" s="15" t="s">
        <v>31</v>
      </c>
      <c r="P152" s="16">
        <v>23</v>
      </c>
      <c r="Q152" s="16">
        <v>3</v>
      </c>
      <c r="R152" s="13" t="str">
        <f>_xlfn.CONCAT(F152,G152,H152,I152,J152)</f>
        <v>DLWWW</v>
      </c>
      <c r="S152" s="13" t="str">
        <f>_xlfn.CONCAT(K152,L152,M152,N152,O152)</f>
        <v>WDDWL</v>
      </c>
      <c r="T152" s="13" t="str">
        <f>_xlfn.CONCAT(R152,"***",S152)</f>
        <v>DLWWW***WDDWL</v>
      </c>
      <c r="U152" s="19">
        <f>(P152-Q152)</f>
        <v>20</v>
      </c>
      <c r="V152" s="14">
        <v>2</v>
      </c>
      <c r="W152" s="14">
        <v>1</v>
      </c>
      <c r="X152" s="20" t="str">
        <f>IF(ISBLANK(V152),"",IF(V152&gt;W152,"1",IF(V152&lt;W152,"2",IF(V152=W152,"X"))))</f>
        <v>1</v>
      </c>
      <c r="Y152" s="23" t="str">
        <f>COUNTIF(F152:J152, "W")&amp;COUNTIF(F152:J152, "d")&amp;COUNTIF(F152:J152, "l")</f>
        <v>311</v>
      </c>
      <c r="Z152" s="13" t="str">
        <f>COUNTIF(K152:O152, "W")&amp;COUNTIF(K152:O152, "d")&amp;COUNTIF(K152:O152, "l")</f>
        <v>221</v>
      </c>
      <c r="AA152" s="23" t="str">
        <f>_xlfn.CONCAT(Y152,"-",Z152)</f>
        <v>311-221</v>
      </c>
      <c r="AB152" s="15" t="str">
        <f>_xlfn.CONCAT(AA152,"…",TEXT(U152,"+00;-00;+00;"))</f>
        <v>311-221…+20</v>
      </c>
      <c r="AC152" s="23" t="str">
        <f>_xlfn.CONCAT(TEXT(P152,"+00;-00;+00;"),"…",TEXT(Q152,"+00;-00;+00;"))</f>
        <v>+23…+03</v>
      </c>
      <c r="AD152" s="14" t="str">
        <f>IF(X152="","?","")</f>
        <v/>
      </c>
      <c r="AE152" s="15" t="str">
        <f>_xlfn.CONCAT(AA152,"…",TEXT(P152,"+00;-00;+00;"),"...",TEXT(Q152,"+00;-00;+00;"))</f>
        <v>311-221…+23...+03</v>
      </c>
      <c r="AF152" s="13" t="str">
        <f>_xlfn.CONCAT(R152,"…",TEXT(P152,"+00;-00;+00;"),"...",TEXT(Q152,"+00;-00;+00;"))</f>
        <v>DLWWW…+23...+03</v>
      </c>
    </row>
    <row r="153" spans="1:32" x14ac:dyDescent="0.25">
      <c r="A153" s="12" t="s">
        <v>342</v>
      </c>
      <c r="B153" s="13" t="s">
        <v>379</v>
      </c>
      <c r="C153" s="14">
        <v>1</v>
      </c>
      <c r="D153" s="13" t="s">
        <v>383</v>
      </c>
      <c r="E153" s="13" t="s">
        <v>384</v>
      </c>
      <c r="F153" s="15" t="s">
        <v>30</v>
      </c>
      <c r="G153" s="15" t="s">
        <v>30</v>
      </c>
      <c r="H153" s="15" t="s">
        <v>29</v>
      </c>
      <c r="I153" s="15" t="s">
        <v>30</v>
      </c>
      <c r="J153" s="15" t="s">
        <v>30</v>
      </c>
      <c r="K153" s="15" t="s">
        <v>30</v>
      </c>
      <c r="L153" s="15" t="s">
        <v>30</v>
      </c>
      <c r="M153" s="15" t="s">
        <v>30</v>
      </c>
      <c r="N153" s="15" t="s">
        <v>30</v>
      </c>
      <c r="O153" s="15" t="s">
        <v>30</v>
      </c>
      <c r="P153" s="16">
        <v>21</v>
      </c>
      <c r="Q153" s="16">
        <v>40</v>
      </c>
      <c r="R153" s="13" t="str">
        <f>_xlfn.CONCAT(F153,G153,H153,I153,J153)</f>
        <v>WWDWW</v>
      </c>
      <c r="S153" s="13" t="str">
        <f>_xlfn.CONCAT(K153,L153,M153,N153,O153)</f>
        <v>WWWWW</v>
      </c>
      <c r="T153" s="13" t="str">
        <f>_xlfn.CONCAT(R153,"***",S153)</f>
        <v>WWDWW***WWWWW</v>
      </c>
      <c r="U153" s="19">
        <f>(P153-Q153)</f>
        <v>-19</v>
      </c>
      <c r="V153" s="14">
        <v>4</v>
      </c>
      <c r="W153" s="14">
        <v>2</v>
      </c>
      <c r="X153" s="20" t="str">
        <f>IF(ISBLANK(V153),"",IF(V153&gt;W153,"1",IF(V153&lt;W153,"2",IF(V153=W153,"X"))))</f>
        <v>1</v>
      </c>
      <c r="Y153" s="23" t="str">
        <f>COUNTIF(F153:J153, "W")&amp;COUNTIF(F153:J153, "d")&amp;COUNTIF(F153:J153, "l")</f>
        <v>410</v>
      </c>
      <c r="Z153" s="13" t="str">
        <f>COUNTIF(K153:O153, "W")&amp;COUNTIF(K153:O153, "d")&amp;COUNTIF(K153:O153, "l")</f>
        <v>500</v>
      </c>
      <c r="AA153" s="23" t="str">
        <f>_xlfn.CONCAT(Y153,"-",Z153)</f>
        <v>410-500</v>
      </c>
      <c r="AB153" s="15" t="str">
        <f>_xlfn.CONCAT(AA153,"…",TEXT(U153,"+00;-00;+00;"))</f>
        <v>410-500…-19</v>
      </c>
      <c r="AC153" s="23" t="str">
        <f>_xlfn.CONCAT(TEXT(P153,"+00;-00;+00;"),"…",TEXT(Q153,"+00;-00;+00;"))</f>
        <v>+21…+40</v>
      </c>
      <c r="AD153" s="14" t="str">
        <f>IF(X153="","?","")</f>
        <v/>
      </c>
      <c r="AE153" s="15" t="str">
        <f>_xlfn.CONCAT(AA153,"…",TEXT(P153,"+00;-00;+00;"),"...",TEXT(Q153,"+00;-00;+00;"))</f>
        <v>410-500…+21...+40</v>
      </c>
      <c r="AF153" s="13" t="str">
        <f>_xlfn.CONCAT(R153,"…",TEXT(P153,"+00;-00;+00;"),"...",TEXT(Q153,"+00;-00;+00;"))</f>
        <v>WWDWW…+21...+40</v>
      </c>
    </row>
    <row r="154" spans="1:32" x14ac:dyDescent="0.25">
      <c r="A154" s="12" t="s">
        <v>380</v>
      </c>
      <c r="B154" s="13" t="s">
        <v>167</v>
      </c>
      <c r="C154" s="14">
        <v>1</v>
      </c>
      <c r="D154" s="13" t="s">
        <v>183</v>
      </c>
      <c r="E154" s="13" t="s">
        <v>184</v>
      </c>
      <c r="F154" s="15" t="s">
        <v>31</v>
      </c>
      <c r="G154" s="15" t="s">
        <v>31</v>
      </c>
      <c r="H154" s="15" t="s">
        <v>29</v>
      </c>
      <c r="I154" s="15" t="s">
        <v>31</v>
      </c>
      <c r="J154" s="15" t="s">
        <v>31</v>
      </c>
      <c r="K154" s="15" t="s">
        <v>31</v>
      </c>
      <c r="L154" s="15" t="s">
        <v>30</v>
      </c>
      <c r="M154" s="15" t="s">
        <v>30</v>
      </c>
      <c r="N154" s="15" t="s">
        <v>29</v>
      </c>
      <c r="O154" s="15" t="s">
        <v>31</v>
      </c>
      <c r="P154" s="16">
        <v>0</v>
      </c>
      <c r="Q154" s="16">
        <v>2</v>
      </c>
      <c r="R154" s="13" t="str">
        <f>_xlfn.CONCAT(F154,G154,H154,I154,J154)</f>
        <v>LLDLL</v>
      </c>
      <c r="S154" s="13" t="str">
        <f>_xlfn.CONCAT(K154,L154,M154,N154,O154)</f>
        <v>LWWDL</v>
      </c>
      <c r="T154" s="13" t="str">
        <f>_xlfn.CONCAT(R154,"***",S154)</f>
        <v>LLDLL***LWWDL</v>
      </c>
      <c r="U154" s="19">
        <f>(P154-Q154)</f>
        <v>-2</v>
      </c>
      <c r="V154" s="14">
        <v>3</v>
      </c>
      <c r="W154" s="14">
        <v>1</v>
      </c>
      <c r="X154" s="20" t="str">
        <f>IF(ISBLANK(V154),"",IF(V154&gt;W154,"1",IF(V154&lt;W154,"2",IF(V154=W154,"X"))))</f>
        <v>1</v>
      </c>
      <c r="Y154" s="23" t="str">
        <f>COUNTIF(F154:J154, "W")&amp;COUNTIF(F154:J154, "d")&amp;COUNTIF(F154:J154, "l")</f>
        <v>014</v>
      </c>
      <c r="Z154" s="13" t="str">
        <f>COUNTIF(K154:O154, "W")&amp;COUNTIF(K154:O154, "d")&amp;COUNTIF(K154:O154, "l")</f>
        <v>212</v>
      </c>
      <c r="AA154" s="23" t="str">
        <f>_xlfn.CONCAT(Y154,"-",Z154)</f>
        <v>014-212</v>
      </c>
      <c r="AB154" s="15" t="str">
        <f>_xlfn.CONCAT(AA154,"…",TEXT(U154,"+00;-00;+00;"))</f>
        <v>014-212…-02</v>
      </c>
      <c r="AC154" s="23" t="str">
        <f>_xlfn.CONCAT(TEXT(P154,"+00;-00;+00;"),"…",TEXT(Q154,"+00;-00;+00;"))</f>
        <v>+00…+02</v>
      </c>
      <c r="AD154" s="14" t="str">
        <f>IF(X154="","?","")</f>
        <v/>
      </c>
      <c r="AE154" s="15" t="str">
        <f>_xlfn.CONCAT(AA154,"…",TEXT(P154,"+00;-00;+00;"),"...",TEXT(Q154,"+00;-00;+00;"))</f>
        <v>014-212…+00...+02</v>
      </c>
      <c r="AF154" s="13" t="str">
        <f>_xlfn.CONCAT(R154,"…",TEXT(P154,"+00;-00;+00;"),"...",TEXT(Q154,"+00;-00;+00;"))</f>
        <v>LLDLL…+00...+02</v>
      </c>
    </row>
    <row r="155" spans="1:32" x14ac:dyDescent="0.25">
      <c r="A155" s="12" t="s">
        <v>5</v>
      </c>
      <c r="B155" s="13" t="s">
        <v>208</v>
      </c>
      <c r="C155" s="14">
        <v>1</v>
      </c>
      <c r="D155" s="13" t="s">
        <v>224</v>
      </c>
      <c r="E155" s="13" t="s">
        <v>225</v>
      </c>
      <c r="F155" s="15" t="s">
        <v>29</v>
      </c>
      <c r="G155" s="15" t="s">
        <v>31</v>
      </c>
      <c r="H155" s="15" t="s">
        <v>30</v>
      </c>
      <c r="I155" s="15" t="s">
        <v>31</v>
      </c>
      <c r="J155" s="15" t="s">
        <v>30</v>
      </c>
      <c r="K155" s="15" t="s">
        <v>29</v>
      </c>
      <c r="L155" s="15" t="s">
        <v>30</v>
      </c>
      <c r="M155" s="15" t="s">
        <v>29</v>
      </c>
      <c r="N155" s="15" t="s">
        <v>31</v>
      </c>
      <c r="O155" s="15" t="s">
        <v>29</v>
      </c>
      <c r="P155" s="16">
        <v>3</v>
      </c>
      <c r="Q155" s="16">
        <v>-13</v>
      </c>
      <c r="R155" s="13" t="str">
        <f>_xlfn.CONCAT(F155,G155,H155,I155,J155)</f>
        <v>DLWLW</v>
      </c>
      <c r="S155" s="13" t="str">
        <f>_xlfn.CONCAT(K155,L155,M155,N155,O155)</f>
        <v>DWDLD</v>
      </c>
      <c r="T155" s="13" t="str">
        <f>_xlfn.CONCAT(R155,"***",S155)</f>
        <v>DLWLW***DWDLD</v>
      </c>
      <c r="U155" s="19">
        <f>(P155-Q155)</f>
        <v>16</v>
      </c>
      <c r="V155" s="14">
        <v>1</v>
      </c>
      <c r="W155" s="14">
        <v>1</v>
      </c>
      <c r="X155" s="20" t="str">
        <f>IF(ISBLANK(V155),"",IF(V155&gt;W155,"1",IF(V155&lt;W155,"2",IF(V155=W155,"X"))))</f>
        <v>X</v>
      </c>
      <c r="Y155" s="23" t="str">
        <f>COUNTIF(F155:J155, "W")&amp;COUNTIF(F155:J155, "d")&amp;COUNTIF(F155:J155, "l")</f>
        <v>212</v>
      </c>
      <c r="Z155" s="13" t="str">
        <f>COUNTIF(K155:O155, "W")&amp;COUNTIF(K155:O155, "d")&amp;COUNTIF(K155:O155, "l")</f>
        <v>131</v>
      </c>
      <c r="AA155" s="23" t="str">
        <f>_xlfn.CONCAT(Y155,"-",Z155)</f>
        <v>212-131</v>
      </c>
      <c r="AB155" s="15" t="str">
        <f>_xlfn.CONCAT(AA155,"…",TEXT(U155,"+00;-00;+00;"))</f>
        <v>212-131…+16</v>
      </c>
      <c r="AC155" s="23" t="str">
        <f>_xlfn.CONCAT(TEXT(P155,"+00;-00;+00;"),"…",TEXT(Q155,"+00;-00;+00;"))</f>
        <v>+03…-13</v>
      </c>
      <c r="AD155" s="14" t="str">
        <f>IF(X155="","?","")</f>
        <v/>
      </c>
      <c r="AE155" s="15" t="str">
        <f>_xlfn.CONCAT(AA155,"…",TEXT(P155,"+00;-00;+00;"),"...",TEXT(Q155,"+00;-00;+00;"))</f>
        <v>212-131…+03...-13</v>
      </c>
      <c r="AF155" s="13" t="str">
        <f>_xlfn.CONCAT(R155,"…",TEXT(P155,"+00;-00;+00;"),"...",TEXT(Q155,"+00;-00;+00;"))</f>
        <v>DLWLW…+03...-13</v>
      </c>
    </row>
    <row r="156" spans="1:32" x14ac:dyDescent="0.25">
      <c r="A156" s="12" t="s">
        <v>5</v>
      </c>
      <c r="B156" s="13" t="s">
        <v>7</v>
      </c>
      <c r="C156" s="14" t="s">
        <v>8</v>
      </c>
      <c r="D156" s="13" t="s">
        <v>17</v>
      </c>
      <c r="E156" s="13" t="s">
        <v>27</v>
      </c>
      <c r="F156" s="15" t="s">
        <v>30</v>
      </c>
      <c r="G156" s="15" t="s">
        <v>29</v>
      </c>
      <c r="H156" s="15" t="s">
        <v>30</v>
      </c>
      <c r="I156" s="15" t="s">
        <v>31</v>
      </c>
      <c r="J156" s="15" t="s">
        <v>30</v>
      </c>
      <c r="K156" s="15" t="s">
        <v>30</v>
      </c>
      <c r="L156" s="15" t="s">
        <v>30</v>
      </c>
      <c r="M156" s="15" t="s">
        <v>31</v>
      </c>
      <c r="N156" s="15" t="s">
        <v>30</v>
      </c>
      <c r="O156" s="15" t="s">
        <v>30</v>
      </c>
      <c r="P156" s="16">
        <v>-3</v>
      </c>
      <c r="Q156" s="16">
        <v>-3</v>
      </c>
      <c r="R156" s="13" t="str">
        <f>_xlfn.CONCAT(F156,G156,H156,I156,J156)</f>
        <v>WDWLW</v>
      </c>
      <c r="S156" s="13" t="str">
        <f>_xlfn.CONCAT(K156,L156,M156,N156,O156)</f>
        <v>WWLWW</v>
      </c>
      <c r="T156" s="13" t="str">
        <f>_xlfn.CONCAT(R156,"***",S156)</f>
        <v>WDWLW***WWLWW</v>
      </c>
      <c r="U156" s="19">
        <f>(P156-Q156)</f>
        <v>0</v>
      </c>
      <c r="V156" s="14">
        <v>0</v>
      </c>
      <c r="W156" s="14">
        <v>3</v>
      </c>
      <c r="X156" s="20" t="str">
        <f>IF(ISBLANK(V156),"",IF(V156&gt;W156,"1",IF(V156&lt;W156,"2",IF(V156=W156,"X"))))</f>
        <v>2</v>
      </c>
      <c r="Y156" s="23" t="str">
        <f>COUNTIF(F156:J156, "W")&amp;COUNTIF(F156:J156, "d")&amp;COUNTIF(F156:J156, "l")</f>
        <v>311</v>
      </c>
      <c r="Z156" s="13" t="str">
        <f>COUNTIF(K156:O156, "W")&amp;COUNTIF(K156:O156, "d")&amp;COUNTIF(K156:O156, "l")</f>
        <v>401</v>
      </c>
      <c r="AA156" s="23" t="str">
        <f>_xlfn.CONCAT(Y156,"-",Z156)</f>
        <v>311-401</v>
      </c>
      <c r="AB156" s="15" t="str">
        <f>_xlfn.CONCAT(AA156,"…",TEXT(U156,"+00;-00;+00;"))</f>
        <v>311-401…+00</v>
      </c>
      <c r="AC156" s="23" t="str">
        <f>_xlfn.CONCAT(TEXT(P156,"+00;-00;+00;"),"…",TEXT(Q156,"+00;-00;+00;"))</f>
        <v>-03…-03</v>
      </c>
      <c r="AD156" s="14" t="str">
        <f>IF(X156="","?","")</f>
        <v/>
      </c>
      <c r="AE156" s="15" t="str">
        <f>_xlfn.CONCAT(AA156,"…",TEXT(P156,"+00;-00;+00;"),"...",TEXT(Q156,"+00;-00;+00;"))</f>
        <v>311-401…-03...-03</v>
      </c>
      <c r="AF156" s="13" t="str">
        <f>_xlfn.CONCAT(R156,"…",TEXT(P156,"+00;-00;+00;"),"...",TEXT(Q156,"+00;-00;+00;"))</f>
        <v>WDWLW…-03...-03</v>
      </c>
    </row>
    <row r="157" spans="1:32" x14ac:dyDescent="0.25">
      <c r="A157" s="12" t="s">
        <v>122</v>
      </c>
      <c r="B157" s="13" t="s">
        <v>364</v>
      </c>
      <c r="C157" s="14">
        <v>1</v>
      </c>
      <c r="D157" s="13" t="s">
        <v>375</v>
      </c>
      <c r="E157" s="13" t="s">
        <v>376</v>
      </c>
      <c r="F157" s="15" t="s">
        <v>31</v>
      </c>
      <c r="G157" s="15" t="s">
        <v>29</v>
      </c>
      <c r="H157" s="15" t="s">
        <v>31</v>
      </c>
      <c r="I157" s="15" t="s">
        <v>31</v>
      </c>
      <c r="J157" s="15" t="s">
        <v>31</v>
      </c>
      <c r="K157" s="15" t="s">
        <v>29</v>
      </c>
      <c r="L157" s="15" t="s">
        <v>29</v>
      </c>
      <c r="M157" s="15" t="s">
        <v>30</v>
      </c>
      <c r="N157" s="15" t="s">
        <v>29</v>
      </c>
      <c r="O157" s="15" t="s">
        <v>30</v>
      </c>
      <c r="P157" s="16">
        <v>-8</v>
      </c>
      <c r="Q157" s="16">
        <v>12</v>
      </c>
      <c r="R157" s="13" t="str">
        <f>_xlfn.CONCAT(F157,G157,H157,I157,J157)</f>
        <v>LDLLL</v>
      </c>
      <c r="S157" s="13" t="str">
        <f>_xlfn.CONCAT(K157,L157,M157,N157,O157)</f>
        <v>DDWDW</v>
      </c>
      <c r="T157" s="13" t="str">
        <f>_xlfn.CONCAT(R157,"***",S157)</f>
        <v>LDLLL***DDWDW</v>
      </c>
      <c r="U157" s="19">
        <f>(P157-Q157)</f>
        <v>-20</v>
      </c>
      <c r="V157" s="14">
        <v>3</v>
      </c>
      <c r="W157" s="14">
        <v>3</v>
      </c>
      <c r="X157" s="20" t="str">
        <f>IF(ISBLANK(V157),"",IF(V157&gt;W157,"1",IF(V157&lt;W157,"2",IF(V157=W157,"X"))))</f>
        <v>X</v>
      </c>
      <c r="Y157" s="23" t="str">
        <f>COUNTIF(F157:J157, "W")&amp;COUNTIF(F157:J157, "d")&amp;COUNTIF(F157:J157, "l")</f>
        <v>014</v>
      </c>
      <c r="Z157" s="13" t="str">
        <f>COUNTIF(K157:O157, "W")&amp;COUNTIF(K157:O157, "d")&amp;COUNTIF(K157:O157, "l")</f>
        <v>230</v>
      </c>
      <c r="AA157" s="23" t="str">
        <f>_xlfn.CONCAT(Y157,"-",Z157)</f>
        <v>014-230</v>
      </c>
      <c r="AB157" s="15" t="str">
        <f>_xlfn.CONCAT(AA157,"…",TEXT(U157,"+00;-00;+00;"))</f>
        <v>014-230…-20</v>
      </c>
      <c r="AC157" s="23" t="str">
        <f>_xlfn.CONCAT(TEXT(P157,"+00;-00;+00;"),"…",TEXT(Q157,"+00;-00;+00;"))</f>
        <v>-08…+12</v>
      </c>
      <c r="AD157" s="14" t="str">
        <f>IF(X157="","?","")</f>
        <v/>
      </c>
      <c r="AE157" s="15" t="str">
        <f>_xlfn.CONCAT(AA157,"…",TEXT(P157,"+00;-00;+00;"),"...",TEXT(Q157,"+00;-00;+00;"))</f>
        <v>014-230…-08...+12</v>
      </c>
      <c r="AF157" s="13" t="str">
        <f>_xlfn.CONCAT(R157,"…",TEXT(P157,"+00;-00;+00;"),"...",TEXT(Q157,"+00;-00;+00;"))</f>
        <v>LDLLL…-08...+12</v>
      </c>
    </row>
    <row r="158" spans="1:32" x14ac:dyDescent="0.25">
      <c r="A158" s="12" t="s">
        <v>122</v>
      </c>
      <c r="B158" s="13" t="s">
        <v>117</v>
      </c>
      <c r="C158" s="14" t="s">
        <v>0</v>
      </c>
      <c r="D158" s="13" t="s">
        <v>138</v>
      </c>
      <c r="E158" s="13" t="s">
        <v>139</v>
      </c>
      <c r="F158" s="15" t="s">
        <v>29</v>
      </c>
      <c r="G158" s="15" t="s">
        <v>30</v>
      </c>
      <c r="H158" s="15" t="s">
        <v>31</v>
      </c>
      <c r="I158" s="15" t="s">
        <v>30</v>
      </c>
      <c r="J158" s="15" t="s">
        <v>30</v>
      </c>
      <c r="K158" s="15" t="s">
        <v>29</v>
      </c>
      <c r="L158" s="15" t="s">
        <v>30</v>
      </c>
      <c r="M158" s="15" t="s">
        <v>29</v>
      </c>
      <c r="N158" s="15" t="s">
        <v>29</v>
      </c>
      <c r="O158" s="15" t="s">
        <v>29</v>
      </c>
      <c r="P158" s="16">
        <v>8</v>
      </c>
      <c r="Q158" s="16">
        <v>-7</v>
      </c>
      <c r="R158" s="13" t="str">
        <f>_xlfn.CONCAT(F158,G158,H158,I158,J158)</f>
        <v>DWLWW</v>
      </c>
      <c r="S158" s="13" t="str">
        <f>_xlfn.CONCAT(K158,L158,M158,N158,O158)</f>
        <v>DWDDD</v>
      </c>
      <c r="T158" s="13" t="str">
        <f>_xlfn.CONCAT(R158,"***",S158)</f>
        <v>DWLWW***DWDDD</v>
      </c>
      <c r="U158" s="19">
        <f>(P158-Q158)</f>
        <v>15</v>
      </c>
      <c r="V158" s="14">
        <v>3</v>
      </c>
      <c r="W158" s="14">
        <v>1</v>
      </c>
      <c r="X158" s="20" t="str">
        <f>IF(ISBLANK(V158),"",IF(V158&gt;W158,"1",IF(V158&lt;W158,"2",IF(V158=W158,"X"))))</f>
        <v>1</v>
      </c>
      <c r="Y158" s="23" t="str">
        <f>COUNTIF(F158:J158, "W")&amp;COUNTIF(F158:J158, "d")&amp;COUNTIF(F158:J158, "l")</f>
        <v>311</v>
      </c>
      <c r="Z158" s="13" t="str">
        <f>COUNTIF(K158:O158, "W")&amp;COUNTIF(K158:O158, "d")&amp;COUNTIF(K158:O158, "l")</f>
        <v>140</v>
      </c>
      <c r="AA158" s="23" t="str">
        <f>_xlfn.CONCAT(Y158,"-",Z158)</f>
        <v>311-140</v>
      </c>
      <c r="AB158" s="15" t="str">
        <f>_xlfn.CONCAT(AA158,"…",TEXT(U158,"+00;-00;+00;"))</f>
        <v>311-140…+15</v>
      </c>
      <c r="AC158" s="23" t="str">
        <f>_xlfn.CONCAT(TEXT(P158,"+00;-00;+00;"),"…",TEXT(Q158,"+00;-00;+00;"))</f>
        <v>+08…-07</v>
      </c>
      <c r="AD158" s="14" t="str">
        <f>IF(X158="","?","")</f>
        <v/>
      </c>
      <c r="AE158" s="15" t="str">
        <f>_xlfn.CONCAT(AA158,"…",TEXT(P158,"+00;-00;+00;"),"...",TEXT(Q158,"+00;-00;+00;"))</f>
        <v>311-140…+08...-07</v>
      </c>
      <c r="AF158" s="13" t="str">
        <f>_xlfn.CONCAT(R158,"…",TEXT(P158,"+00;-00;+00;"),"...",TEXT(Q158,"+00;-00;+00;"))</f>
        <v>DWLWW…+08...-07</v>
      </c>
    </row>
    <row r="159" spans="1:32" x14ac:dyDescent="0.25">
      <c r="A159" s="12" t="s">
        <v>67</v>
      </c>
      <c r="B159" s="13" t="s">
        <v>59</v>
      </c>
      <c r="C159" s="14" t="s">
        <v>31</v>
      </c>
      <c r="D159" s="13" t="s">
        <v>81</v>
      </c>
      <c r="E159" s="13" t="s">
        <v>82</v>
      </c>
      <c r="F159" s="15" t="s">
        <v>31</v>
      </c>
      <c r="G159" s="15" t="s">
        <v>29</v>
      </c>
      <c r="H159" s="15" t="s">
        <v>31</v>
      </c>
      <c r="I159" s="15" t="s">
        <v>31</v>
      </c>
      <c r="J159" s="15" t="s">
        <v>31</v>
      </c>
      <c r="K159" s="15" t="s">
        <v>30</v>
      </c>
      <c r="L159" s="15" t="s">
        <v>29</v>
      </c>
      <c r="M159" s="15" t="s">
        <v>30</v>
      </c>
      <c r="N159" s="15" t="s">
        <v>29</v>
      </c>
      <c r="O159" s="15" t="s">
        <v>30</v>
      </c>
      <c r="P159" s="16">
        <v>-7</v>
      </c>
      <c r="Q159" s="16">
        <v>19</v>
      </c>
      <c r="R159" s="13" t="str">
        <f>_xlfn.CONCAT(F159,G159,H159,I159,J159)</f>
        <v>LDLLL</v>
      </c>
      <c r="S159" s="13" t="str">
        <f>_xlfn.CONCAT(K159,L159,M159,N159,O159)</f>
        <v>WDWDW</v>
      </c>
      <c r="T159" s="13" t="str">
        <f>_xlfn.CONCAT(R159,"***",S159)</f>
        <v>LDLLL***WDWDW</v>
      </c>
      <c r="U159" s="19">
        <f>(P159-Q159)</f>
        <v>-26</v>
      </c>
      <c r="V159" s="14">
        <v>0</v>
      </c>
      <c r="W159" s="14">
        <v>3</v>
      </c>
      <c r="X159" s="20" t="str">
        <f>IF(ISBLANK(V159),"",IF(V159&gt;W159,"1",IF(V159&lt;W159,"2",IF(V159=W159,"X"))))</f>
        <v>2</v>
      </c>
      <c r="Y159" s="23" t="str">
        <f>COUNTIF(F159:J159, "W")&amp;COUNTIF(F159:J159, "d")&amp;COUNTIF(F159:J159, "l")</f>
        <v>014</v>
      </c>
      <c r="Z159" s="13" t="str">
        <f>COUNTIF(K159:O159, "W")&amp;COUNTIF(K159:O159, "d")&amp;COUNTIF(K159:O159, "l")</f>
        <v>320</v>
      </c>
      <c r="AA159" s="23" t="str">
        <f>_xlfn.CONCAT(Y159,"-",Z159)</f>
        <v>014-320</v>
      </c>
      <c r="AB159" s="15" t="str">
        <f>_xlfn.CONCAT(AA159,"…",TEXT(U159,"+00;-00;+00;"))</f>
        <v>014-320…-26</v>
      </c>
      <c r="AC159" s="23" t="str">
        <f>_xlfn.CONCAT(TEXT(P159,"+00;-00;+00;"),"…",TEXT(Q159,"+00;-00;+00;"))</f>
        <v>-07…+19</v>
      </c>
      <c r="AD159" s="14" t="str">
        <f>IF(X159="","?","")</f>
        <v/>
      </c>
      <c r="AE159" s="15" t="str">
        <f>_xlfn.CONCAT(AA159,"…",TEXT(P159,"+00;-00;+00;"),"...",TEXT(Q159,"+00;-00;+00;"))</f>
        <v>014-320…-07...+19</v>
      </c>
      <c r="AF159" s="13" t="str">
        <f>_xlfn.CONCAT(R159,"…",TEXT(P159,"+00;-00;+00;"),"...",TEXT(Q159,"+00;-00;+00;"))</f>
        <v>LDLLL…-07...+19</v>
      </c>
    </row>
    <row r="160" spans="1:32" s="8" customFormat="1" x14ac:dyDescent="0.25">
      <c r="A160" s="12" t="s">
        <v>67</v>
      </c>
      <c r="B160" s="13" t="s">
        <v>401</v>
      </c>
      <c r="C160" s="14">
        <v>1</v>
      </c>
      <c r="D160" s="13" t="s">
        <v>411</v>
      </c>
      <c r="E160" s="13" t="s">
        <v>412</v>
      </c>
      <c r="F160" s="15" t="s">
        <v>31</v>
      </c>
      <c r="G160" s="15" t="s">
        <v>31</v>
      </c>
      <c r="H160" s="15" t="s">
        <v>30</v>
      </c>
      <c r="I160" s="15" t="s">
        <v>30</v>
      </c>
      <c r="J160" s="15" t="s">
        <v>30</v>
      </c>
      <c r="K160" s="15" t="s">
        <v>29</v>
      </c>
      <c r="L160" s="15" t="s">
        <v>30</v>
      </c>
      <c r="M160" s="15" t="s">
        <v>30</v>
      </c>
      <c r="N160" s="15" t="s">
        <v>31</v>
      </c>
      <c r="O160" s="15" t="s">
        <v>31</v>
      </c>
      <c r="P160" s="16">
        <v>-6</v>
      </c>
      <c r="Q160" s="16">
        <v>-10</v>
      </c>
      <c r="R160" s="13" t="str">
        <f>_xlfn.CONCAT(F160,G160,H160,I160,J160)</f>
        <v>LLWWW</v>
      </c>
      <c r="S160" s="13" t="str">
        <f>_xlfn.CONCAT(K160,L160,M160,N160,O160)</f>
        <v>DWWLL</v>
      </c>
      <c r="T160" s="13" t="str">
        <f>_xlfn.CONCAT(R160,"***",S160)</f>
        <v>LLWWW***DWWLL</v>
      </c>
      <c r="U160" s="19">
        <f>(P160-Q160)</f>
        <v>4</v>
      </c>
      <c r="V160" s="14">
        <v>3</v>
      </c>
      <c r="W160" s="14">
        <v>3</v>
      </c>
      <c r="X160" s="20" t="str">
        <f>IF(ISBLANK(V160),"",IF(V160&gt;W160,"1",IF(V160&lt;W160,"2",IF(V160=W160,"X"))))</f>
        <v>X</v>
      </c>
      <c r="Y160" s="23" t="str">
        <f>COUNTIF(F160:J160, "W")&amp;COUNTIF(F160:J160, "d")&amp;COUNTIF(F160:J160, "l")</f>
        <v>302</v>
      </c>
      <c r="Z160" s="13" t="str">
        <f>COUNTIF(K160:O160, "W")&amp;COUNTIF(K160:O160, "d")&amp;COUNTIF(K160:O160, "l")</f>
        <v>212</v>
      </c>
      <c r="AA160" s="23" t="str">
        <f>_xlfn.CONCAT(Y160,"-",Z160)</f>
        <v>302-212</v>
      </c>
      <c r="AB160" s="15" t="str">
        <f>_xlfn.CONCAT(AA160,"…",TEXT(U160,"+00;-00;+00;"))</f>
        <v>302-212…+04</v>
      </c>
      <c r="AC160" s="23" t="str">
        <f>_xlfn.CONCAT(TEXT(P160,"+00;-00;+00;"),"…",TEXT(Q160,"+00;-00;+00;"))</f>
        <v>-06…-10</v>
      </c>
      <c r="AD160" s="14" t="str">
        <f>IF(X160="","?","")</f>
        <v/>
      </c>
      <c r="AE160" s="15" t="str">
        <f>_xlfn.CONCAT(AA160,"…",TEXT(P160,"+00;-00;+00;"),"...",TEXT(Q160,"+00;-00;+00;"))</f>
        <v>302-212…-06...-10</v>
      </c>
      <c r="AF160" s="13" t="str">
        <f>_xlfn.CONCAT(R160,"…",TEXT(P160,"+00;-00;+00;"),"...",TEXT(Q160,"+00;-00;+00;"))</f>
        <v>LLWWW…-06...-10</v>
      </c>
    </row>
    <row r="161" spans="1:32" x14ac:dyDescent="0.25">
      <c r="A161" s="12" t="s">
        <v>67</v>
      </c>
      <c r="B161" s="13" t="s">
        <v>318</v>
      </c>
      <c r="C161" s="14">
        <v>1</v>
      </c>
      <c r="D161" s="13" t="s">
        <v>335</v>
      </c>
      <c r="E161" s="13" t="s">
        <v>336</v>
      </c>
      <c r="F161" s="15" t="s">
        <v>29</v>
      </c>
      <c r="G161" s="15" t="s">
        <v>30</v>
      </c>
      <c r="H161" s="15" t="s">
        <v>30</v>
      </c>
      <c r="I161" s="15" t="s">
        <v>31</v>
      </c>
      <c r="J161" s="15" t="s">
        <v>30</v>
      </c>
      <c r="K161" s="15" t="s">
        <v>30</v>
      </c>
      <c r="L161" s="15" t="s">
        <v>29</v>
      </c>
      <c r="M161" s="15" t="s">
        <v>31</v>
      </c>
      <c r="N161" s="15" t="s">
        <v>29</v>
      </c>
      <c r="O161" s="15" t="s">
        <v>31</v>
      </c>
      <c r="P161" s="16">
        <v>12</v>
      </c>
      <c r="Q161" s="16">
        <v>-8</v>
      </c>
      <c r="R161" s="13" t="str">
        <f>_xlfn.CONCAT(F161,G161,H161,I161,J161)</f>
        <v>DWWLW</v>
      </c>
      <c r="S161" s="13" t="str">
        <f>_xlfn.CONCAT(K161,L161,M161,N161,O161)</f>
        <v>WDLDL</v>
      </c>
      <c r="T161" s="13" t="str">
        <f>_xlfn.CONCAT(R161,"***",S161)</f>
        <v>DWWLW***WDLDL</v>
      </c>
      <c r="U161" s="19">
        <f>(P161-Q161)</f>
        <v>20</v>
      </c>
      <c r="V161" s="14">
        <v>2</v>
      </c>
      <c r="W161" s="14">
        <v>1</v>
      </c>
      <c r="X161" s="20" t="str">
        <f>IF(ISBLANK(V161),"",IF(V161&gt;W161,"1",IF(V161&lt;W161,"2",IF(V161=W161,"X"))))</f>
        <v>1</v>
      </c>
      <c r="Y161" s="23" t="str">
        <f>COUNTIF(F161:J161, "W")&amp;COUNTIF(F161:J161, "d")&amp;COUNTIF(F161:J161, "l")</f>
        <v>311</v>
      </c>
      <c r="Z161" s="13" t="str">
        <f>COUNTIF(K161:O161, "W")&amp;COUNTIF(K161:O161, "d")&amp;COUNTIF(K161:O161, "l")</f>
        <v>122</v>
      </c>
      <c r="AA161" s="23" t="str">
        <f>_xlfn.CONCAT(Y161,"-",Z161)</f>
        <v>311-122</v>
      </c>
      <c r="AB161" s="15" t="str">
        <f>_xlfn.CONCAT(AA161,"…",TEXT(U161,"+00;-00;+00;"))</f>
        <v>311-122…+20</v>
      </c>
      <c r="AC161" s="23" t="str">
        <f>_xlfn.CONCAT(TEXT(P161,"+00;-00;+00;"),"…",TEXT(Q161,"+00;-00;+00;"))</f>
        <v>+12…-08</v>
      </c>
      <c r="AD161" s="14" t="str">
        <f>IF(X161="","?","")</f>
        <v/>
      </c>
      <c r="AE161" s="15" t="str">
        <f>_xlfn.CONCAT(AA161,"…",TEXT(P161,"+00;-00;+00;"),"...",TEXT(Q161,"+00;-00;+00;"))</f>
        <v>311-122…+12...-08</v>
      </c>
      <c r="AF161" s="13" t="str">
        <f>_xlfn.CONCAT(R161,"…",TEXT(P161,"+00;-00;+00;"),"...",TEXT(Q161,"+00;-00;+00;"))</f>
        <v>DWWLW…+12...-08</v>
      </c>
    </row>
    <row r="162" spans="1:32" x14ac:dyDescent="0.25">
      <c r="A162" s="12" t="s">
        <v>322</v>
      </c>
      <c r="B162" s="13" t="s">
        <v>318</v>
      </c>
      <c r="C162" s="14">
        <v>1</v>
      </c>
      <c r="D162" s="13" t="s">
        <v>337</v>
      </c>
      <c r="E162" s="13" t="s">
        <v>338</v>
      </c>
      <c r="F162" s="15" t="s">
        <v>31</v>
      </c>
      <c r="G162" s="15" t="s">
        <v>29</v>
      </c>
      <c r="H162" s="15" t="s">
        <v>31</v>
      </c>
      <c r="I162" s="15" t="s">
        <v>30</v>
      </c>
      <c r="J162" s="15" t="s">
        <v>31</v>
      </c>
      <c r="K162" s="15" t="s">
        <v>30</v>
      </c>
      <c r="L162" s="15" t="s">
        <v>29</v>
      </c>
      <c r="M162" s="15" t="s">
        <v>31</v>
      </c>
      <c r="N162" s="15" t="s">
        <v>31</v>
      </c>
      <c r="O162" s="15" t="s">
        <v>31</v>
      </c>
      <c r="P162" s="16">
        <v>-19</v>
      </c>
      <c r="Q162" s="16">
        <v>-6</v>
      </c>
      <c r="R162" s="13" t="str">
        <f>_xlfn.CONCAT(F162,G162,H162,I162,J162)</f>
        <v>LDLWL</v>
      </c>
      <c r="S162" s="13" t="str">
        <f>_xlfn.CONCAT(K162,L162,M162,N162,O162)</f>
        <v>WDLLL</v>
      </c>
      <c r="T162" s="13" t="str">
        <f>_xlfn.CONCAT(R162,"***",S162)</f>
        <v>LDLWL***WDLLL</v>
      </c>
      <c r="U162" s="19">
        <f>(P162-Q162)</f>
        <v>-13</v>
      </c>
      <c r="V162" s="14">
        <v>0</v>
      </c>
      <c r="W162" s="14">
        <v>3</v>
      </c>
      <c r="X162" s="20" t="str">
        <f>IF(ISBLANK(V162),"",IF(V162&gt;W162,"1",IF(V162&lt;W162,"2",IF(V162=W162,"X"))))</f>
        <v>2</v>
      </c>
      <c r="Y162" s="23" t="str">
        <f>COUNTIF(F162:J162, "W")&amp;COUNTIF(F162:J162, "d")&amp;COUNTIF(F162:J162, "l")</f>
        <v>113</v>
      </c>
      <c r="Z162" s="13" t="str">
        <f>COUNTIF(K162:O162, "W")&amp;COUNTIF(K162:O162, "d")&amp;COUNTIF(K162:O162, "l")</f>
        <v>113</v>
      </c>
      <c r="AA162" s="23" t="str">
        <f>_xlfn.CONCAT(Y162,"-",Z162)</f>
        <v>113-113</v>
      </c>
      <c r="AB162" s="15" t="str">
        <f>_xlfn.CONCAT(AA162,"…",TEXT(U162,"+00;-00;+00;"))</f>
        <v>113-113…-13</v>
      </c>
      <c r="AC162" s="23" t="str">
        <f>_xlfn.CONCAT(TEXT(P162,"+00;-00;+00;"),"…",TEXT(Q162,"+00;-00;+00;"))</f>
        <v>-19…-06</v>
      </c>
      <c r="AD162" s="14" t="str">
        <f>IF(X162="","?","")</f>
        <v/>
      </c>
      <c r="AE162" s="15" t="str">
        <f>_xlfn.CONCAT(AA162,"…",TEXT(P162,"+00;-00;+00;"),"...",TEXT(Q162,"+00;-00;+00;"))</f>
        <v>113-113…-19...-06</v>
      </c>
      <c r="AF162" s="13" t="str">
        <f>_xlfn.CONCAT(R162,"…",TEXT(P162,"+00;-00;+00;"),"...",TEXT(Q162,"+00;-00;+00;"))</f>
        <v>LDLWL…-19...-06</v>
      </c>
    </row>
    <row r="163" spans="1:32" s="8" customFormat="1" x14ac:dyDescent="0.25">
      <c r="A163" s="12" t="s">
        <v>123</v>
      </c>
      <c r="B163" s="13" t="s">
        <v>167</v>
      </c>
      <c r="C163" s="14">
        <v>1</v>
      </c>
      <c r="D163" s="13" t="s">
        <v>185</v>
      </c>
      <c r="E163" s="13" t="s">
        <v>186</v>
      </c>
      <c r="F163" s="15" t="s">
        <v>30</v>
      </c>
      <c r="G163" s="15" t="s">
        <v>29</v>
      </c>
      <c r="H163" s="15" t="s">
        <v>31</v>
      </c>
      <c r="I163" s="15" t="s">
        <v>29</v>
      </c>
      <c r="J163" s="15" t="s">
        <v>31</v>
      </c>
      <c r="K163" s="15" t="s">
        <v>29</v>
      </c>
      <c r="L163" s="15" t="s">
        <v>29</v>
      </c>
      <c r="M163" s="15" t="s">
        <v>30</v>
      </c>
      <c r="N163" s="15" t="s">
        <v>30</v>
      </c>
      <c r="O163" s="15" t="s">
        <v>29</v>
      </c>
      <c r="P163" s="16">
        <v>-10</v>
      </c>
      <c r="Q163" s="16">
        <v>4</v>
      </c>
      <c r="R163" s="13" t="str">
        <f>_xlfn.CONCAT(F163,G163,H163,I163,J163)</f>
        <v>WDLDL</v>
      </c>
      <c r="S163" s="13" t="str">
        <f>_xlfn.CONCAT(K163,L163,M163,N163,O163)</f>
        <v>DDWWD</v>
      </c>
      <c r="T163" s="13" t="str">
        <f>_xlfn.CONCAT(R163,"***",S163)</f>
        <v>WDLDL***DDWWD</v>
      </c>
      <c r="U163" s="19">
        <f>(P163-Q163)</f>
        <v>-14</v>
      </c>
      <c r="V163" s="14">
        <v>0</v>
      </c>
      <c r="W163" s="14">
        <v>2</v>
      </c>
      <c r="X163" s="20" t="str">
        <f>IF(ISBLANK(V163),"",IF(V163&gt;W163,"1",IF(V163&lt;W163,"2",IF(V163=W163,"X"))))</f>
        <v>2</v>
      </c>
      <c r="Y163" s="23" t="str">
        <f>COUNTIF(F163:J163, "W")&amp;COUNTIF(F163:J163, "d")&amp;COUNTIF(F163:J163, "l")</f>
        <v>122</v>
      </c>
      <c r="Z163" s="13" t="str">
        <f>COUNTIF(K163:O163, "W")&amp;COUNTIF(K163:O163, "d")&amp;COUNTIF(K163:O163, "l")</f>
        <v>230</v>
      </c>
      <c r="AA163" s="23" t="str">
        <f>_xlfn.CONCAT(Y163,"-",Z163)</f>
        <v>122-230</v>
      </c>
      <c r="AB163" s="15" t="str">
        <f>_xlfn.CONCAT(AA163,"…",TEXT(U163,"+00;-00;+00;"))</f>
        <v>122-230…-14</v>
      </c>
      <c r="AC163" s="23" t="str">
        <f>_xlfn.CONCAT(TEXT(P163,"+00;-00;+00;"),"…",TEXT(Q163,"+00;-00;+00;"))</f>
        <v>-10…+04</v>
      </c>
      <c r="AD163" s="14" t="str">
        <f>IF(X163="","?","")</f>
        <v/>
      </c>
      <c r="AE163" s="15" t="str">
        <f>_xlfn.CONCAT(AA163,"…",TEXT(P163,"+00;-00;+00;"),"...",TEXT(Q163,"+00;-00;+00;"))</f>
        <v>122-230…-10...+04</v>
      </c>
      <c r="AF163" s="13" t="str">
        <f>_xlfn.CONCAT(R163,"…",TEXT(P163,"+00;-00;+00;"),"...",TEXT(Q163,"+00;-00;+00;"))</f>
        <v>WDLDL…-10...+04</v>
      </c>
    </row>
    <row r="164" spans="1:32" x14ac:dyDescent="0.25">
      <c r="A164" s="12" t="s">
        <v>123</v>
      </c>
      <c r="B164" s="13" t="s">
        <v>117</v>
      </c>
      <c r="C164" s="14" t="s">
        <v>0</v>
      </c>
      <c r="D164" s="13" t="s">
        <v>140</v>
      </c>
      <c r="E164" s="13" t="s">
        <v>141</v>
      </c>
      <c r="F164" s="15" t="s">
        <v>30</v>
      </c>
      <c r="G164" s="15" t="s">
        <v>30</v>
      </c>
      <c r="H164" s="15" t="s">
        <v>30</v>
      </c>
      <c r="I164" s="15" t="s">
        <v>30</v>
      </c>
      <c r="J164" s="15" t="s">
        <v>30</v>
      </c>
      <c r="K164" s="15" t="s">
        <v>30</v>
      </c>
      <c r="L164" s="15" t="s">
        <v>30</v>
      </c>
      <c r="M164" s="15" t="s">
        <v>30</v>
      </c>
      <c r="N164" s="15" t="s">
        <v>30</v>
      </c>
      <c r="O164" s="15" t="s">
        <v>29</v>
      </c>
      <c r="P164" s="16">
        <v>12</v>
      </c>
      <c r="Q164" s="16">
        <v>23</v>
      </c>
      <c r="R164" s="13" t="str">
        <f>_xlfn.CONCAT(F164,G164,H164,I164,J164)</f>
        <v>WWWWW</v>
      </c>
      <c r="S164" s="13" t="str">
        <f>_xlfn.CONCAT(K164,L164,M164,N164,O164)</f>
        <v>WWWWD</v>
      </c>
      <c r="T164" s="13" t="str">
        <f>_xlfn.CONCAT(R164,"***",S164)</f>
        <v>WWWWW***WWWWD</v>
      </c>
      <c r="U164" s="19">
        <f>(P164-Q164)</f>
        <v>-11</v>
      </c>
      <c r="V164" s="14">
        <v>1</v>
      </c>
      <c r="W164" s="14">
        <v>1</v>
      </c>
      <c r="X164" s="20" t="str">
        <f>IF(ISBLANK(V164),"",IF(V164&gt;W164,"1",IF(V164&lt;W164,"2",IF(V164=W164,"X"))))</f>
        <v>X</v>
      </c>
      <c r="Y164" s="23" t="str">
        <f>COUNTIF(F164:J164, "W")&amp;COUNTIF(F164:J164, "d")&amp;COUNTIF(F164:J164, "l")</f>
        <v>500</v>
      </c>
      <c r="Z164" s="13" t="str">
        <f>COUNTIF(K164:O164, "W")&amp;COUNTIF(K164:O164, "d")&amp;COUNTIF(K164:O164, "l")</f>
        <v>410</v>
      </c>
      <c r="AA164" s="23" t="str">
        <f>_xlfn.CONCAT(Y164,"-",Z164)</f>
        <v>500-410</v>
      </c>
      <c r="AB164" s="15" t="str">
        <f>_xlfn.CONCAT(AA164,"…",TEXT(U164,"+00;-00;+00;"))</f>
        <v>500-410…-11</v>
      </c>
      <c r="AC164" s="23" t="str">
        <f>_xlfn.CONCAT(TEXT(P164,"+00;-00;+00;"),"…",TEXT(Q164,"+00;-00;+00;"))</f>
        <v>+12…+23</v>
      </c>
      <c r="AD164" s="14" t="str">
        <f>IF(X164="","?","")</f>
        <v/>
      </c>
      <c r="AE164" s="15" t="str">
        <f>_xlfn.CONCAT(AA164,"…",TEXT(P164,"+00;-00;+00;"),"...",TEXT(Q164,"+00;-00;+00;"))</f>
        <v>500-410…+12...+23</v>
      </c>
      <c r="AF164" s="13" t="str">
        <f>_xlfn.CONCAT(R164,"…",TEXT(P164,"+00;-00;+00;"),"...",TEXT(Q164,"+00;-00;+00;"))</f>
        <v>WWWWW…+12...+23</v>
      </c>
    </row>
    <row r="165" spans="1:32" x14ac:dyDescent="0.25">
      <c r="A165" s="12" t="s">
        <v>68</v>
      </c>
      <c r="B165" s="13" t="s">
        <v>59</v>
      </c>
      <c r="C165" s="14" t="s">
        <v>31</v>
      </c>
      <c r="D165" s="13" t="s">
        <v>85</v>
      </c>
      <c r="E165" s="13" t="s">
        <v>86</v>
      </c>
      <c r="F165" s="15" t="s">
        <v>29</v>
      </c>
      <c r="G165" s="15" t="s">
        <v>30</v>
      </c>
      <c r="H165" s="15" t="s">
        <v>30</v>
      </c>
      <c r="I165" s="15" t="s">
        <v>29</v>
      </c>
      <c r="J165" s="15" t="s">
        <v>29</v>
      </c>
      <c r="K165" s="15" t="s">
        <v>29</v>
      </c>
      <c r="L165" s="15" t="s">
        <v>30</v>
      </c>
      <c r="M165" s="15" t="s">
        <v>30</v>
      </c>
      <c r="N165" s="15" t="s">
        <v>31</v>
      </c>
      <c r="O165" s="15" t="s">
        <v>30</v>
      </c>
      <c r="P165" s="16">
        <v>1</v>
      </c>
      <c r="Q165" s="16">
        <v>-1</v>
      </c>
      <c r="R165" s="13" t="str">
        <f>_xlfn.CONCAT(F165,G165,H165,I165,J165)</f>
        <v>DWWDD</v>
      </c>
      <c r="S165" s="13" t="str">
        <f>_xlfn.CONCAT(K165,L165,M165,N165,O165)</f>
        <v>DWWLW</v>
      </c>
      <c r="T165" s="13" t="str">
        <f>_xlfn.CONCAT(R165,"***",S165)</f>
        <v>DWWDD***DWWLW</v>
      </c>
      <c r="U165" s="19">
        <f>(P165-Q165)</f>
        <v>2</v>
      </c>
      <c r="V165" s="14">
        <v>1</v>
      </c>
      <c r="W165" s="14">
        <v>0</v>
      </c>
      <c r="X165" s="20" t="str">
        <f>IF(ISBLANK(V165),"",IF(V165&gt;W165,"1",IF(V165&lt;W165,"2",IF(V165=W165,"X"))))</f>
        <v>1</v>
      </c>
      <c r="Y165" s="23" t="str">
        <f>COUNTIF(F165:J165, "W")&amp;COUNTIF(F165:J165, "d")&amp;COUNTIF(F165:J165, "l")</f>
        <v>230</v>
      </c>
      <c r="Z165" s="13" t="str">
        <f>COUNTIF(K165:O165, "W")&amp;COUNTIF(K165:O165, "d")&amp;COUNTIF(K165:O165, "l")</f>
        <v>311</v>
      </c>
      <c r="AA165" s="23" t="str">
        <f>_xlfn.CONCAT(Y165,"-",Z165)</f>
        <v>230-311</v>
      </c>
      <c r="AB165" s="15" t="str">
        <f>_xlfn.CONCAT(AA165,"…",TEXT(U165,"+00;-00;+00;"))</f>
        <v>230-311…+02</v>
      </c>
      <c r="AC165" s="23" t="str">
        <f>_xlfn.CONCAT(TEXT(P165,"+00;-00;+00;"),"…",TEXT(Q165,"+00;-00;+00;"))</f>
        <v>+01…-01</v>
      </c>
      <c r="AD165" s="14" t="str">
        <f>IF(X165="","?","")</f>
        <v/>
      </c>
      <c r="AE165" s="15" t="str">
        <f>_xlfn.CONCAT(AA165,"…",TEXT(P165,"+00;-00;+00;"),"...",TEXT(Q165,"+00;-00;+00;"))</f>
        <v>230-311…+01...-01</v>
      </c>
      <c r="AF165" s="13" t="str">
        <f>_xlfn.CONCAT(R165,"…",TEXT(P165,"+00;-00;+00;"),"...",TEXT(Q165,"+00;-00;+00;"))</f>
        <v>DWWDD…+01...-01</v>
      </c>
    </row>
    <row r="166" spans="1:32" x14ac:dyDescent="0.25">
      <c r="A166" s="12" t="s">
        <v>343</v>
      </c>
      <c r="B166" s="13" t="s">
        <v>339</v>
      </c>
      <c r="C166" s="14">
        <v>1</v>
      </c>
      <c r="D166" s="13" t="s">
        <v>360</v>
      </c>
      <c r="E166" s="13" t="s">
        <v>361</v>
      </c>
      <c r="F166" s="15" t="s">
        <v>31</v>
      </c>
      <c r="G166" s="15" t="s">
        <v>29</v>
      </c>
      <c r="H166" s="15" t="s">
        <v>31</v>
      </c>
      <c r="I166" s="15" t="s">
        <v>29</v>
      </c>
      <c r="J166" s="15" t="s">
        <v>30</v>
      </c>
      <c r="K166" s="15" t="s">
        <v>30</v>
      </c>
      <c r="L166" s="15" t="s">
        <v>30</v>
      </c>
      <c r="M166" s="15" t="s">
        <v>31</v>
      </c>
      <c r="N166" s="15" t="s">
        <v>30</v>
      </c>
      <c r="O166" s="15" t="s">
        <v>31</v>
      </c>
      <c r="P166" s="16">
        <v>-8</v>
      </c>
      <c r="Q166" s="16">
        <v>-10</v>
      </c>
      <c r="R166" s="13" t="str">
        <f>_xlfn.CONCAT(F166,G166,H166,I166,J166)</f>
        <v>LDLDW</v>
      </c>
      <c r="S166" s="13" t="str">
        <f>_xlfn.CONCAT(K166,L166,M166,N166,O166)</f>
        <v>WWLWL</v>
      </c>
      <c r="T166" s="13" t="str">
        <f>_xlfn.CONCAT(R166,"***",S166)</f>
        <v>LDLDW***WWLWL</v>
      </c>
      <c r="U166" s="19">
        <f>(P166-Q166)</f>
        <v>2</v>
      </c>
      <c r="V166" s="14">
        <v>4</v>
      </c>
      <c r="W166" s="14">
        <v>1</v>
      </c>
      <c r="X166" s="20" t="str">
        <f>IF(ISBLANK(V166),"",IF(V166&gt;W166,"1",IF(V166&lt;W166,"2",IF(V166=W166,"X"))))</f>
        <v>1</v>
      </c>
      <c r="Y166" s="23" t="str">
        <f>COUNTIF(F166:J166, "W")&amp;COUNTIF(F166:J166, "d")&amp;COUNTIF(F166:J166, "l")</f>
        <v>122</v>
      </c>
      <c r="Z166" s="13" t="str">
        <f>COUNTIF(K166:O166, "W")&amp;COUNTIF(K166:O166, "d")&amp;COUNTIF(K166:O166, "l")</f>
        <v>302</v>
      </c>
      <c r="AA166" s="23" t="str">
        <f>_xlfn.CONCAT(Y166,"-",Z166)</f>
        <v>122-302</v>
      </c>
      <c r="AB166" s="15" t="str">
        <f>_xlfn.CONCAT(AA166,"…",TEXT(U166,"+00;-00;+00;"))</f>
        <v>122-302…+02</v>
      </c>
      <c r="AC166" s="23" t="str">
        <f>_xlfn.CONCAT(TEXT(P166,"+00;-00;+00;"),"…",TEXT(Q166,"+00;-00;+00;"))</f>
        <v>-08…-10</v>
      </c>
      <c r="AD166" s="14" t="str">
        <f>IF(X166="","?","")</f>
        <v/>
      </c>
      <c r="AE166" s="15" t="str">
        <f>_xlfn.CONCAT(AA166,"…",TEXT(P166,"+00;-00;+00;"),"...",TEXT(Q166,"+00;-00;+00;"))</f>
        <v>122-302…-08...-10</v>
      </c>
      <c r="AF166" s="13" t="str">
        <f>_xlfn.CONCAT(R166,"…",TEXT(P166,"+00;-00;+00;"),"...",TEXT(Q166,"+00;-00;+00;"))</f>
        <v>LDLDW…-08...-10</v>
      </c>
    </row>
    <row r="167" spans="1:32" x14ac:dyDescent="0.25">
      <c r="A167" s="12" t="s">
        <v>343</v>
      </c>
      <c r="B167" s="13" t="s">
        <v>339</v>
      </c>
      <c r="C167" s="14">
        <v>1</v>
      </c>
      <c r="D167" s="13" t="s">
        <v>362</v>
      </c>
      <c r="E167" s="13" t="s">
        <v>363</v>
      </c>
      <c r="F167" s="15" t="s">
        <v>31</v>
      </c>
      <c r="G167" s="15" t="s">
        <v>29</v>
      </c>
      <c r="H167" s="15" t="s">
        <v>30</v>
      </c>
      <c r="I167" s="15" t="s">
        <v>31</v>
      </c>
      <c r="J167" s="15" t="s">
        <v>30</v>
      </c>
      <c r="K167" s="15" t="s">
        <v>30</v>
      </c>
      <c r="L167" s="15" t="s">
        <v>30</v>
      </c>
      <c r="M167" s="15" t="s">
        <v>29</v>
      </c>
      <c r="N167" s="15" t="s">
        <v>30</v>
      </c>
      <c r="O167" s="15" t="s">
        <v>31</v>
      </c>
      <c r="P167" s="16">
        <v>-4</v>
      </c>
      <c r="Q167" s="16">
        <v>7</v>
      </c>
      <c r="R167" s="13" t="str">
        <f>_xlfn.CONCAT(F167,G167,H167,I167,J167)</f>
        <v>LDWLW</v>
      </c>
      <c r="S167" s="13" t="str">
        <f>_xlfn.CONCAT(K167,L167,M167,N167,O167)</f>
        <v>WWDWL</v>
      </c>
      <c r="T167" s="13" t="str">
        <f>_xlfn.CONCAT(R167,"***",S167)</f>
        <v>LDWLW***WWDWL</v>
      </c>
      <c r="U167" s="19">
        <f>(P167-Q167)</f>
        <v>-11</v>
      </c>
      <c r="V167" s="14">
        <v>3</v>
      </c>
      <c r="W167" s="14">
        <v>3</v>
      </c>
      <c r="X167" s="20" t="str">
        <f>IF(ISBLANK(V167),"",IF(V167&gt;W167,"1",IF(V167&lt;W167,"2",IF(V167=W167,"X"))))</f>
        <v>X</v>
      </c>
      <c r="Y167" s="23" t="str">
        <f>COUNTIF(F167:J167, "W")&amp;COUNTIF(F167:J167, "d")&amp;COUNTIF(F167:J167, "l")</f>
        <v>212</v>
      </c>
      <c r="Z167" s="13" t="str">
        <f>COUNTIF(K167:O167, "W")&amp;COUNTIF(K167:O167, "d")&amp;COUNTIF(K167:O167, "l")</f>
        <v>311</v>
      </c>
      <c r="AA167" s="23" t="str">
        <f>_xlfn.CONCAT(Y167,"-",Z167)</f>
        <v>212-311</v>
      </c>
      <c r="AB167" s="15" t="str">
        <f>_xlfn.CONCAT(AA167,"…",TEXT(U167,"+00;-00;+00;"))</f>
        <v>212-311…-11</v>
      </c>
      <c r="AC167" s="23" t="str">
        <f>_xlfn.CONCAT(TEXT(P167,"+00;-00;+00;"),"…",TEXT(Q167,"+00;-00;+00;"))</f>
        <v>-04…+07</v>
      </c>
      <c r="AD167" s="14" t="str">
        <f>IF(X167="","?","")</f>
        <v/>
      </c>
      <c r="AE167" s="15" t="str">
        <f>_xlfn.CONCAT(AA167,"…",TEXT(P167,"+00;-00;+00;"),"...",TEXT(Q167,"+00;-00;+00;"))</f>
        <v>212-311…-04...+07</v>
      </c>
      <c r="AF167" s="13" t="str">
        <f>_xlfn.CONCAT(R167,"…",TEXT(P167,"+00;-00;+00;"),"...",TEXT(Q167,"+00;-00;+00;"))</f>
        <v>LDWLW…-04...+07</v>
      </c>
    </row>
    <row r="168" spans="1:32" x14ac:dyDescent="0.25">
      <c r="A168" s="12" t="s">
        <v>124</v>
      </c>
      <c r="B168" s="13" t="s">
        <v>117</v>
      </c>
      <c r="C168" s="14" t="s">
        <v>0</v>
      </c>
      <c r="D168" s="13" t="s">
        <v>142</v>
      </c>
      <c r="E168" s="13" t="s">
        <v>143</v>
      </c>
      <c r="F168" s="15" t="s">
        <v>31</v>
      </c>
      <c r="G168" s="15" t="s">
        <v>31</v>
      </c>
      <c r="H168" s="15" t="s">
        <v>31</v>
      </c>
      <c r="I168" s="15" t="s">
        <v>31</v>
      </c>
      <c r="J168" s="15" t="s">
        <v>31</v>
      </c>
      <c r="K168" s="15" t="s">
        <v>29</v>
      </c>
      <c r="L168" s="15" t="s">
        <v>31</v>
      </c>
      <c r="M168" s="15" t="s">
        <v>31</v>
      </c>
      <c r="N168" s="15" t="s">
        <v>29</v>
      </c>
      <c r="O168" s="15" t="s">
        <v>29</v>
      </c>
      <c r="P168" s="16">
        <v>-9</v>
      </c>
      <c r="Q168" s="16">
        <v>-3</v>
      </c>
      <c r="R168" s="13" t="str">
        <f>_xlfn.CONCAT(F168,G168,H168,I168,J168)</f>
        <v>LLLLL</v>
      </c>
      <c r="S168" s="13" t="str">
        <f>_xlfn.CONCAT(K168,L168,M168,N168,O168)</f>
        <v>DLLDD</v>
      </c>
      <c r="T168" s="13" t="str">
        <f>_xlfn.CONCAT(R168,"***",S168)</f>
        <v>LLLLL***DLLDD</v>
      </c>
      <c r="U168" s="19">
        <f>(P168-Q168)</f>
        <v>-6</v>
      </c>
      <c r="V168" s="14">
        <v>2</v>
      </c>
      <c r="W168" s="14">
        <v>2</v>
      </c>
      <c r="X168" s="20" t="str">
        <f>IF(ISBLANK(V168),"",IF(V168&gt;W168,"1",IF(V168&lt;W168,"2",IF(V168=W168,"X"))))</f>
        <v>X</v>
      </c>
      <c r="Y168" s="23" t="str">
        <f>COUNTIF(F168:J168, "W")&amp;COUNTIF(F168:J168, "d")&amp;COUNTIF(F168:J168, "l")</f>
        <v>005</v>
      </c>
      <c r="Z168" s="13" t="str">
        <f>COUNTIF(K168:O168, "W")&amp;COUNTIF(K168:O168, "d")&amp;COUNTIF(K168:O168, "l")</f>
        <v>032</v>
      </c>
      <c r="AA168" s="23" t="str">
        <f>_xlfn.CONCAT(Y168,"-",Z168)</f>
        <v>005-032</v>
      </c>
      <c r="AB168" s="15" t="str">
        <f>_xlfn.CONCAT(AA168,"…",TEXT(U168,"+00;-00;+00;"))</f>
        <v>005-032…-06</v>
      </c>
      <c r="AC168" s="23" t="str">
        <f>_xlfn.CONCAT(TEXT(P168,"+00;-00;+00;"),"…",TEXT(Q168,"+00;-00;+00;"))</f>
        <v>-09…-03</v>
      </c>
      <c r="AD168" s="14" t="str">
        <f>IF(X168="","?","")</f>
        <v/>
      </c>
      <c r="AE168" s="15" t="str">
        <f>_xlfn.CONCAT(AA168,"…",TEXT(P168,"+00;-00;+00;"),"...",TEXT(Q168,"+00;-00;+00;"))</f>
        <v>005-032…-09...-03</v>
      </c>
      <c r="AF168" s="13" t="str">
        <f>_xlfn.CONCAT(R168,"…",TEXT(P168,"+00;-00;+00;"),"...",TEXT(Q168,"+00;-00;+00;"))</f>
        <v>LLLLL…-09...-03</v>
      </c>
    </row>
    <row r="169" spans="1:32" x14ac:dyDescent="0.25">
      <c r="A169" s="12" t="s">
        <v>366</v>
      </c>
      <c r="B169" s="13" t="s">
        <v>364</v>
      </c>
      <c r="C169" s="14">
        <v>1</v>
      </c>
      <c r="D169" s="13" t="s">
        <v>377</v>
      </c>
      <c r="E169" s="13" t="s">
        <v>378</v>
      </c>
      <c r="F169" s="15" t="s">
        <v>29</v>
      </c>
      <c r="G169" s="15" t="s">
        <v>31</v>
      </c>
      <c r="H169" s="15" t="s">
        <v>29</v>
      </c>
      <c r="I169" s="15" t="s">
        <v>30</v>
      </c>
      <c r="J169" s="15" t="s">
        <v>30</v>
      </c>
      <c r="K169" s="15" t="s">
        <v>30</v>
      </c>
      <c r="L169" s="15" t="s">
        <v>30</v>
      </c>
      <c r="M169" s="15" t="s">
        <v>30</v>
      </c>
      <c r="N169" s="15" t="s">
        <v>30</v>
      </c>
      <c r="O169" s="15" t="s">
        <v>29</v>
      </c>
      <c r="P169" s="16">
        <v>12</v>
      </c>
      <c r="Q169" s="16">
        <v>7</v>
      </c>
      <c r="R169" s="13" t="str">
        <f>_xlfn.CONCAT(F169,G169,H169,I169,J169)</f>
        <v>DLDWW</v>
      </c>
      <c r="S169" s="13" t="str">
        <f>_xlfn.CONCAT(K169,L169,M169,N169,O169)</f>
        <v>WWWWD</v>
      </c>
      <c r="T169" s="13" t="str">
        <f>_xlfn.CONCAT(R169,"***",S169)</f>
        <v>DLDWW***WWWWD</v>
      </c>
      <c r="U169" s="19">
        <f>(P169-Q169)</f>
        <v>5</v>
      </c>
      <c r="V169" s="14">
        <v>1</v>
      </c>
      <c r="W169" s="14">
        <v>4</v>
      </c>
      <c r="X169" s="20" t="str">
        <f>IF(ISBLANK(V169),"",IF(V169&gt;W169,"1",IF(V169&lt;W169,"2",IF(V169=W169,"X"))))</f>
        <v>2</v>
      </c>
      <c r="Y169" s="23" t="str">
        <f>COUNTIF(F169:J169, "W")&amp;COUNTIF(F169:J169, "d")&amp;COUNTIF(F169:J169, "l")</f>
        <v>221</v>
      </c>
      <c r="Z169" s="13" t="str">
        <f>COUNTIF(K169:O169, "W")&amp;COUNTIF(K169:O169, "d")&amp;COUNTIF(K169:O169, "l")</f>
        <v>410</v>
      </c>
      <c r="AA169" s="23" t="str">
        <f>_xlfn.CONCAT(Y169,"-",Z169)</f>
        <v>221-410</v>
      </c>
      <c r="AB169" s="15" t="str">
        <f>_xlfn.CONCAT(AA169,"…",TEXT(U169,"+00;-00;+00;"))</f>
        <v>221-410…+05</v>
      </c>
      <c r="AC169" s="23" t="str">
        <f>_xlfn.CONCAT(TEXT(P169,"+00;-00;+00;"),"…",TEXT(Q169,"+00;-00;+00;"))</f>
        <v>+12…+07</v>
      </c>
      <c r="AD169" s="14" t="str">
        <f>IF(X169="","?","")</f>
        <v/>
      </c>
      <c r="AE169" s="15" t="str">
        <f>_xlfn.CONCAT(AA169,"…",TEXT(P169,"+00;-00;+00;"),"...",TEXT(Q169,"+00;-00;+00;"))</f>
        <v>221-410…+12...+07</v>
      </c>
      <c r="AF169" s="13" t="str">
        <f>_xlfn.CONCAT(R169,"…",TEXT(P169,"+00;-00;+00;"),"...",TEXT(Q169,"+00;-00;+00;"))</f>
        <v>DLDWW…+12...+07</v>
      </c>
    </row>
    <row r="170" spans="1:32" x14ac:dyDescent="0.25">
      <c r="A170" s="12" t="s">
        <v>125</v>
      </c>
      <c r="B170" s="13" t="s">
        <v>117</v>
      </c>
      <c r="C170" s="14" t="s">
        <v>0</v>
      </c>
      <c r="D170" s="13" t="s">
        <v>144</v>
      </c>
      <c r="E170" s="13" t="s">
        <v>145</v>
      </c>
      <c r="F170" s="15" t="s">
        <v>31</v>
      </c>
      <c r="G170" s="15" t="s">
        <v>30</v>
      </c>
      <c r="H170" s="15" t="s">
        <v>29</v>
      </c>
      <c r="I170" s="15" t="s">
        <v>30</v>
      </c>
      <c r="J170" s="15" t="s">
        <v>29</v>
      </c>
      <c r="K170" s="15" t="s">
        <v>29</v>
      </c>
      <c r="L170" s="15" t="s">
        <v>30</v>
      </c>
      <c r="M170" s="15" t="s">
        <v>30</v>
      </c>
      <c r="N170" s="15" t="s">
        <v>31</v>
      </c>
      <c r="O170" s="15" t="s">
        <v>31</v>
      </c>
      <c r="P170" s="16">
        <v>3</v>
      </c>
      <c r="Q170" s="16">
        <v>-4</v>
      </c>
      <c r="R170" s="13" t="str">
        <f>_xlfn.CONCAT(F170,G170,H170,I170,J170)</f>
        <v>LWDWD</v>
      </c>
      <c r="S170" s="13" t="str">
        <f>_xlfn.CONCAT(K170,L170,M170,N170,O170)</f>
        <v>DWWLL</v>
      </c>
      <c r="T170" s="13" t="str">
        <f>_xlfn.CONCAT(R170,"***",S170)</f>
        <v>LWDWD***DWWLL</v>
      </c>
      <c r="U170" s="19">
        <f>(P170-Q170)</f>
        <v>7</v>
      </c>
      <c r="V170" s="14">
        <v>2</v>
      </c>
      <c r="W170" s="14">
        <v>0</v>
      </c>
      <c r="X170" s="20" t="str">
        <f>IF(ISBLANK(V170),"",IF(V170&gt;W170,"1",IF(V170&lt;W170,"2",IF(V170=W170,"X"))))</f>
        <v>1</v>
      </c>
      <c r="Y170" s="23" t="str">
        <f>COUNTIF(F170:J170, "W")&amp;COUNTIF(F170:J170, "d")&amp;COUNTIF(F170:J170, "l")</f>
        <v>221</v>
      </c>
      <c r="Z170" s="13" t="str">
        <f>COUNTIF(K170:O170, "W")&amp;COUNTIF(K170:O170, "d")&amp;COUNTIF(K170:O170, "l")</f>
        <v>212</v>
      </c>
      <c r="AA170" s="23" t="str">
        <f>_xlfn.CONCAT(Y170,"-",Z170)</f>
        <v>221-212</v>
      </c>
      <c r="AB170" s="15" t="str">
        <f>_xlfn.CONCAT(AA170,"…",TEXT(U170,"+00;-00;+00;"))</f>
        <v>221-212…+07</v>
      </c>
      <c r="AC170" s="23" t="str">
        <f>_xlfn.CONCAT(TEXT(P170,"+00;-00;+00;"),"…",TEXT(Q170,"+00;-00;+00;"))</f>
        <v>+03…-04</v>
      </c>
      <c r="AD170" s="14" t="str">
        <f>IF(X170="","?","")</f>
        <v/>
      </c>
      <c r="AE170" s="15" t="str">
        <f>_xlfn.CONCAT(AA170,"…",TEXT(P170,"+00;-00;+00;"),"...",TEXT(Q170,"+00;-00;+00;"))</f>
        <v>221-212…+03...-04</v>
      </c>
      <c r="AF170" s="13" t="str">
        <f>_xlfn.CONCAT(R170,"…",TEXT(P170,"+00;-00;+00;"),"...",TEXT(Q170,"+00;-00;+00;"))</f>
        <v>LWDWD…+03...-04</v>
      </c>
    </row>
    <row r="171" spans="1:32" x14ac:dyDescent="0.25">
      <c r="A171" s="12" t="s">
        <v>125</v>
      </c>
      <c r="B171" s="13" t="s">
        <v>167</v>
      </c>
      <c r="C171" s="14">
        <v>2</v>
      </c>
      <c r="D171" s="13" t="s">
        <v>206</v>
      </c>
      <c r="E171" s="13" t="s">
        <v>207</v>
      </c>
      <c r="F171" s="15" t="s">
        <v>29</v>
      </c>
      <c r="G171" s="15" t="s">
        <v>30</v>
      </c>
      <c r="H171" s="15" t="s">
        <v>31</v>
      </c>
      <c r="I171" s="15" t="s">
        <v>30</v>
      </c>
      <c r="J171" s="15" t="s">
        <v>30</v>
      </c>
      <c r="K171" s="15" t="s">
        <v>29</v>
      </c>
      <c r="L171" s="15" t="s">
        <v>31</v>
      </c>
      <c r="M171" s="15" t="s">
        <v>29</v>
      </c>
      <c r="N171" s="15" t="s">
        <v>29</v>
      </c>
      <c r="O171" s="15" t="s">
        <v>31</v>
      </c>
      <c r="P171" s="16">
        <v>9</v>
      </c>
      <c r="Q171" s="16">
        <v>2</v>
      </c>
      <c r="R171" s="13" t="str">
        <f>_xlfn.CONCAT(F171,G171,H171,I171,J171)</f>
        <v>DWLWW</v>
      </c>
      <c r="S171" s="13" t="str">
        <f>_xlfn.CONCAT(K171,L171,M171,N171,O171)</f>
        <v>DLDDL</v>
      </c>
      <c r="T171" s="13" t="str">
        <f>_xlfn.CONCAT(R171,"***",S171)</f>
        <v>DWLWW***DLDDL</v>
      </c>
      <c r="U171" s="19">
        <f>(P171-Q171)</f>
        <v>7</v>
      </c>
      <c r="V171" s="14">
        <v>3</v>
      </c>
      <c r="W171" s="14">
        <v>0</v>
      </c>
      <c r="X171" s="20" t="str">
        <f>IF(ISBLANK(V171),"",IF(V171&gt;W171,"1",IF(V171&lt;W171,"2",IF(V171=W171,"X"))))</f>
        <v>1</v>
      </c>
      <c r="Y171" s="23" t="str">
        <f>COUNTIF(F171:J171, "W")&amp;COUNTIF(F171:J171, "d")&amp;COUNTIF(F171:J171, "l")</f>
        <v>311</v>
      </c>
      <c r="Z171" s="13" t="str">
        <f>COUNTIF(K171:O171, "W")&amp;COUNTIF(K171:O171, "d")&amp;COUNTIF(K171:O171, "l")</f>
        <v>032</v>
      </c>
      <c r="AA171" s="23" t="str">
        <f>_xlfn.CONCAT(Y171,"-",Z171)</f>
        <v>311-032</v>
      </c>
      <c r="AB171" s="15" t="str">
        <f>_xlfn.CONCAT(AA171,"…",TEXT(U171,"+00;-00;+00;"))</f>
        <v>311-032…+07</v>
      </c>
      <c r="AC171" s="23" t="str">
        <f>_xlfn.CONCAT(TEXT(P171,"+00;-00;+00;"),"…",TEXT(Q171,"+00;-00;+00;"))</f>
        <v>+09…+02</v>
      </c>
      <c r="AD171" s="14" t="str">
        <f>IF(X171="","?","")</f>
        <v/>
      </c>
      <c r="AE171" s="15" t="str">
        <f>_xlfn.CONCAT(AA171,"…",TEXT(P171,"+00;-00;+00;"),"...",TEXT(Q171,"+00;-00;+00;"))</f>
        <v>311-032…+09...+02</v>
      </c>
      <c r="AF171" s="13" t="str">
        <f>_xlfn.CONCAT(R171,"…",TEXT(P171,"+00;-00;+00;"),"...",TEXT(Q171,"+00;-00;+00;"))</f>
        <v>DWLWW…+09...+02</v>
      </c>
    </row>
    <row r="172" spans="1:32" x14ac:dyDescent="0.25">
      <c r="A172" s="12" t="s">
        <v>6</v>
      </c>
      <c r="B172" s="13" t="s">
        <v>7</v>
      </c>
      <c r="C172" s="14" t="s">
        <v>8</v>
      </c>
      <c r="D172" s="13" t="s">
        <v>18</v>
      </c>
      <c r="E172" s="13" t="s">
        <v>28</v>
      </c>
      <c r="F172" s="15" t="s">
        <v>31</v>
      </c>
      <c r="G172" s="15" t="s">
        <v>31</v>
      </c>
      <c r="H172" s="15" t="s">
        <v>29</v>
      </c>
      <c r="I172" s="15" t="s">
        <v>31</v>
      </c>
      <c r="J172" s="15" t="s">
        <v>30</v>
      </c>
      <c r="K172" s="15" t="s">
        <v>30</v>
      </c>
      <c r="L172" s="15" t="s">
        <v>31</v>
      </c>
      <c r="M172" s="15" t="s">
        <v>29</v>
      </c>
      <c r="N172" s="15" t="s">
        <v>30</v>
      </c>
      <c r="O172" s="15" t="s">
        <v>29</v>
      </c>
      <c r="P172" s="16">
        <v>-10</v>
      </c>
      <c r="Q172" s="16">
        <v>-4</v>
      </c>
      <c r="R172" s="13" t="str">
        <f>_xlfn.CONCAT(F172,G172,H172,I172,J172)</f>
        <v>LLDLW</v>
      </c>
      <c r="S172" s="13" t="str">
        <f>_xlfn.CONCAT(K172,L172,M172,N172,O172)</f>
        <v>WLDWD</v>
      </c>
      <c r="T172" s="13" t="str">
        <f>_xlfn.CONCAT(R172,"***",S172)</f>
        <v>LLDLW***WLDWD</v>
      </c>
      <c r="U172" s="19">
        <f>(P172-Q172)</f>
        <v>-6</v>
      </c>
      <c r="V172" s="14">
        <v>3</v>
      </c>
      <c r="W172" s="14">
        <v>2</v>
      </c>
      <c r="X172" s="20" t="str">
        <f>IF(ISBLANK(V172),"",IF(V172&gt;W172,"1",IF(V172&lt;W172,"2",IF(V172=W172,"X"))))</f>
        <v>1</v>
      </c>
      <c r="Y172" s="23" t="str">
        <f>COUNTIF(F172:J172, "W")&amp;COUNTIF(F172:J172, "d")&amp;COUNTIF(F172:J172, "l")</f>
        <v>113</v>
      </c>
      <c r="Z172" s="13" t="str">
        <f>COUNTIF(K172:O172, "W")&amp;COUNTIF(K172:O172, "d")&amp;COUNTIF(K172:O172, "l")</f>
        <v>221</v>
      </c>
      <c r="AA172" s="23" t="str">
        <f>_xlfn.CONCAT(Y172,"-",Z172)</f>
        <v>113-221</v>
      </c>
      <c r="AB172" s="15" t="str">
        <f>_xlfn.CONCAT(AA172,"…",TEXT(U172,"+00;-00;+00;"))</f>
        <v>113-221…-06</v>
      </c>
      <c r="AC172" s="23" t="str">
        <f>_xlfn.CONCAT(TEXT(P172,"+00;-00;+00;"),"…",TEXT(Q172,"+00;-00;+00;"))</f>
        <v>-10…-04</v>
      </c>
      <c r="AD172" s="14" t="str">
        <f>IF(X172="","?","")</f>
        <v/>
      </c>
      <c r="AE172" s="15" t="str">
        <f>_xlfn.CONCAT(AA172,"…",TEXT(P172,"+00;-00;+00;"),"...",TEXT(Q172,"+00;-00;+00;"))</f>
        <v>113-221…-10...-04</v>
      </c>
      <c r="AF172" s="13" t="str">
        <f>_xlfn.CONCAT(R172,"…",TEXT(P172,"+00;-00;+00;"),"...",TEXT(Q172,"+00;-00;+00;"))</f>
        <v>LLDLW…-10...-04</v>
      </c>
    </row>
    <row r="173" spans="1:32" s="8" customFormat="1" x14ac:dyDescent="0.25">
      <c r="A173" s="12" t="s">
        <v>6</v>
      </c>
      <c r="B173" s="13" t="s">
        <v>59</v>
      </c>
      <c r="C173" s="14" t="s">
        <v>31</v>
      </c>
      <c r="D173" s="13" t="s">
        <v>83</v>
      </c>
      <c r="E173" s="13" t="s">
        <v>84</v>
      </c>
      <c r="F173" s="15" t="s">
        <v>30</v>
      </c>
      <c r="G173" s="15" t="s">
        <v>30</v>
      </c>
      <c r="H173" s="15" t="s">
        <v>30</v>
      </c>
      <c r="I173" s="15" t="s">
        <v>30</v>
      </c>
      <c r="J173" s="15" t="s">
        <v>30</v>
      </c>
      <c r="K173" s="15" t="s">
        <v>30</v>
      </c>
      <c r="L173" s="15" t="s">
        <v>30</v>
      </c>
      <c r="M173" s="15" t="s">
        <v>29</v>
      </c>
      <c r="N173" s="15" t="s">
        <v>31</v>
      </c>
      <c r="O173" s="15" t="s">
        <v>30</v>
      </c>
      <c r="P173" s="16">
        <v>15</v>
      </c>
      <c r="Q173" s="16">
        <v>8</v>
      </c>
      <c r="R173" s="13" t="str">
        <f>_xlfn.CONCAT(F173,G173,H173,I173,J173)</f>
        <v>WWWWW</v>
      </c>
      <c r="S173" s="13" t="str">
        <f>_xlfn.CONCAT(K173,L173,M173,N173,O173)</f>
        <v>WWDLW</v>
      </c>
      <c r="T173" s="13" t="str">
        <f>_xlfn.CONCAT(R173,"***",S173)</f>
        <v>WWWWW***WWDLW</v>
      </c>
      <c r="U173" s="19">
        <f>(P173-Q173)</f>
        <v>7</v>
      </c>
      <c r="V173" s="14">
        <v>1</v>
      </c>
      <c r="W173" s="14">
        <v>1</v>
      </c>
      <c r="X173" s="20" t="str">
        <f>IF(ISBLANK(V173),"",IF(V173&gt;W173,"1",IF(V173&lt;W173,"2",IF(V173=W173,"X"))))</f>
        <v>X</v>
      </c>
      <c r="Y173" s="23" t="str">
        <f>COUNTIF(F173:J173, "W")&amp;COUNTIF(F173:J173, "d")&amp;COUNTIF(F173:J173, "l")</f>
        <v>500</v>
      </c>
      <c r="Z173" s="13" t="str">
        <f>COUNTIF(K173:O173, "W")&amp;COUNTIF(K173:O173, "d")&amp;COUNTIF(K173:O173, "l")</f>
        <v>311</v>
      </c>
      <c r="AA173" s="23" t="str">
        <f>_xlfn.CONCAT(Y173,"-",Z173)</f>
        <v>500-311</v>
      </c>
      <c r="AB173" s="15" t="str">
        <f>_xlfn.CONCAT(AA173,"…",TEXT(U173,"+00;-00;+00;"))</f>
        <v>500-311…+07</v>
      </c>
      <c r="AC173" s="23" t="str">
        <f>_xlfn.CONCAT(TEXT(P173,"+00;-00;+00;"),"…",TEXT(Q173,"+00;-00;+00;"))</f>
        <v>+15…+08</v>
      </c>
      <c r="AD173" s="14" t="str">
        <f>IF(X173="","?","")</f>
        <v/>
      </c>
      <c r="AE173" s="15" t="str">
        <f>_xlfn.CONCAT(AA173,"…",TEXT(P173,"+00;-00;+00;"),"...",TEXT(Q173,"+00;-00;+00;"))</f>
        <v>500-311…+15...+08</v>
      </c>
      <c r="AF173" s="13" t="str">
        <f>_xlfn.CONCAT(R173,"…",TEXT(P173,"+00;-00;+00;"),"...",TEXT(Q173,"+00;-00;+00;"))</f>
        <v>WWWWW…+15...+08</v>
      </c>
    </row>
    <row r="174" spans="1:32" s="8" customFormat="1" x14ac:dyDescent="0.25">
      <c r="A174" s="12" t="s">
        <v>644</v>
      </c>
      <c r="B174" s="13" t="s">
        <v>117</v>
      </c>
      <c r="C174" s="14" t="s">
        <v>33</v>
      </c>
      <c r="D174" s="13" t="s">
        <v>645</v>
      </c>
      <c r="E174" s="13" t="s">
        <v>646</v>
      </c>
      <c r="F174" s="15" t="s">
        <v>31</v>
      </c>
      <c r="G174" s="15" t="s">
        <v>31</v>
      </c>
      <c r="H174" s="15" t="s">
        <v>31</v>
      </c>
      <c r="I174" s="15" t="s">
        <v>30</v>
      </c>
      <c r="J174" s="15" t="s">
        <v>30</v>
      </c>
      <c r="K174" s="15" t="s">
        <v>29</v>
      </c>
      <c r="L174" s="15" t="s">
        <v>31</v>
      </c>
      <c r="M174" s="15" t="s">
        <v>31</v>
      </c>
      <c r="N174" s="15" t="s">
        <v>31</v>
      </c>
      <c r="O174" s="15" t="s">
        <v>31</v>
      </c>
      <c r="P174" s="16">
        <v>1</v>
      </c>
      <c r="Q174" s="16">
        <v>-3</v>
      </c>
      <c r="R174" s="13" t="str">
        <f>_xlfn.CONCAT(F174,G174,H174,I174,J174)</f>
        <v>LLLWW</v>
      </c>
      <c r="S174" s="13" t="str">
        <f>_xlfn.CONCAT(K174,L174,M174,N174,O174)</f>
        <v>DLLLL</v>
      </c>
      <c r="T174" s="13" t="str">
        <f>_xlfn.CONCAT(R174,"***",S174)</f>
        <v>LLLWW***DLLLL</v>
      </c>
      <c r="U174" s="19">
        <f>(P174-Q174)</f>
        <v>4</v>
      </c>
      <c r="V174" s="14">
        <v>1</v>
      </c>
      <c r="W174" s="14">
        <v>1</v>
      </c>
      <c r="X174" s="20" t="str">
        <f>IF(ISBLANK(V174),"",IF(V174&gt;W174,"1",IF(V174&lt;W174,"2",IF(V174=W174,"X"))))</f>
        <v>X</v>
      </c>
      <c r="Y174" s="23" t="str">
        <f>COUNTIF(F174:J174, "W")&amp;COUNTIF(F174:J174, "d")&amp;COUNTIF(F174:J174, "l")</f>
        <v>203</v>
      </c>
      <c r="Z174" s="13" t="str">
        <f>COUNTIF(K174:O174, "W")&amp;COUNTIF(K174:O174, "d")&amp;COUNTIF(K174:O174, "l")</f>
        <v>014</v>
      </c>
      <c r="AA174" s="23" t="str">
        <f>_xlfn.CONCAT(Y174,"-",Z174)</f>
        <v>203-014</v>
      </c>
      <c r="AB174" s="15" t="str">
        <f>_xlfn.CONCAT(AA174,"…",TEXT(U174,"+00;-00;+00;"))</f>
        <v>203-014…+04</v>
      </c>
      <c r="AC174" s="23" t="str">
        <f>_xlfn.CONCAT(TEXT(P174,"+00;-00;+00;"),"…",TEXT(Q174,"+00;-00;+00;"))</f>
        <v>+01…-03</v>
      </c>
      <c r="AD174" s="14" t="str">
        <f>IF(X174="","?","")</f>
        <v/>
      </c>
      <c r="AE174" s="15" t="str">
        <f>_xlfn.CONCAT(AA174,"…",TEXT(P174,"+00;-00;+00;"),"...",TEXT(Q174,"+00;-00;+00;"))</f>
        <v>203-014…+01...-03</v>
      </c>
      <c r="AF174" s="13" t="str">
        <f>_xlfn.CONCAT(R174,"…",TEXT(P174,"+00;-00;+00;"),"...",TEXT(Q174,"+00;-00;+00;"))</f>
        <v>LLLWW…+01...-03</v>
      </c>
    </row>
    <row r="175" spans="1:32" s="8" customFormat="1" x14ac:dyDescent="0.25">
      <c r="A175" s="12" t="s">
        <v>644</v>
      </c>
      <c r="B175" s="13" t="s">
        <v>117</v>
      </c>
      <c r="C175" s="14" t="s">
        <v>33</v>
      </c>
      <c r="D175" s="13" t="s">
        <v>153</v>
      </c>
      <c r="E175" s="13" t="s">
        <v>156</v>
      </c>
      <c r="F175" s="15" t="s">
        <v>30</v>
      </c>
      <c r="G175" s="15" t="s">
        <v>30</v>
      </c>
      <c r="H175" s="15" t="s">
        <v>29</v>
      </c>
      <c r="I175" s="15" t="s">
        <v>30</v>
      </c>
      <c r="J175" s="15" t="s">
        <v>31</v>
      </c>
      <c r="K175" s="15" t="s">
        <v>31</v>
      </c>
      <c r="L175" s="15" t="s">
        <v>30</v>
      </c>
      <c r="M175" s="15" t="s">
        <v>29</v>
      </c>
      <c r="N175" s="15" t="s">
        <v>29</v>
      </c>
      <c r="O175" s="15" t="s">
        <v>30</v>
      </c>
      <c r="P175" s="16">
        <v>3</v>
      </c>
      <c r="Q175" s="16">
        <v>-8</v>
      </c>
      <c r="R175" s="13" t="str">
        <f>_xlfn.CONCAT(F175,G175,H175,I175,J175)</f>
        <v>WWDWL</v>
      </c>
      <c r="S175" s="13" t="str">
        <f>_xlfn.CONCAT(K175,L175,M175,N175,O175)</f>
        <v>LWDDW</v>
      </c>
      <c r="T175" s="13" t="str">
        <f>_xlfn.CONCAT(R175,"***",S175)</f>
        <v>WWDWL***LWDDW</v>
      </c>
      <c r="U175" s="19">
        <f>(P175-Q175)</f>
        <v>11</v>
      </c>
      <c r="V175" s="14">
        <v>0</v>
      </c>
      <c r="W175" s="14">
        <v>0</v>
      </c>
      <c r="X175" s="20" t="str">
        <f>IF(ISBLANK(V175),"",IF(V175&gt;W175,"1",IF(V175&lt;W175,"2",IF(V175=W175,"X"))))</f>
        <v>X</v>
      </c>
      <c r="Y175" s="23" t="str">
        <f>COUNTIF(F175:J175, "W")&amp;COUNTIF(F175:J175, "d")&amp;COUNTIF(F175:J175, "l")</f>
        <v>311</v>
      </c>
      <c r="Z175" s="13" t="str">
        <f>COUNTIF(K175:O175, "W")&amp;COUNTIF(K175:O175, "d")&amp;COUNTIF(K175:O175, "l")</f>
        <v>221</v>
      </c>
      <c r="AA175" s="23" t="str">
        <f>_xlfn.CONCAT(Y175,"-",Z175)</f>
        <v>311-221</v>
      </c>
      <c r="AB175" s="15" t="str">
        <f>_xlfn.CONCAT(AA175,"…",TEXT(U175,"+00;-00;+00;"))</f>
        <v>311-221…+11</v>
      </c>
      <c r="AC175" s="23" t="str">
        <f>_xlfn.CONCAT(TEXT(P175,"+00;-00;+00;"),"…",TEXT(Q175,"+00;-00;+00;"))</f>
        <v>+03…-08</v>
      </c>
      <c r="AD175" s="14" t="str">
        <f>IF(X175="","?","")</f>
        <v/>
      </c>
      <c r="AE175" s="15" t="str">
        <f>_xlfn.CONCAT(AA175,"…",TEXT(P175,"+00;-00;+00;"),"...",TEXT(Q175,"+00;-00;+00;"))</f>
        <v>311-221…+03...-08</v>
      </c>
      <c r="AF175" s="13" t="str">
        <f>_xlfn.CONCAT(R175,"…",TEXT(P175,"+00;-00;+00;"),"...",TEXT(Q175,"+00;-00;+00;"))</f>
        <v>WWDWL…+03...-08</v>
      </c>
    </row>
    <row r="176" spans="1:32" x14ac:dyDescent="0.25">
      <c r="A176" s="12" t="s">
        <v>647</v>
      </c>
      <c r="B176" s="13" t="s">
        <v>167</v>
      </c>
      <c r="C176" s="14">
        <v>2</v>
      </c>
      <c r="D176" s="13" t="s">
        <v>648</v>
      </c>
      <c r="E176" s="13" t="s">
        <v>190</v>
      </c>
      <c r="F176" s="15" t="s">
        <v>29</v>
      </c>
      <c r="G176" s="15" t="s">
        <v>30</v>
      </c>
      <c r="H176" s="15" t="s">
        <v>30</v>
      </c>
      <c r="I176" s="15" t="s">
        <v>29</v>
      </c>
      <c r="J176" s="15" t="s">
        <v>30</v>
      </c>
      <c r="K176" s="15" t="s">
        <v>30</v>
      </c>
      <c r="L176" s="15" t="s">
        <v>29</v>
      </c>
      <c r="M176" s="15" t="s">
        <v>30</v>
      </c>
      <c r="N176" s="15" t="s">
        <v>31</v>
      </c>
      <c r="O176" s="15" t="s">
        <v>29</v>
      </c>
      <c r="P176" s="16">
        <v>-2</v>
      </c>
      <c r="Q176" s="16">
        <v>0</v>
      </c>
      <c r="R176" s="13" t="str">
        <f>_xlfn.CONCAT(F176,G176,H176,I176,J176)</f>
        <v>DWWDW</v>
      </c>
      <c r="S176" s="13" t="str">
        <f>_xlfn.CONCAT(K176,L176,M176,N176,O176)</f>
        <v>WDWLD</v>
      </c>
      <c r="T176" s="13" t="str">
        <f>_xlfn.CONCAT(R176,"***",S176)</f>
        <v>DWWDW***WDWLD</v>
      </c>
      <c r="U176" s="19">
        <f>(P176-Q176)</f>
        <v>-2</v>
      </c>
      <c r="V176" s="14">
        <v>1</v>
      </c>
      <c r="W176" s="14">
        <v>2</v>
      </c>
      <c r="X176" s="20" t="str">
        <f>IF(ISBLANK(V176),"",IF(V176&gt;W176,"1",IF(V176&lt;W176,"2",IF(V176=W176,"X"))))</f>
        <v>2</v>
      </c>
      <c r="Y176" s="23" t="str">
        <f>COUNTIF(F176:J176, "W")&amp;COUNTIF(F176:J176, "d")&amp;COUNTIF(F176:J176, "l")</f>
        <v>320</v>
      </c>
      <c r="Z176" s="13" t="str">
        <f>COUNTIF(K176:O176, "W")&amp;COUNTIF(K176:O176, "d")&amp;COUNTIF(K176:O176, "l")</f>
        <v>221</v>
      </c>
      <c r="AA176" s="23" t="str">
        <f>_xlfn.CONCAT(Y176,"-",Z176)</f>
        <v>320-221</v>
      </c>
      <c r="AB176" s="15" t="str">
        <f>_xlfn.CONCAT(AA176,"…",TEXT(U176,"+00;-00;+00;"))</f>
        <v>320-221…-02</v>
      </c>
      <c r="AC176" s="23" t="str">
        <f>_xlfn.CONCAT(TEXT(P176,"+00;-00;+00;"),"…",TEXT(Q176,"+00;-00;+00;"))</f>
        <v>-02…+00</v>
      </c>
      <c r="AD176" s="14" t="str">
        <f>IF(X176="","?","")</f>
        <v/>
      </c>
      <c r="AE176" s="15" t="str">
        <f>_xlfn.CONCAT(AA176,"…",TEXT(P176,"+00;-00;+00;"),"...",TEXT(Q176,"+00;-00;+00;"))</f>
        <v>320-221…-02...+00</v>
      </c>
      <c r="AF176" s="13" t="str">
        <f>_xlfn.CONCAT(R176,"…",TEXT(P176,"+00;-00;+00;"),"...",TEXT(Q176,"+00;-00;+00;"))</f>
        <v>DWWDW…-02...+00</v>
      </c>
    </row>
    <row r="177" spans="1:32" x14ac:dyDescent="0.25">
      <c r="A177" s="12" t="s">
        <v>488</v>
      </c>
      <c r="B177" s="13" t="s">
        <v>7</v>
      </c>
      <c r="C177" s="14">
        <v>1</v>
      </c>
      <c r="D177" s="13" t="s">
        <v>521</v>
      </c>
      <c r="E177" s="13" t="s">
        <v>522</v>
      </c>
      <c r="F177" s="15" t="s">
        <v>31</v>
      </c>
      <c r="G177" s="15" t="s">
        <v>31</v>
      </c>
      <c r="H177" s="15" t="s">
        <v>29</v>
      </c>
      <c r="I177" s="15" t="s">
        <v>31</v>
      </c>
      <c r="J177" s="15" t="s">
        <v>31</v>
      </c>
      <c r="K177" s="15" t="s">
        <v>30</v>
      </c>
      <c r="L177" s="15" t="s">
        <v>31</v>
      </c>
      <c r="M177" s="15" t="s">
        <v>30</v>
      </c>
      <c r="N177" s="15" t="s">
        <v>31</v>
      </c>
      <c r="O177" s="15" t="s">
        <v>31</v>
      </c>
      <c r="P177" s="16">
        <v>-17</v>
      </c>
      <c r="Q177" s="16">
        <v>-15</v>
      </c>
      <c r="R177" s="13" t="str">
        <f>_xlfn.CONCAT(F177,G177,H177,I177,J177)</f>
        <v>LLDLL</v>
      </c>
      <c r="S177" s="13" t="str">
        <f>_xlfn.CONCAT(K177,L177,M177,N177,O177)</f>
        <v>WLWLL</v>
      </c>
      <c r="T177" s="13" t="str">
        <f>_xlfn.CONCAT(R177,"***",S177)</f>
        <v>LLDLL***WLWLL</v>
      </c>
      <c r="U177" s="19">
        <f>(P177-Q177)</f>
        <v>-2</v>
      </c>
      <c r="V177" s="14">
        <v>0</v>
      </c>
      <c r="W177" s="14">
        <v>0</v>
      </c>
      <c r="X177" s="20" t="str">
        <f>IF(ISBLANK(V177),"",IF(V177&gt;W177,"1",IF(V177&lt;W177,"2",IF(V177=W177,"X"))))</f>
        <v>X</v>
      </c>
      <c r="Y177" s="23" t="str">
        <f>COUNTIF(F177:J177, "W")&amp;COUNTIF(F177:J177, "d")&amp;COUNTIF(F177:J177, "l")</f>
        <v>014</v>
      </c>
      <c r="Z177" s="13" t="str">
        <f>COUNTIF(K177:O177, "W")&amp;COUNTIF(K177:O177, "d")&amp;COUNTIF(K177:O177, "l")</f>
        <v>203</v>
      </c>
      <c r="AA177" s="23" t="str">
        <f>_xlfn.CONCAT(Y177,"-",Z177)</f>
        <v>014-203</v>
      </c>
      <c r="AB177" s="15" t="str">
        <f>_xlfn.CONCAT(AA177,"…",TEXT(U177,"+00;-00;+00;"))</f>
        <v>014-203…-02</v>
      </c>
      <c r="AC177" s="23" t="str">
        <f>_xlfn.CONCAT(TEXT(P177,"+00;-00;+00;"),"…",TEXT(Q177,"+00;-00;+00;"))</f>
        <v>-17…-15</v>
      </c>
      <c r="AD177" s="14" t="str">
        <f>IF(X177="","?","")</f>
        <v/>
      </c>
      <c r="AE177" s="15" t="str">
        <f>_xlfn.CONCAT(AA177,"…",TEXT(P177,"+00;-00;+00;"),"...",TEXT(Q177,"+00;-00;+00;"))</f>
        <v>014-203…-17...-15</v>
      </c>
      <c r="AF177" s="13" t="str">
        <f>_xlfn.CONCAT(R177,"…",TEXT(P177,"+00;-00;+00;"),"...",TEXT(Q177,"+00;-00;+00;"))</f>
        <v>LLDLL…-17...-15</v>
      </c>
    </row>
    <row r="178" spans="1:32" x14ac:dyDescent="0.25">
      <c r="A178" s="12" t="s">
        <v>488</v>
      </c>
      <c r="B178" s="13" t="s">
        <v>7</v>
      </c>
      <c r="C178" s="14" t="s">
        <v>32</v>
      </c>
      <c r="D178" s="13" t="s">
        <v>48</v>
      </c>
      <c r="E178" s="13" t="s">
        <v>53</v>
      </c>
      <c r="F178" s="15" t="s">
        <v>31</v>
      </c>
      <c r="G178" s="15" t="s">
        <v>29</v>
      </c>
      <c r="H178" s="15" t="s">
        <v>29</v>
      </c>
      <c r="I178" s="15" t="s">
        <v>31</v>
      </c>
      <c r="J178" s="15" t="s">
        <v>31</v>
      </c>
      <c r="K178" s="15" t="s">
        <v>31</v>
      </c>
      <c r="L178" s="15" t="s">
        <v>29</v>
      </c>
      <c r="M178" s="15" t="s">
        <v>29</v>
      </c>
      <c r="N178" s="15" t="s">
        <v>30</v>
      </c>
      <c r="O178" s="15" t="s">
        <v>30</v>
      </c>
      <c r="P178" s="16">
        <v>-17</v>
      </c>
      <c r="Q178" s="16">
        <v>-5</v>
      </c>
      <c r="R178" s="13" t="str">
        <f>_xlfn.CONCAT(F178,G178,H178,I178,J178)</f>
        <v>LDDLL</v>
      </c>
      <c r="S178" s="13" t="str">
        <f>_xlfn.CONCAT(K178,L178,M178,N178,O178)</f>
        <v>LDDWW</v>
      </c>
      <c r="T178" s="13" t="str">
        <f>_xlfn.CONCAT(R178,"***",S178)</f>
        <v>LDDLL***LDDWW</v>
      </c>
      <c r="U178" s="19">
        <f>(P178-Q178)</f>
        <v>-12</v>
      </c>
      <c r="V178" s="14">
        <v>4</v>
      </c>
      <c r="W178" s="14">
        <v>2</v>
      </c>
      <c r="X178" s="20" t="str">
        <f>IF(ISBLANK(V178),"",IF(V178&gt;W178,"1",IF(V178&lt;W178,"2",IF(V178=W178,"X"))))</f>
        <v>1</v>
      </c>
      <c r="Y178" s="23" t="str">
        <f>COUNTIF(F178:J178, "W")&amp;COUNTIF(F178:J178, "d")&amp;COUNTIF(F178:J178, "l")</f>
        <v>023</v>
      </c>
      <c r="Z178" s="13" t="str">
        <f>COUNTIF(K178:O178, "W")&amp;COUNTIF(K178:O178, "d")&amp;COUNTIF(K178:O178, "l")</f>
        <v>221</v>
      </c>
      <c r="AA178" s="23" t="str">
        <f>_xlfn.CONCAT(Y178,"-",Z178)</f>
        <v>023-221</v>
      </c>
      <c r="AB178" s="15" t="str">
        <f>_xlfn.CONCAT(AA178,"…",TEXT(U178,"+00;-00;+00;"))</f>
        <v>023-221…-12</v>
      </c>
      <c r="AC178" s="23" t="str">
        <f>_xlfn.CONCAT(TEXT(P178,"+00;-00;+00;"),"…",TEXT(Q178,"+00;-00;+00;"))</f>
        <v>-17…-05</v>
      </c>
      <c r="AD178" s="14" t="str">
        <f>IF(X178="","?","")</f>
        <v/>
      </c>
      <c r="AE178" s="15" t="str">
        <f>_xlfn.CONCAT(AA178,"…",TEXT(P178,"+00;-00;+00;"),"...",TEXT(Q178,"+00;-00;+00;"))</f>
        <v>023-221…-17...-05</v>
      </c>
      <c r="AF178" s="13" t="str">
        <f>_xlfn.CONCAT(R178,"…",TEXT(P178,"+00;-00;+00;"),"...",TEXT(Q178,"+00;-00;+00;"))</f>
        <v>LDDLL…-17...-05</v>
      </c>
    </row>
    <row r="179" spans="1:32" x14ac:dyDescent="0.25">
      <c r="A179" s="12" t="s">
        <v>488</v>
      </c>
      <c r="B179" s="13" t="s">
        <v>7</v>
      </c>
      <c r="C179" s="14">
        <v>1</v>
      </c>
      <c r="D179" s="13" t="s">
        <v>525</v>
      </c>
      <c r="E179" s="13" t="s">
        <v>526</v>
      </c>
      <c r="F179" s="15" t="s">
        <v>31</v>
      </c>
      <c r="G179" s="15" t="s">
        <v>29</v>
      </c>
      <c r="H179" s="15" t="s">
        <v>31</v>
      </c>
      <c r="I179" s="15" t="s">
        <v>31</v>
      </c>
      <c r="J179" s="15" t="s">
        <v>29</v>
      </c>
      <c r="K179" s="15" t="s">
        <v>30</v>
      </c>
      <c r="L179" s="15" t="s">
        <v>30</v>
      </c>
      <c r="M179" s="15" t="s">
        <v>30</v>
      </c>
      <c r="N179" s="15" t="s">
        <v>31</v>
      </c>
      <c r="O179" s="15" t="s">
        <v>30</v>
      </c>
      <c r="P179" s="16">
        <v>-12</v>
      </c>
      <c r="Q179" s="16">
        <v>14</v>
      </c>
      <c r="R179" s="13" t="str">
        <f>_xlfn.CONCAT(F179,G179,H179,I179,J179)</f>
        <v>LDLLD</v>
      </c>
      <c r="S179" s="13" t="str">
        <f>_xlfn.CONCAT(K179,L179,M179,N179,O179)</f>
        <v>WWWLW</v>
      </c>
      <c r="T179" s="13" t="str">
        <f>_xlfn.CONCAT(R179,"***",S179)</f>
        <v>LDLLD***WWWLW</v>
      </c>
      <c r="U179" s="19">
        <f>(P179-Q179)</f>
        <v>-26</v>
      </c>
      <c r="V179" s="14">
        <v>0</v>
      </c>
      <c r="W179" s="14">
        <v>1</v>
      </c>
      <c r="X179" s="20" t="str">
        <f>IF(ISBLANK(V179),"",IF(V179&gt;W179,"1",IF(V179&lt;W179,"2",IF(V179=W179,"X"))))</f>
        <v>2</v>
      </c>
      <c r="Y179" s="23" t="str">
        <f>COUNTIF(F179:J179, "W")&amp;COUNTIF(F179:J179, "d")&amp;COUNTIF(F179:J179, "l")</f>
        <v>023</v>
      </c>
      <c r="Z179" s="13" t="str">
        <f>COUNTIF(K179:O179, "W")&amp;COUNTIF(K179:O179, "d")&amp;COUNTIF(K179:O179, "l")</f>
        <v>401</v>
      </c>
      <c r="AA179" s="23" t="str">
        <f>_xlfn.CONCAT(Y179,"-",Z179)</f>
        <v>023-401</v>
      </c>
      <c r="AB179" s="15" t="str">
        <f>_xlfn.CONCAT(AA179,"…",TEXT(U179,"+00;-00;+00;"))</f>
        <v>023-401…-26</v>
      </c>
      <c r="AC179" s="23" t="str">
        <f>_xlfn.CONCAT(TEXT(P179,"+00;-00;+00;"),"…",TEXT(Q179,"+00;-00;+00;"))</f>
        <v>-12…+14</v>
      </c>
      <c r="AD179" s="14" t="str">
        <f>IF(X179="","?","")</f>
        <v/>
      </c>
      <c r="AE179" s="15" t="str">
        <f>_xlfn.CONCAT(AA179,"…",TEXT(P179,"+00;-00;+00;"),"...",TEXT(Q179,"+00;-00;+00;"))</f>
        <v>023-401…-12...+14</v>
      </c>
      <c r="AF179" s="13" t="str">
        <f>_xlfn.CONCAT(R179,"…",TEXT(P179,"+00;-00;+00;"),"...",TEXT(Q179,"+00;-00;+00;"))</f>
        <v>LDLLD…-12...+14</v>
      </c>
    </row>
    <row r="180" spans="1:32" x14ac:dyDescent="0.25">
      <c r="A180" s="12" t="s">
        <v>488</v>
      </c>
      <c r="B180" s="13" t="s">
        <v>7</v>
      </c>
      <c r="C180" s="14" t="s">
        <v>32</v>
      </c>
      <c r="D180" s="13" t="s">
        <v>490</v>
      </c>
      <c r="E180" s="13" t="s">
        <v>491</v>
      </c>
      <c r="F180" s="15" t="s">
        <v>30</v>
      </c>
      <c r="G180" s="15" t="s">
        <v>29</v>
      </c>
      <c r="H180" s="15" t="s">
        <v>31</v>
      </c>
      <c r="I180" s="15" t="s">
        <v>31</v>
      </c>
      <c r="J180" s="15" t="s">
        <v>31</v>
      </c>
      <c r="K180" s="15" t="s">
        <v>30</v>
      </c>
      <c r="L180" s="15" t="s">
        <v>31</v>
      </c>
      <c r="M180" s="15" t="s">
        <v>29</v>
      </c>
      <c r="N180" s="15" t="s">
        <v>31</v>
      </c>
      <c r="O180" s="15" t="s">
        <v>30</v>
      </c>
      <c r="P180" s="16">
        <v>1</v>
      </c>
      <c r="Q180" s="16">
        <v>2</v>
      </c>
      <c r="R180" s="13" t="str">
        <f>_xlfn.CONCAT(F180,G180,H180,I180,J180)</f>
        <v>WDLLL</v>
      </c>
      <c r="S180" s="13" t="str">
        <f>_xlfn.CONCAT(K180,L180,M180,N180,O180)</f>
        <v>WLDLW</v>
      </c>
      <c r="T180" s="13" t="str">
        <f>_xlfn.CONCAT(R180,"***",S180)</f>
        <v>WDLLL***WLDLW</v>
      </c>
      <c r="U180" s="19">
        <f>(P180-Q180)</f>
        <v>-1</v>
      </c>
      <c r="V180" s="14">
        <v>1</v>
      </c>
      <c r="W180" s="14">
        <v>0</v>
      </c>
      <c r="X180" s="20" t="str">
        <f>IF(ISBLANK(V180),"",IF(V180&gt;W180,"1",IF(V180&lt;W180,"2",IF(V180=W180,"X"))))</f>
        <v>1</v>
      </c>
      <c r="Y180" s="23" t="str">
        <f>COUNTIF(F180:J180, "W")&amp;COUNTIF(F180:J180, "d")&amp;COUNTIF(F180:J180, "l")</f>
        <v>113</v>
      </c>
      <c r="Z180" s="13" t="str">
        <f>COUNTIF(K180:O180, "W")&amp;COUNTIF(K180:O180, "d")&amp;COUNTIF(K180:O180, "l")</f>
        <v>212</v>
      </c>
      <c r="AA180" s="23" t="str">
        <f>_xlfn.CONCAT(Y180,"-",Z180)</f>
        <v>113-212</v>
      </c>
      <c r="AB180" s="15" t="str">
        <f>_xlfn.CONCAT(AA180,"…",TEXT(U180,"+00;-00;+00;"))</f>
        <v>113-212…-01</v>
      </c>
      <c r="AC180" s="23" t="str">
        <f>_xlfn.CONCAT(TEXT(P180,"+00;-00;+00;"),"…",TEXT(Q180,"+00;-00;+00;"))</f>
        <v>+01…+02</v>
      </c>
      <c r="AD180" s="14" t="str">
        <f>IF(X180="","?","")</f>
        <v/>
      </c>
      <c r="AE180" s="15" t="str">
        <f>_xlfn.CONCAT(AA180,"…",TEXT(P180,"+00;-00;+00;"),"...",TEXT(Q180,"+00;-00;+00;"))</f>
        <v>113-212…+01...+02</v>
      </c>
      <c r="AF180" s="13" t="str">
        <f>_xlfn.CONCAT(R180,"…",TEXT(P180,"+00;-00;+00;"),"...",TEXT(Q180,"+00;-00;+00;"))</f>
        <v>WDLLL…+01...+02</v>
      </c>
    </row>
    <row r="181" spans="1:32" x14ac:dyDescent="0.25">
      <c r="A181" s="12" t="s">
        <v>488</v>
      </c>
      <c r="B181" s="13" t="s">
        <v>7</v>
      </c>
      <c r="C181" s="14">
        <v>1</v>
      </c>
      <c r="D181" s="13" t="s">
        <v>515</v>
      </c>
      <c r="E181" s="13" t="s">
        <v>516</v>
      </c>
      <c r="F181" s="15" t="s">
        <v>31</v>
      </c>
      <c r="G181" s="15" t="s">
        <v>31</v>
      </c>
      <c r="H181" s="15" t="s">
        <v>29</v>
      </c>
      <c r="I181" s="15" t="s">
        <v>31</v>
      </c>
      <c r="J181" s="15" t="s">
        <v>30</v>
      </c>
      <c r="K181" s="15" t="s">
        <v>31</v>
      </c>
      <c r="L181" s="15" t="s">
        <v>29</v>
      </c>
      <c r="M181" s="15" t="s">
        <v>30</v>
      </c>
      <c r="N181" s="15" t="s">
        <v>29</v>
      </c>
      <c r="O181" s="15" t="s">
        <v>30</v>
      </c>
      <c r="P181" s="16">
        <v>-9</v>
      </c>
      <c r="Q181" s="16">
        <v>11</v>
      </c>
      <c r="R181" s="13" t="str">
        <f>_xlfn.CONCAT(F181,G181,H181,I181,J181)</f>
        <v>LLDLW</v>
      </c>
      <c r="S181" s="13" t="str">
        <f>_xlfn.CONCAT(K181,L181,M181,N181,O181)</f>
        <v>LDWDW</v>
      </c>
      <c r="T181" s="13" t="str">
        <f>_xlfn.CONCAT(R181,"***",S181)</f>
        <v>LLDLW***LDWDW</v>
      </c>
      <c r="U181" s="19">
        <f>(P181-Q181)</f>
        <v>-20</v>
      </c>
      <c r="V181" s="14">
        <v>0</v>
      </c>
      <c r="W181" s="14">
        <v>2</v>
      </c>
      <c r="X181" s="20" t="str">
        <f>IF(ISBLANK(V181),"",IF(V181&gt;W181,"1",IF(V181&lt;W181,"2",IF(V181=W181,"X"))))</f>
        <v>2</v>
      </c>
      <c r="Y181" s="23" t="str">
        <f>COUNTIF(F181:J181, "W")&amp;COUNTIF(F181:J181, "d")&amp;COUNTIF(F181:J181, "l")</f>
        <v>113</v>
      </c>
      <c r="Z181" s="13" t="str">
        <f>COUNTIF(K181:O181, "W")&amp;COUNTIF(K181:O181, "d")&amp;COUNTIF(K181:O181, "l")</f>
        <v>221</v>
      </c>
      <c r="AA181" s="23" t="str">
        <f>_xlfn.CONCAT(Y181,"-",Z181)</f>
        <v>113-221</v>
      </c>
      <c r="AB181" s="15" t="str">
        <f>_xlfn.CONCAT(AA181,"…",TEXT(U181,"+00;-00;+00;"))</f>
        <v>113-221…-20</v>
      </c>
      <c r="AC181" s="23" t="str">
        <f>_xlfn.CONCAT(TEXT(P181,"+00;-00;+00;"),"…",TEXT(Q181,"+00;-00;+00;"))</f>
        <v>-09…+11</v>
      </c>
      <c r="AD181" s="14" t="str">
        <f>IF(X181="","?","")</f>
        <v/>
      </c>
      <c r="AE181" s="15" t="str">
        <f>_xlfn.CONCAT(AA181,"…",TEXT(P181,"+00;-00;+00;"),"...",TEXT(Q181,"+00;-00;+00;"))</f>
        <v>113-221…-09...+11</v>
      </c>
      <c r="AF181" s="13" t="str">
        <f>_xlfn.CONCAT(R181,"…",TEXT(P181,"+00;-00;+00;"),"...",TEXT(Q181,"+00;-00;+00;"))</f>
        <v>LLDLW…-09...+11</v>
      </c>
    </row>
    <row r="182" spans="1:32" x14ac:dyDescent="0.25">
      <c r="A182" s="12" t="s">
        <v>488</v>
      </c>
      <c r="B182" s="13" t="s">
        <v>7</v>
      </c>
      <c r="C182" s="14">
        <v>2</v>
      </c>
      <c r="D182" s="13" t="s">
        <v>543</v>
      </c>
      <c r="E182" s="13" t="s">
        <v>544</v>
      </c>
      <c r="F182" s="15" t="s">
        <v>31</v>
      </c>
      <c r="G182" s="15" t="s">
        <v>29</v>
      </c>
      <c r="H182" s="15" t="s">
        <v>30</v>
      </c>
      <c r="I182" s="15" t="s">
        <v>31</v>
      </c>
      <c r="J182" s="15" t="s">
        <v>31</v>
      </c>
      <c r="K182" s="15" t="s">
        <v>30</v>
      </c>
      <c r="L182" s="15" t="s">
        <v>31</v>
      </c>
      <c r="M182" s="15" t="s">
        <v>30</v>
      </c>
      <c r="N182" s="15" t="s">
        <v>30</v>
      </c>
      <c r="O182" s="15" t="s">
        <v>30</v>
      </c>
      <c r="P182" s="16">
        <v>-7</v>
      </c>
      <c r="Q182" s="16">
        <v>11</v>
      </c>
      <c r="R182" s="13" t="str">
        <f>_xlfn.CONCAT(F182,G182,H182,I182,J182)</f>
        <v>LDWLL</v>
      </c>
      <c r="S182" s="13" t="str">
        <f>_xlfn.CONCAT(K182,L182,M182,N182,O182)</f>
        <v>WLWWW</v>
      </c>
      <c r="T182" s="13" t="str">
        <f>_xlfn.CONCAT(R182,"***",S182)</f>
        <v>LDWLL***WLWWW</v>
      </c>
      <c r="U182" s="19">
        <f>(P182-Q182)</f>
        <v>-18</v>
      </c>
      <c r="V182" s="14">
        <v>2</v>
      </c>
      <c r="W182" s="14">
        <v>2</v>
      </c>
      <c r="X182" s="20" t="str">
        <f>IF(ISBLANK(V182),"",IF(V182&gt;W182,"1",IF(V182&lt;W182,"2",IF(V182=W182,"X"))))</f>
        <v>X</v>
      </c>
      <c r="Y182" s="23" t="str">
        <f>COUNTIF(F182:J182, "W")&amp;COUNTIF(F182:J182, "d")&amp;COUNTIF(F182:J182, "l")</f>
        <v>113</v>
      </c>
      <c r="Z182" s="13" t="str">
        <f>COUNTIF(K182:O182, "W")&amp;COUNTIF(K182:O182, "d")&amp;COUNTIF(K182:O182, "l")</f>
        <v>401</v>
      </c>
      <c r="AA182" s="23" t="str">
        <f>_xlfn.CONCAT(Y182,"-",Z182)</f>
        <v>113-401</v>
      </c>
      <c r="AB182" s="15" t="str">
        <f>_xlfn.CONCAT(AA182,"…",TEXT(U182,"+00;-00;+00;"))</f>
        <v>113-401…-18</v>
      </c>
      <c r="AC182" s="23" t="str">
        <f>_xlfn.CONCAT(TEXT(P182,"+00;-00;+00;"),"…",TEXT(Q182,"+00;-00;+00;"))</f>
        <v>-07…+11</v>
      </c>
      <c r="AD182" s="14" t="str">
        <f>IF(X182="","?","")</f>
        <v/>
      </c>
      <c r="AE182" s="15" t="str">
        <f>_xlfn.CONCAT(AA182,"…",TEXT(P182,"+00;-00;+00;"),"...",TEXT(Q182,"+00;-00;+00;"))</f>
        <v>113-401…-07...+11</v>
      </c>
      <c r="AF182" s="13" t="str">
        <f>_xlfn.CONCAT(R182,"…",TEXT(P182,"+00;-00;+00;"),"...",TEXT(Q182,"+00;-00;+00;"))</f>
        <v>LDWLL…-07...+11</v>
      </c>
    </row>
    <row r="183" spans="1:32" s="8" customFormat="1" x14ac:dyDescent="0.25">
      <c r="A183" s="12" t="s">
        <v>488</v>
      </c>
      <c r="B183" s="13" t="s">
        <v>7</v>
      </c>
      <c r="C183" s="14">
        <v>2</v>
      </c>
      <c r="D183" s="13" t="s">
        <v>539</v>
      </c>
      <c r="E183" s="13" t="s">
        <v>540</v>
      </c>
      <c r="F183" s="15" t="s">
        <v>29</v>
      </c>
      <c r="G183" s="15" t="s">
        <v>29</v>
      </c>
      <c r="H183" s="15" t="s">
        <v>31</v>
      </c>
      <c r="I183" s="15" t="s">
        <v>30</v>
      </c>
      <c r="J183" s="15" t="s">
        <v>31</v>
      </c>
      <c r="K183" s="15" t="s">
        <v>30</v>
      </c>
      <c r="L183" s="15" t="s">
        <v>31</v>
      </c>
      <c r="M183" s="15" t="s">
        <v>31</v>
      </c>
      <c r="N183" s="15" t="s">
        <v>31</v>
      </c>
      <c r="O183" s="15" t="s">
        <v>31</v>
      </c>
      <c r="P183" s="16">
        <v>-12</v>
      </c>
      <c r="Q183" s="16">
        <v>-6</v>
      </c>
      <c r="R183" s="13" t="str">
        <f>_xlfn.CONCAT(F183,G183,H183,I183,J183)</f>
        <v>DDLWL</v>
      </c>
      <c r="S183" s="13" t="str">
        <f>_xlfn.CONCAT(K183,L183,M183,N183,O183)</f>
        <v>WLLLL</v>
      </c>
      <c r="T183" s="13" t="str">
        <f>_xlfn.CONCAT(R183,"***",S183)</f>
        <v>DDLWL***WLLLL</v>
      </c>
      <c r="U183" s="19">
        <f>(P183-Q183)</f>
        <v>-6</v>
      </c>
      <c r="V183" s="14">
        <v>0</v>
      </c>
      <c r="W183" s="14">
        <v>3</v>
      </c>
      <c r="X183" s="20" t="str">
        <f>IF(ISBLANK(V183),"",IF(V183&gt;W183,"1",IF(V183&lt;W183,"2",IF(V183=W183,"X"))))</f>
        <v>2</v>
      </c>
      <c r="Y183" s="23" t="str">
        <f>COUNTIF(F183:J183, "W")&amp;COUNTIF(F183:J183, "d")&amp;COUNTIF(F183:J183, "l")</f>
        <v>122</v>
      </c>
      <c r="Z183" s="13" t="str">
        <f>COUNTIF(K183:O183, "W")&amp;COUNTIF(K183:O183, "d")&amp;COUNTIF(K183:O183, "l")</f>
        <v>104</v>
      </c>
      <c r="AA183" s="23" t="str">
        <f>_xlfn.CONCAT(Y183,"-",Z183)</f>
        <v>122-104</v>
      </c>
      <c r="AB183" s="15" t="str">
        <f>_xlfn.CONCAT(AA183,"…",TEXT(U183,"+00;-00;+00;"))</f>
        <v>122-104…-06</v>
      </c>
      <c r="AC183" s="23" t="str">
        <f>_xlfn.CONCAT(TEXT(P183,"+00;-00;+00;"),"…",TEXT(Q183,"+00;-00;+00;"))</f>
        <v>-12…-06</v>
      </c>
      <c r="AD183" s="14" t="str">
        <f>IF(X183="","?","")</f>
        <v/>
      </c>
      <c r="AE183" s="15" t="str">
        <f>_xlfn.CONCAT(AA183,"…",TEXT(P183,"+00;-00;+00;"),"...",TEXT(Q183,"+00;-00;+00;"))</f>
        <v>122-104…-12...-06</v>
      </c>
      <c r="AF183" s="13" t="str">
        <f>_xlfn.CONCAT(R183,"…",TEXT(P183,"+00;-00;+00;"),"...",TEXT(Q183,"+00;-00;+00;"))</f>
        <v>DDLWL…-12...-06</v>
      </c>
    </row>
    <row r="184" spans="1:32" x14ac:dyDescent="0.25">
      <c r="A184" s="12" t="s">
        <v>488</v>
      </c>
      <c r="B184" s="13" t="s">
        <v>7</v>
      </c>
      <c r="C184" s="14">
        <v>1</v>
      </c>
      <c r="D184" s="13" t="s">
        <v>517</v>
      </c>
      <c r="E184" s="13" t="s">
        <v>518</v>
      </c>
      <c r="F184" s="15" t="s">
        <v>31</v>
      </c>
      <c r="G184" s="15" t="s">
        <v>31</v>
      </c>
      <c r="H184" s="15" t="s">
        <v>29</v>
      </c>
      <c r="I184" s="15" t="s">
        <v>30</v>
      </c>
      <c r="J184" s="15" t="s">
        <v>29</v>
      </c>
      <c r="K184" s="15" t="s">
        <v>29</v>
      </c>
      <c r="L184" s="15" t="s">
        <v>30</v>
      </c>
      <c r="M184" s="15" t="s">
        <v>31</v>
      </c>
      <c r="N184" s="15" t="s">
        <v>29</v>
      </c>
      <c r="O184" s="15" t="s">
        <v>31</v>
      </c>
      <c r="P184" s="16">
        <v>-8</v>
      </c>
      <c r="Q184" s="16">
        <v>3</v>
      </c>
      <c r="R184" s="13" t="str">
        <f>_xlfn.CONCAT(F184,G184,H184,I184,J184)</f>
        <v>LLDWD</v>
      </c>
      <c r="S184" s="13" t="str">
        <f>_xlfn.CONCAT(K184,L184,M184,N184,O184)</f>
        <v>DWLDL</v>
      </c>
      <c r="T184" s="13" t="str">
        <f>_xlfn.CONCAT(R184,"***",S184)</f>
        <v>LLDWD***DWLDL</v>
      </c>
      <c r="U184" s="19">
        <f>(P184-Q184)</f>
        <v>-11</v>
      </c>
      <c r="V184" s="14">
        <v>0</v>
      </c>
      <c r="W184" s="14">
        <v>3</v>
      </c>
      <c r="X184" s="20" t="str">
        <f>IF(ISBLANK(V184),"",IF(V184&gt;W184,"1",IF(V184&lt;W184,"2",IF(V184=W184,"X"))))</f>
        <v>2</v>
      </c>
      <c r="Y184" s="23" t="str">
        <f>COUNTIF(F184:J184, "W")&amp;COUNTIF(F184:J184, "d")&amp;COUNTIF(F184:J184, "l")</f>
        <v>122</v>
      </c>
      <c r="Z184" s="13" t="str">
        <f>COUNTIF(K184:O184, "W")&amp;COUNTIF(K184:O184, "d")&amp;COUNTIF(K184:O184, "l")</f>
        <v>122</v>
      </c>
      <c r="AA184" s="23" t="str">
        <f>_xlfn.CONCAT(Y184,"-",Z184)</f>
        <v>122-122</v>
      </c>
      <c r="AB184" s="15" t="str">
        <f>_xlfn.CONCAT(AA184,"…",TEXT(U184,"+00;-00;+00;"))</f>
        <v>122-122…-11</v>
      </c>
      <c r="AC184" s="23" t="str">
        <f>_xlfn.CONCAT(TEXT(P184,"+00;-00;+00;"),"…",TEXT(Q184,"+00;-00;+00;"))</f>
        <v>-08…+03</v>
      </c>
      <c r="AD184" s="14" t="str">
        <f>IF(X184="","?","")</f>
        <v/>
      </c>
      <c r="AE184" s="15" t="str">
        <f>_xlfn.CONCAT(AA184,"…",TEXT(P184,"+00;-00;+00;"),"...",TEXT(Q184,"+00;-00;+00;"))</f>
        <v>122-122…-08...+03</v>
      </c>
      <c r="AF184" s="13" t="str">
        <f>_xlfn.CONCAT(R184,"…",TEXT(P184,"+00;-00;+00;"),"...",TEXT(Q184,"+00;-00;+00;"))</f>
        <v>LLDWD…-08...+03</v>
      </c>
    </row>
    <row r="185" spans="1:32" x14ac:dyDescent="0.25">
      <c r="A185" s="12" t="s">
        <v>488</v>
      </c>
      <c r="B185" s="13" t="s">
        <v>7</v>
      </c>
      <c r="C185" s="14">
        <v>1</v>
      </c>
      <c r="D185" s="13" t="s">
        <v>519</v>
      </c>
      <c r="E185" s="13" t="s">
        <v>520</v>
      </c>
      <c r="F185" s="15" t="s">
        <v>29</v>
      </c>
      <c r="G185" s="15" t="s">
        <v>29</v>
      </c>
      <c r="H185" s="15" t="s">
        <v>30</v>
      </c>
      <c r="I185" s="15" t="s">
        <v>31</v>
      </c>
      <c r="J185" s="15" t="s">
        <v>31</v>
      </c>
      <c r="K185" s="15" t="s">
        <v>30</v>
      </c>
      <c r="L185" s="15" t="s">
        <v>29</v>
      </c>
      <c r="M185" s="15" t="s">
        <v>30</v>
      </c>
      <c r="N185" s="15" t="s">
        <v>31</v>
      </c>
      <c r="O185" s="15" t="s">
        <v>30</v>
      </c>
      <c r="P185" s="16">
        <v>4</v>
      </c>
      <c r="Q185" s="16">
        <v>-16</v>
      </c>
      <c r="R185" s="13" t="str">
        <f>_xlfn.CONCAT(F185,G185,H185,I185,J185)</f>
        <v>DDWLL</v>
      </c>
      <c r="S185" s="13" t="str">
        <f>_xlfn.CONCAT(K185,L185,M185,N185,O185)</f>
        <v>WDWLW</v>
      </c>
      <c r="T185" s="13" t="str">
        <f>_xlfn.CONCAT(R185,"***",S185)</f>
        <v>DDWLL***WDWLW</v>
      </c>
      <c r="U185" s="19">
        <f>(P185-Q185)</f>
        <v>20</v>
      </c>
      <c r="V185" s="14">
        <v>2</v>
      </c>
      <c r="W185" s="14">
        <v>1</v>
      </c>
      <c r="X185" s="20" t="str">
        <f>IF(ISBLANK(V185),"",IF(V185&gt;W185,"1",IF(V185&lt;W185,"2",IF(V185=W185,"X"))))</f>
        <v>1</v>
      </c>
      <c r="Y185" s="23" t="str">
        <f>COUNTIF(F185:J185, "W")&amp;COUNTIF(F185:J185, "d")&amp;COUNTIF(F185:J185, "l")</f>
        <v>122</v>
      </c>
      <c r="Z185" s="13" t="str">
        <f>COUNTIF(K185:O185, "W")&amp;COUNTIF(K185:O185, "d")&amp;COUNTIF(K185:O185, "l")</f>
        <v>311</v>
      </c>
      <c r="AA185" s="23" t="str">
        <f>_xlfn.CONCAT(Y185,"-",Z185)</f>
        <v>122-311</v>
      </c>
      <c r="AB185" s="15" t="str">
        <f>_xlfn.CONCAT(AA185,"…",TEXT(U185,"+00;-00;+00;"))</f>
        <v>122-311…+20</v>
      </c>
      <c r="AC185" s="23" t="str">
        <f>_xlfn.CONCAT(TEXT(P185,"+00;-00;+00;"),"…",TEXT(Q185,"+00;-00;+00;"))</f>
        <v>+04…-16</v>
      </c>
      <c r="AD185" s="14" t="str">
        <f>IF(X185="","?","")</f>
        <v/>
      </c>
      <c r="AE185" s="15" t="str">
        <f>_xlfn.CONCAT(AA185,"…",TEXT(P185,"+00;-00;+00;"),"...",TEXT(Q185,"+00;-00;+00;"))</f>
        <v>122-311…+04...-16</v>
      </c>
      <c r="AF185" s="13" t="str">
        <f>_xlfn.CONCAT(R185,"…",TEXT(P185,"+00;-00;+00;"),"...",TEXT(Q185,"+00;-00;+00;"))</f>
        <v>DDWLL…+04...-16</v>
      </c>
    </row>
    <row r="186" spans="1:32" x14ac:dyDescent="0.25">
      <c r="A186" s="12" t="s">
        <v>488</v>
      </c>
      <c r="B186" s="13" t="s">
        <v>7</v>
      </c>
      <c r="C186" s="14">
        <v>1</v>
      </c>
      <c r="D186" s="13" t="s">
        <v>509</v>
      </c>
      <c r="E186" s="13" t="s">
        <v>510</v>
      </c>
      <c r="F186" s="15" t="s">
        <v>29</v>
      </c>
      <c r="G186" s="15" t="s">
        <v>31</v>
      </c>
      <c r="H186" s="15" t="s">
        <v>29</v>
      </c>
      <c r="I186" s="15" t="s">
        <v>30</v>
      </c>
      <c r="J186" s="15" t="s">
        <v>29</v>
      </c>
      <c r="K186" s="15" t="s">
        <v>31</v>
      </c>
      <c r="L186" s="15" t="s">
        <v>31</v>
      </c>
      <c r="M186" s="15" t="s">
        <v>29</v>
      </c>
      <c r="N186" s="15" t="s">
        <v>29</v>
      </c>
      <c r="O186" s="15" t="s">
        <v>31</v>
      </c>
      <c r="P186" s="16">
        <v>13</v>
      </c>
      <c r="Q186" s="16">
        <v>-3</v>
      </c>
      <c r="R186" s="13" t="str">
        <f>_xlfn.CONCAT(F186,G186,H186,I186,J186)</f>
        <v>DLDWD</v>
      </c>
      <c r="S186" s="13" t="str">
        <f>_xlfn.CONCAT(K186,L186,M186,N186,O186)</f>
        <v>LLDDL</v>
      </c>
      <c r="T186" s="13" t="str">
        <f>_xlfn.CONCAT(R186,"***",S186)</f>
        <v>DLDWD***LLDDL</v>
      </c>
      <c r="U186" s="19">
        <f>(P186-Q186)</f>
        <v>16</v>
      </c>
      <c r="V186" s="14">
        <v>1</v>
      </c>
      <c r="W186" s="14">
        <v>0</v>
      </c>
      <c r="X186" s="20" t="str">
        <f>IF(ISBLANK(V186),"",IF(V186&gt;W186,"1",IF(V186&lt;W186,"2",IF(V186=W186,"X"))))</f>
        <v>1</v>
      </c>
      <c r="Y186" s="23" t="str">
        <f>COUNTIF(F186:J186, "W")&amp;COUNTIF(F186:J186, "d")&amp;COUNTIF(F186:J186, "l")</f>
        <v>131</v>
      </c>
      <c r="Z186" s="13" t="str">
        <f>COUNTIF(K186:O186, "W")&amp;COUNTIF(K186:O186, "d")&amp;COUNTIF(K186:O186, "l")</f>
        <v>023</v>
      </c>
      <c r="AA186" s="23" t="str">
        <f>_xlfn.CONCAT(Y186,"-",Z186)</f>
        <v>131-023</v>
      </c>
      <c r="AB186" s="15" t="str">
        <f>_xlfn.CONCAT(AA186,"…",TEXT(U186,"+00;-00;+00;"))</f>
        <v>131-023…+16</v>
      </c>
      <c r="AC186" s="23" t="str">
        <f>_xlfn.CONCAT(TEXT(P186,"+00;-00;+00;"),"…",TEXT(Q186,"+00;-00;+00;"))</f>
        <v>+13…-03</v>
      </c>
      <c r="AD186" s="14" t="str">
        <f>IF(X186="","?","")</f>
        <v/>
      </c>
      <c r="AE186" s="15" t="str">
        <f>_xlfn.CONCAT(AA186,"…",TEXT(P186,"+00;-00;+00;"),"...",TEXT(Q186,"+00;-00;+00;"))</f>
        <v>131-023…+13...-03</v>
      </c>
      <c r="AF186" s="13" t="str">
        <f>_xlfn.CONCAT(R186,"…",TEXT(P186,"+00;-00;+00;"),"...",TEXT(Q186,"+00;-00;+00;"))</f>
        <v>DLDWD…+13...-03</v>
      </c>
    </row>
    <row r="187" spans="1:32" x14ac:dyDescent="0.25">
      <c r="A187" s="12" t="s">
        <v>488</v>
      </c>
      <c r="B187" s="13" t="s">
        <v>7</v>
      </c>
      <c r="C187" s="14">
        <v>2</v>
      </c>
      <c r="D187" s="13" t="s">
        <v>555</v>
      </c>
      <c r="E187" s="13" t="s">
        <v>556</v>
      </c>
      <c r="F187" s="15" t="s">
        <v>29</v>
      </c>
      <c r="G187" s="15" t="s">
        <v>29</v>
      </c>
      <c r="H187" s="15" t="s">
        <v>29</v>
      </c>
      <c r="I187" s="15" t="s">
        <v>30</v>
      </c>
      <c r="J187" s="15" t="s">
        <v>31</v>
      </c>
      <c r="K187" s="15" t="s">
        <v>30</v>
      </c>
      <c r="L187" s="15" t="s">
        <v>30</v>
      </c>
      <c r="M187" s="15" t="s">
        <v>30</v>
      </c>
      <c r="N187" s="15" t="s">
        <v>31</v>
      </c>
      <c r="O187" s="15" t="s">
        <v>30</v>
      </c>
      <c r="P187" s="16">
        <v>-14</v>
      </c>
      <c r="Q187" s="16">
        <v>12</v>
      </c>
      <c r="R187" s="13" t="str">
        <f>_xlfn.CONCAT(F187,G187,H187,I187,J187)</f>
        <v>DDDWL</v>
      </c>
      <c r="S187" s="13" t="str">
        <f>_xlfn.CONCAT(K187,L187,M187,N187,O187)</f>
        <v>WWWLW</v>
      </c>
      <c r="T187" s="13" t="str">
        <f>_xlfn.CONCAT(R187,"***",S187)</f>
        <v>DDDWL***WWWLW</v>
      </c>
      <c r="U187" s="19">
        <f>(P187-Q187)</f>
        <v>-26</v>
      </c>
      <c r="V187" s="14">
        <v>1</v>
      </c>
      <c r="W187" s="14">
        <v>1</v>
      </c>
      <c r="X187" s="20" t="str">
        <f>IF(ISBLANK(V187),"",IF(V187&gt;W187,"1",IF(V187&lt;W187,"2",IF(V187=W187,"X"))))</f>
        <v>X</v>
      </c>
      <c r="Y187" s="23" t="str">
        <f>COUNTIF(F187:J187, "W")&amp;COUNTIF(F187:J187, "d")&amp;COUNTIF(F187:J187, "l")</f>
        <v>131</v>
      </c>
      <c r="Z187" s="13" t="str">
        <f>COUNTIF(K187:O187, "W")&amp;COUNTIF(K187:O187, "d")&amp;COUNTIF(K187:O187, "l")</f>
        <v>401</v>
      </c>
      <c r="AA187" s="23" t="str">
        <f>_xlfn.CONCAT(Y187,"-",Z187)</f>
        <v>131-401</v>
      </c>
      <c r="AB187" s="15" t="str">
        <f>_xlfn.CONCAT(AA187,"…",TEXT(U187,"+00;-00;+00;"))</f>
        <v>131-401…-26</v>
      </c>
      <c r="AC187" s="23" t="str">
        <f>_xlfn.CONCAT(TEXT(P187,"+00;-00;+00;"),"…",TEXT(Q187,"+00;-00;+00;"))</f>
        <v>-14…+12</v>
      </c>
      <c r="AD187" s="14" t="str">
        <f>IF(X187="","?","")</f>
        <v/>
      </c>
      <c r="AE187" s="15" t="str">
        <f>_xlfn.CONCAT(AA187,"…",TEXT(P187,"+00;-00;+00;"),"...",TEXT(Q187,"+00;-00;+00;"))</f>
        <v>131-401…-14...+12</v>
      </c>
      <c r="AF187" s="13" t="str">
        <f>_xlfn.CONCAT(R187,"…",TEXT(P187,"+00;-00;+00;"),"...",TEXT(Q187,"+00;-00;+00;"))</f>
        <v>DDDWL…-14...+12</v>
      </c>
    </row>
    <row r="188" spans="1:32" x14ac:dyDescent="0.25">
      <c r="A188" s="12" t="s">
        <v>488</v>
      </c>
      <c r="B188" s="13" t="s">
        <v>7</v>
      </c>
      <c r="C188" s="14">
        <v>2</v>
      </c>
      <c r="D188" s="13" t="s">
        <v>533</v>
      </c>
      <c r="E188" s="13" t="s">
        <v>534</v>
      </c>
      <c r="F188" s="15" t="s">
        <v>31</v>
      </c>
      <c r="G188" s="15" t="s">
        <v>30</v>
      </c>
      <c r="H188" s="15" t="s">
        <v>31</v>
      </c>
      <c r="I188" s="15" t="s">
        <v>31</v>
      </c>
      <c r="J188" s="15" t="s">
        <v>30</v>
      </c>
      <c r="K188" s="15" t="s">
        <v>30</v>
      </c>
      <c r="L188" s="15" t="s">
        <v>29</v>
      </c>
      <c r="M188" s="15" t="s">
        <v>31</v>
      </c>
      <c r="N188" s="15" t="s">
        <v>31</v>
      </c>
      <c r="O188" s="15" t="s">
        <v>31</v>
      </c>
      <c r="P188" s="16">
        <v>2</v>
      </c>
      <c r="Q188" s="16">
        <v>6</v>
      </c>
      <c r="R188" s="13" t="str">
        <f>_xlfn.CONCAT(F188,G188,H188,I188,J188)</f>
        <v>LWLLW</v>
      </c>
      <c r="S188" s="13" t="str">
        <f>_xlfn.CONCAT(K188,L188,M188,N188,O188)</f>
        <v>WDLLL</v>
      </c>
      <c r="T188" s="13" t="str">
        <f>_xlfn.CONCAT(R188,"***",S188)</f>
        <v>LWLLW***WDLLL</v>
      </c>
      <c r="U188" s="19">
        <f>(P188-Q188)</f>
        <v>-4</v>
      </c>
      <c r="V188" s="14">
        <v>3</v>
      </c>
      <c r="W188" s="14">
        <v>4</v>
      </c>
      <c r="X188" s="20" t="str">
        <f>IF(ISBLANK(V188),"",IF(V188&gt;W188,"1",IF(V188&lt;W188,"2",IF(V188=W188,"X"))))</f>
        <v>2</v>
      </c>
      <c r="Y188" s="23" t="str">
        <f>COUNTIF(F188:J188, "W")&amp;COUNTIF(F188:J188, "d")&amp;COUNTIF(F188:J188, "l")</f>
        <v>203</v>
      </c>
      <c r="Z188" s="13" t="str">
        <f>COUNTIF(K188:O188, "W")&amp;COUNTIF(K188:O188, "d")&amp;COUNTIF(K188:O188, "l")</f>
        <v>113</v>
      </c>
      <c r="AA188" s="23" t="str">
        <f>_xlfn.CONCAT(Y188,"-",Z188)</f>
        <v>203-113</v>
      </c>
      <c r="AB188" s="15" t="str">
        <f>_xlfn.CONCAT(AA188,"…",TEXT(U188,"+00;-00;+00;"))</f>
        <v>203-113…-04</v>
      </c>
      <c r="AC188" s="23" t="str">
        <f>_xlfn.CONCAT(TEXT(P188,"+00;-00;+00;"),"…",TEXT(Q188,"+00;-00;+00;"))</f>
        <v>+02…+06</v>
      </c>
      <c r="AD188" s="14" t="str">
        <f>IF(X188="","?","")</f>
        <v/>
      </c>
      <c r="AE188" s="15" t="str">
        <f>_xlfn.CONCAT(AA188,"…",TEXT(P188,"+00;-00;+00;"),"...",TEXT(Q188,"+00;-00;+00;"))</f>
        <v>203-113…+02...+06</v>
      </c>
      <c r="AF188" s="13" t="str">
        <f>_xlfn.CONCAT(R188,"…",TEXT(P188,"+00;-00;+00;"),"...",TEXT(Q188,"+00;-00;+00;"))</f>
        <v>LWLLW…+02...+06</v>
      </c>
    </row>
    <row r="189" spans="1:32" x14ac:dyDescent="0.25">
      <c r="A189" s="12" t="s">
        <v>488</v>
      </c>
      <c r="B189" s="13" t="s">
        <v>7</v>
      </c>
      <c r="C189" s="14">
        <v>2</v>
      </c>
      <c r="D189" s="13" t="s">
        <v>551</v>
      </c>
      <c r="E189" s="13" t="s">
        <v>552</v>
      </c>
      <c r="F189" s="15" t="s">
        <v>31</v>
      </c>
      <c r="G189" s="15" t="s">
        <v>30</v>
      </c>
      <c r="H189" s="15" t="s">
        <v>31</v>
      </c>
      <c r="I189" s="15" t="s">
        <v>31</v>
      </c>
      <c r="J189" s="15" t="s">
        <v>30</v>
      </c>
      <c r="K189" s="15" t="s">
        <v>30</v>
      </c>
      <c r="L189" s="15" t="s">
        <v>31</v>
      </c>
      <c r="M189" s="15" t="s">
        <v>30</v>
      </c>
      <c r="N189" s="15" t="s">
        <v>31</v>
      </c>
      <c r="O189" s="15" t="s">
        <v>29</v>
      </c>
      <c r="P189" s="16">
        <v>4</v>
      </c>
      <c r="Q189" s="16">
        <v>-1</v>
      </c>
      <c r="R189" s="13" t="str">
        <f>_xlfn.CONCAT(F189,G189,H189,I189,J189)</f>
        <v>LWLLW</v>
      </c>
      <c r="S189" s="13" t="str">
        <f>_xlfn.CONCAT(K189,L189,M189,N189,O189)</f>
        <v>WLWLD</v>
      </c>
      <c r="T189" s="13" t="str">
        <f>_xlfn.CONCAT(R189,"***",S189)</f>
        <v>LWLLW***WLWLD</v>
      </c>
      <c r="U189" s="19">
        <f>(P189-Q189)</f>
        <v>5</v>
      </c>
      <c r="V189" s="14">
        <v>3</v>
      </c>
      <c r="W189" s="14">
        <v>1</v>
      </c>
      <c r="X189" s="20" t="str">
        <f>IF(ISBLANK(V189),"",IF(V189&gt;W189,"1",IF(V189&lt;W189,"2",IF(V189=W189,"X"))))</f>
        <v>1</v>
      </c>
      <c r="Y189" s="23" t="str">
        <f>COUNTIF(F189:J189, "W")&amp;COUNTIF(F189:J189, "d")&amp;COUNTIF(F189:J189, "l")</f>
        <v>203</v>
      </c>
      <c r="Z189" s="13" t="str">
        <f>COUNTIF(K189:O189, "W")&amp;COUNTIF(K189:O189, "d")&amp;COUNTIF(K189:O189, "l")</f>
        <v>212</v>
      </c>
      <c r="AA189" s="23" t="str">
        <f>_xlfn.CONCAT(Y189,"-",Z189)</f>
        <v>203-212</v>
      </c>
      <c r="AB189" s="15" t="str">
        <f>_xlfn.CONCAT(AA189,"…",TEXT(U189,"+00;-00;+00;"))</f>
        <v>203-212…+05</v>
      </c>
      <c r="AC189" s="23" t="str">
        <f>_xlfn.CONCAT(TEXT(P189,"+00;-00;+00;"),"…",TEXT(Q189,"+00;-00;+00;"))</f>
        <v>+04…-01</v>
      </c>
      <c r="AD189" s="14" t="str">
        <f>IF(X189="","?","")</f>
        <v/>
      </c>
      <c r="AE189" s="15" t="str">
        <f>_xlfn.CONCAT(AA189,"…",TEXT(P189,"+00;-00;+00;"),"...",TEXT(Q189,"+00;-00;+00;"))</f>
        <v>203-212…+04...-01</v>
      </c>
      <c r="AF189" s="13" t="str">
        <f>_xlfn.CONCAT(R189,"…",TEXT(P189,"+00;-00;+00;"),"...",TEXT(Q189,"+00;-00;+00;"))</f>
        <v>LWLLW…+04...-01</v>
      </c>
    </row>
    <row r="190" spans="1:32" x14ac:dyDescent="0.25">
      <c r="A190" s="12" t="s">
        <v>488</v>
      </c>
      <c r="B190" s="13" t="s">
        <v>7</v>
      </c>
      <c r="C190" s="14">
        <v>2</v>
      </c>
      <c r="D190" s="13" t="s">
        <v>549</v>
      </c>
      <c r="E190" s="13" t="s">
        <v>550</v>
      </c>
      <c r="F190" s="15" t="s">
        <v>31</v>
      </c>
      <c r="G190" s="15" t="s">
        <v>31</v>
      </c>
      <c r="H190" s="15" t="s">
        <v>31</v>
      </c>
      <c r="I190" s="15" t="s">
        <v>30</v>
      </c>
      <c r="J190" s="15" t="s">
        <v>30</v>
      </c>
      <c r="K190" s="15" t="s">
        <v>30</v>
      </c>
      <c r="L190" s="15" t="s">
        <v>31</v>
      </c>
      <c r="M190" s="15" t="s">
        <v>29</v>
      </c>
      <c r="N190" s="15" t="s">
        <v>30</v>
      </c>
      <c r="O190" s="15" t="s">
        <v>31</v>
      </c>
      <c r="P190" s="16">
        <v>-1</v>
      </c>
      <c r="Q190" s="16">
        <v>-7</v>
      </c>
      <c r="R190" s="13" t="str">
        <f>_xlfn.CONCAT(F190,G190,H190,I190,J190)</f>
        <v>LLLWW</v>
      </c>
      <c r="S190" s="13" t="str">
        <f>_xlfn.CONCAT(K190,L190,M190,N190,O190)</f>
        <v>WLDWL</v>
      </c>
      <c r="T190" s="13" t="str">
        <f>_xlfn.CONCAT(R190,"***",S190)</f>
        <v>LLLWW***WLDWL</v>
      </c>
      <c r="U190" s="19">
        <f>(P190-Q190)</f>
        <v>6</v>
      </c>
      <c r="V190" s="14">
        <v>1</v>
      </c>
      <c r="W190" s="14">
        <v>2</v>
      </c>
      <c r="X190" s="20" t="str">
        <f>IF(ISBLANK(V190),"",IF(V190&gt;W190,"1",IF(V190&lt;W190,"2",IF(V190=W190,"X"))))</f>
        <v>2</v>
      </c>
      <c r="Y190" s="23" t="str">
        <f>COUNTIF(F190:J190, "W")&amp;COUNTIF(F190:J190, "d")&amp;COUNTIF(F190:J190, "l")</f>
        <v>203</v>
      </c>
      <c r="Z190" s="13" t="str">
        <f>COUNTIF(K190:O190, "W")&amp;COUNTIF(K190:O190, "d")&amp;COUNTIF(K190:O190, "l")</f>
        <v>212</v>
      </c>
      <c r="AA190" s="23" t="str">
        <f>_xlfn.CONCAT(Y190,"-",Z190)</f>
        <v>203-212</v>
      </c>
      <c r="AB190" s="15" t="str">
        <f>_xlfn.CONCAT(AA190,"…",TEXT(U190,"+00;-00;+00;"))</f>
        <v>203-212…+06</v>
      </c>
      <c r="AC190" s="23" t="str">
        <f>_xlfn.CONCAT(TEXT(P190,"+00;-00;+00;"),"…",TEXT(Q190,"+00;-00;+00;"))</f>
        <v>-01…-07</v>
      </c>
      <c r="AD190" s="14" t="str">
        <f>IF(X190="","?","")</f>
        <v/>
      </c>
      <c r="AE190" s="15" t="str">
        <f>_xlfn.CONCAT(AA190,"…",TEXT(P190,"+00;-00;+00;"),"...",TEXT(Q190,"+00;-00;+00;"))</f>
        <v>203-212…-01...-07</v>
      </c>
      <c r="AF190" s="13" t="str">
        <f>_xlfn.CONCAT(R190,"…",TEXT(P190,"+00;-00;+00;"),"...",TEXT(Q190,"+00;-00;+00;"))</f>
        <v>LLLWW…-01...-07</v>
      </c>
    </row>
    <row r="191" spans="1:32" x14ac:dyDescent="0.25">
      <c r="A191" s="12" t="s">
        <v>488</v>
      </c>
      <c r="B191" s="13" t="s">
        <v>7</v>
      </c>
      <c r="C191" s="14">
        <v>2</v>
      </c>
      <c r="D191" s="13" t="s">
        <v>541</v>
      </c>
      <c r="E191" s="13" t="s">
        <v>542</v>
      </c>
      <c r="F191" s="15" t="s">
        <v>31</v>
      </c>
      <c r="G191" s="15" t="s">
        <v>30</v>
      </c>
      <c r="H191" s="15" t="s">
        <v>31</v>
      </c>
      <c r="I191" s="15" t="s">
        <v>31</v>
      </c>
      <c r="J191" s="15" t="s">
        <v>30</v>
      </c>
      <c r="K191" s="15" t="s">
        <v>30</v>
      </c>
      <c r="L191" s="15" t="s">
        <v>30</v>
      </c>
      <c r="M191" s="15" t="s">
        <v>31</v>
      </c>
      <c r="N191" s="15" t="s">
        <v>31</v>
      </c>
      <c r="O191" s="15" t="s">
        <v>29</v>
      </c>
      <c r="P191" s="16">
        <v>-8</v>
      </c>
      <c r="Q191" s="16">
        <v>8</v>
      </c>
      <c r="R191" s="13" t="str">
        <f>_xlfn.CONCAT(F191,G191,H191,I191,J191)</f>
        <v>LWLLW</v>
      </c>
      <c r="S191" s="13" t="str">
        <f>_xlfn.CONCAT(K191,L191,M191,N191,O191)</f>
        <v>WWLLD</v>
      </c>
      <c r="T191" s="13" t="str">
        <f>_xlfn.CONCAT(R191,"***",S191)</f>
        <v>LWLLW***WWLLD</v>
      </c>
      <c r="U191" s="19">
        <f>(P191-Q191)</f>
        <v>-16</v>
      </c>
      <c r="V191" s="14">
        <v>1</v>
      </c>
      <c r="W191" s="14">
        <v>0</v>
      </c>
      <c r="X191" s="20" t="str">
        <f>IF(ISBLANK(V191),"",IF(V191&gt;W191,"1",IF(V191&lt;W191,"2",IF(V191=W191,"X"))))</f>
        <v>1</v>
      </c>
      <c r="Y191" s="23" t="str">
        <f>COUNTIF(F191:J191, "W")&amp;COUNTIF(F191:J191, "d")&amp;COUNTIF(F191:J191, "l")</f>
        <v>203</v>
      </c>
      <c r="Z191" s="13" t="str">
        <f>COUNTIF(K191:O191, "W")&amp;COUNTIF(K191:O191, "d")&amp;COUNTIF(K191:O191, "l")</f>
        <v>212</v>
      </c>
      <c r="AA191" s="23" t="str">
        <f>_xlfn.CONCAT(Y191,"-",Z191)</f>
        <v>203-212</v>
      </c>
      <c r="AB191" s="15" t="str">
        <f>_xlfn.CONCAT(AA191,"…",TEXT(U191,"+00;-00;+00;"))</f>
        <v>203-212…-16</v>
      </c>
      <c r="AC191" s="23" t="str">
        <f>_xlfn.CONCAT(TEXT(P191,"+00;-00;+00;"),"…",TEXT(Q191,"+00;-00;+00;"))</f>
        <v>-08…+08</v>
      </c>
      <c r="AD191" s="14" t="str">
        <f>IF(X191="","?","")</f>
        <v/>
      </c>
      <c r="AE191" s="15" t="str">
        <f>_xlfn.CONCAT(AA191,"…",TEXT(P191,"+00;-00;+00;"),"...",TEXT(Q191,"+00;-00;+00;"))</f>
        <v>203-212…-08...+08</v>
      </c>
      <c r="AF191" s="13" t="str">
        <f>_xlfn.CONCAT(R191,"…",TEXT(P191,"+00;-00;+00;"),"...",TEXT(Q191,"+00;-00;+00;"))</f>
        <v>LWLLW…-08...+08</v>
      </c>
    </row>
    <row r="192" spans="1:32" x14ac:dyDescent="0.25">
      <c r="A192" s="12" t="s">
        <v>488</v>
      </c>
      <c r="B192" s="13" t="s">
        <v>7</v>
      </c>
      <c r="C192" s="14">
        <v>2</v>
      </c>
      <c r="D192" s="13" t="s">
        <v>537</v>
      </c>
      <c r="E192" s="13" t="s">
        <v>538</v>
      </c>
      <c r="F192" s="15" t="s">
        <v>31</v>
      </c>
      <c r="G192" s="15" t="s">
        <v>31</v>
      </c>
      <c r="H192" s="15" t="s">
        <v>30</v>
      </c>
      <c r="I192" s="15" t="s">
        <v>31</v>
      </c>
      <c r="J192" s="15" t="s">
        <v>30</v>
      </c>
      <c r="K192" s="15" t="s">
        <v>31</v>
      </c>
      <c r="L192" s="15" t="s">
        <v>31</v>
      </c>
      <c r="M192" s="15" t="s">
        <v>29</v>
      </c>
      <c r="N192" s="15" t="s">
        <v>30</v>
      </c>
      <c r="O192" s="15" t="s">
        <v>30</v>
      </c>
      <c r="P192" s="16">
        <v>-8</v>
      </c>
      <c r="Q192" s="16">
        <v>-10</v>
      </c>
      <c r="R192" s="13" t="str">
        <f>_xlfn.CONCAT(F192,G192,H192,I192,J192)</f>
        <v>LLWLW</v>
      </c>
      <c r="S192" s="13" t="str">
        <f>_xlfn.CONCAT(K192,L192,M192,N192,O192)</f>
        <v>LLDWW</v>
      </c>
      <c r="T192" s="13" t="str">
        <f>_xlfn.CONCAT(R192,"***",S192)</f>
        <v>LLWLW***LLDWW</v>
      </c>
      <c r="U192" s="19">
        <f>(P192-Q192)</f>
        <v>2</v>
      </c>
      <c r="V192" s="14">
        <v>3</v>
      </c>
      <c r="W192" s="14">
        <v>1</v>
      </c>
      <c r="X192" s="20" t="str">
        <f>IF(ISBLANK(V192),"",IF(V192&gt;W192,"1",IF(V192&lt;W192,"2",IF(V192=W192,"X"))))</f>
        <v>1</v>
      </c>
      <c r="Y192" s="23" t="str">
        <f>COUNTIF(F192:J192, "W")&amp;COUNTIF(F192:J192, "d")&amp;COUNTIF(F192:J192, "l")</f>
        <v>203</v>
      </c>
      <c r="Z192" s="13" t="str">
        <f>COUNTIF(K192:O192, "W")&amp;COUNTIF(K192:O192, "d")&amp;COUNTIF(K192:O192, "l")</f>
        <v>212</v>
      </c>
      <c r="AA192" s="23" t="str">
        <f>_xlfn.CONCAT(Y192,"-",Z192)</f>
        <v>203-212</v>
      </c>
      <c r="AB192" s="15" t="str">
        <f>_xlfn.CONCAT(AA192,"…",TEXT(U192,"+00;-00;+00;"))</f>
        <v>203-212…+02</v>
      </c>
      <c r="AC192" s="23" t="str">
        <f>_xlfn.CONCAT(TEXT(P192,"+00;-00;+00;"),"…",TEXT(Q192,"+00;-00;+00;"))</f>
        <v>-08…-10</v>
      </c>
      <c r="AD192" s="14" t="str">
        <f>IF(X192="","?","")</f>
        <v/>
      </c>
      <c r="AE192" s="15" t="str">
        <f>_xlfn.CONCAT(AA192,"…",TEXT(P192,"+00;-00;+00;"),"...",TEXT(Q192,"+00;-00;+00;"))</f>
        <v>203-212…-08...-10</v>
      </c>
      <c r="AF192" s="13" t="str">
        <f>_xlfn.CONCAT(R192,"…",TEXT(P192,"+00;-00;+00;"),"...",TEXT(Q192,"+00;-00;+00;"))</f>
        <v>LLWLW…-08...-10</v>
      </c>
    </row>
    <row r="193" spans="1:32" x14ac:dyDescent="0.25">
      <c r="A193" s="12" t="s">
        <v>488</v>
      </c>
      <c r="B193" s="13" t="s">
        <v>7</v>
      </c>
      <c r="C193" s="14">
        <v>1</v>
      </c>
      <c r="D193" s="13" t="s">
        <v>511</v>
      </c>
      <c r="E193" s="13" t="s">
        <v>512</v>
      </c>
      <c r="F193" s="15" t="s">
        <v>30</v>
      </c>
      <c r="G193" s="15" t="s">
        <v>30</v>
      </c>
      <c r="H193" s="15" t="s">
        <v>31</v>
      </c>
      <c r="I193" s="15" t="s">
        <v>29</v>
      </c>
      <c r="J193" s="15" t="s">
        <v>31</v>
      </c>
      <c r="K193" s="15" t="s">
        <v>30</v>
      </c>
      <c r="L193" s="15" t="s">
        <v>30</v>
      </c>
      <c r="M193" s="15" t="s">
        <v>31</v>
      </c>
      <c r="N193" s="15" t="s">
        <v>31</v>
      </c>
      <c r="O193" s="15" t="s">
        <v>29</v>
      </c>
      <c r="P193" s="16">
        <v>9</v>
      </c>
      <c r="Q193" s="16">
        <v>-3</v>
      </c>
      <c r="R193" s="13" t="str">
        <f>_xlfn.CONCAT(F193,G193,H193,I193,J193)</f>
        <v>WWLDL</v>
      </c>
      <c r="S193" s="13" t="str">
        <f>_xlfn.CONCAT(K193,L193,M193,N193,O193)</f>
        <v>WWLLD</v>
      </c>
      <c r="T193" s="13" t="str">
        <f>_xlfn.CONCAT(R193,"***",S193)</f>
        <v>WWLDL***WWLLD</v>
      </c>
      <c r="U193" s="19">
        <f>(P193-Q193)</f>
        <v>12</v>
      </c>
      <c r="V193" s="14">
        <v>1</v>
      </c>
      <c r="W193" s="14">
        <v>2</v>
      </c>
      <c r="X193" s="20" t="str">
        <f>IF(ISBLANK(V193),"",IF(V193&gt;W193,"1",IF(V193&lt;W193,"2",IF(V193=W193,"X"))))</f>
        <v>2</v>
      </c>
      <c r="Y193" s="23" t="str">
        <f>COUNTIF(F193:J193, "W")&amp;COUNTIF(F193:J193, "d")&amp;COUNTIF(F193:J193, "l")</f>
        <v>212</v>
      </c>
      <c r="Z193" s="13" t="str">
        <f>COUNTIF(K193:O193, "W")&amp;COUNTIF(K193:O193, "d")&amp;COUNTIF(K193:O193, "l")</f>
        <v>212</v>
      </c>
      <c r="AA193" s="23" t="str">
        <f>_xlfn.CONCAT(Y193,"-",Z193)</f>
        <v>212-212</v>
      </c>
      <c r="AB193" s="15" t="str">
        <f>_xlfn.CONCAT(AA193,"…",TEXT(U193,"+00;-00;+00;"))</f>
        <v>212-212…+12</v>
      </c>
      <c r="AC193" s="23" t="str">
        <f>_xlfn.CONCAT(TEXT(P193,"+00;-00;+00;"),"…",TEXT(Q193,"+00;-00;+00;"))</f>
        <v>+09…-03</v>
      </c>
      <c r="AD193" s="14" t="str">
        <f>IF(X193="","?","")</f>
        <v/>
      </c>
      <c r="AE193" s="15" t="str">
        <f>_xlfn.CONCAT(AA193,"…",TEXT(P193,"+00;-00;+00;"),"...",TEXT(Q193,"+00;-00;+00;"))</f>
        <v>212-212…+09...-03</v>
      </c>
      <c r="AF193" s="13" t="str">
        <f>_xlfn.CONCAT(R193,"…",TEXT(P193,"+00;-00;+00;"),"...",TEXT(Q193,"+00;-00;+00;"))</f>
        <v>WWLDL…+09...-03</v>
      </c>
    </row>
    <row r="194" spans="1:32" x14ac:dyDescent="0.25">
      <c r="A194" s="12" t="s">
        <v>488</v>
      </c>
      <c r="B194" s="13" t="s">
        <v>7</v>
      </c>
      <c r="C194" s="14" t="s">
        <v>32</v>
      </c>
      <c r="D194" s="13" t="s">
        <v>493</v>
      </c>
      <c r="E194" s="13" t="s">
        <v>494</v>
      </c>
      <c r="F194" s="15" t="s">
        <v>31</v>
      </c>
      <c r="G194" s="15" t="s">
        <v>30</v>
      </c>
      <c r="H194" s="15" t="s">
        <v>29</v>
      </c>
      <c r="I194" s="15" t="s">
        <v>31</v>
      </c>
      <c r="J194" s="15" t="s">
        <v>30</v>
      </c>
      <c r="K194" s="15" t="s">
        <v>31</v>
      </c>
      <c r="L194" s="15" t="s">
        <v>30</v>
      </c>
      <c r="M194" s="15" t="s">
        <v>30</v>
      </c>
      <c r="N194" s="15" t="s">
        <v>31</v>
      </c>
      <c r="O194" s="15" t="s">
        <v>29</v>
      </c>
      <c r="P194" s="16">
        <v>-1</v>
      </c>
      <c r="Q194" s="16">
        <v>-2</v>
      </c>
      <c r="R194" s="13" t="str">
        <f>_xlfn.CONCAT(F194,G194,H194,I194,J194)</f>
        <v>LWDLW</v>
      </c>
      <c r="S194" s="13" t="str">
        <f>_xlfn.CONCAT(K194,L194,M194,N194,O194)</f>
        <v>LWWLD</v>
      </c>
      <c r="T194" s="13" t="str">
        <f>_xlfn.CONCAT(R194,"***",S194)</f>
        <v>LWDLW***LWWLD</v>
      </c>
      <c r="U194" s="19">
        <f>(P194-Q194)</f>
        <v>1</v>
      </c>
      <c r="V194" s="14">
        <v>4</v>
      </c>
      <c r="W194" s="14">
        <v>0</v>
      </c>
      <c r="X194" s="20" t="str">
        <f>IF(ISBLANK(V194),"",IF(V194&gt;W194,"1",IF(V194&lt;W194,"2",IF(V194=W194,"X"))))</f>
        <v>1</v>
      </c>
      <c r="Y194" s="23" t="str">
        <f>COUNTIF(F194:J194, "W")&amp;COUNTIF(F194:J194, "d")&amp;COUNTIF(F194:J194, "l")</f>
        <v>212</v>
      </c>
      <c r="Z194" s="13" t="str">
        <f>COUNTIF(K194:O194, "W")&amp;COUNTIF(K194:O194, "d")&amp;COUNTIF(K194:O194, "l")</f>
        <v>212</v>
      </c>
      <c r="AA194" s="23" t="str">
        <f>_xlfn.CONCAT(Y194,"-",Z194)</f>
        <v>212-212</v>
      </c>
      <c r="AB194" s="15" t="str">
        <f>_xlfn.CONCAT(AA194,"…",TEXT(U194,"+00;-00;+00;"))</f>
        <v>212-212…+01</v>
      </c>
      <c r="AC194" s="23" t="str">
        <f>_xlfn.CONCAT(TEXT(P194,"+00;-00;+00;"),"…",TEXT(Q194,"+00;-00;+00;"))</f>
        <v>-01…-02</v>
      </c>
      <c r="AD194" s="14" t="str">
        <f>IF(X194="","?","")</f>
        <v/>
      </c>
      <c r="AE194" s="15" t="str">
        <f>_xlfn.CONCAT(AA194,"…",TEXT(P194,"+00;-00;+00;"),"...",TEXT(Q194,"+00;-00;+00;"))</f>
        <v>212-212…-01...-02</v>
      </c>
      <c r="AF194" s="13" t="str">
        <f>_xlfn.CONCAT(R194,"…",TEXT(P194,"+00;-00;+00;"),"...",TEXT(Q194,"+00;-00;+00;"))</f>
        <v>LWDLW…-01...-02</v>
      </c>
    </row>
    <row r="195" spans="1:32" x14ac:dyDescent="0.25">
      <c r="A195" s="12" t="s">
        <v>488</v>
      </c>
      <c r="B195" s="13" t="s">
        <v>7</v>
      </c>
      <c r="C195" s="14">
        <v>1</v>
      </c>
      <c r="D195" s="13" t="s">
        <v>523</v>
      </c>
      <c r="E195" s="13" t="s">
        <v>524</v>
      </c>
      <c r="F195" s="15" t="s">
        <v>31</v>
      </c>
      <c r="G195" s="15" t="s">
        <v>30</v>
      </c>
      <c r="H195" s="15" t="s">
        <v>30</v>
      </c>
      <c r="I195" s="15" t="s">
        <v>29</v>
      </c>
      <c r="J195" s="15" t="s">
        <v>31</v>
      </c>
      <c r="K195" s="15" t="s">
        <v>30</v>
      </c>
      <c r="L195" s="15" t="s">
        <v>30</v>
      </c>
      <c r="M195" s="15" t="s">
        <v>30</v>
      </c>
      <c r="N195" s="15" t="s">
        <v>30</v>
      </c>
      <c r="O195" s="15" t="s">
        <v>30</v>
      </c>
      <c r="P195" s="16">
        <v>13</v>
      </c>
      <c r="Q195" s="16">
        <v>19</v>
      </c>
      <c r="R195" s="13" t="str">
        <f>_xlfn.CONCAT(F195,G195,H195,I195,J195)</f>
        <v>LWWDL</v>
      </c>
      <c r="S195" s="13" t="str">
        <f>_xlfn.CONCAT(K195,L195,M195,N195,O195)</f>
        <v>WWWWW</v>
      </c>
      <c r="T195" s="13" t="str">
        <f>_xlfn.CONCAT(R195,"***",S195)</f>
        <v>LWWDL***WWWWW</v>
      </c>
      <c r="U195" s="19">
        <f>(P195-Q195)</f>
        <v>-6</v>
      </c>
      <c r="V195" s="14">
        <v>1</v>
      </c>
      <c r="W195" s="14">
        <v>1</v>
      </c>
      <c r="X195" s="20" t="str">
        <f>IF(ISBLANK(V195),"",IF(V195&gt;W195,"1",IF(V195&lt;W195,"2",IF(V195=W195,"X"))))</f>
        <v>X</v>
      </c>
      <c r="Y195" s="23" t="str">
        <f>COUNTIF(F195:J195, "W")&amp;COUNTIF(F195:J195, "d")&amp;COUNTIF(F195:J195, "l")</f>
        <v>212</v>
      </c>
      <c r="Z195" s="13" t="str">
        <f>COUNTIF(K195:O195, "W")&amp;COUNTIF(K195:O195, "d")&amp;COUNTIF(K195:O195, "l")</f>
        <v>500</v>
      </c>
      <c r="AA195" s="23" t="str">
        <f>_xlfn.CONCAT(Y195,"-",Z195)</f>
        <v>212-500</v>
      </c>
      <c r="AB195" s="15" t="str">
        <f>_xlfn.CONCAT(AA195,"…",TEXT(U195,"+00;-00;+00;"))</f>
        <v>212-500…-06</v>
      </c>
      <c r="AC195" s="23" t="str">
        <f>_xlfn.CONCAT(TEXT(P195,"+00;-00;+00;"),"…",TEXT(Q195,"+00;-00;+00;"))</f>
        <v>+13…+19</v>
      </c>
      <c r="AD195" s="14" t="str">
        <f>IF(X195="","?","")</f>
        <v/>
      </c>
      <c r="AE195" s="15" t="str">
        <f>_xlfn.CONCAT(AA195,"…",TEXT(P195,"+00;-00;+00;"),"...",TEXT(Q195,"+00;-00;+00;"))</f>
        <v>212-500…+13...+19</v>
      </c>
      <c r="AF195" s="13" t="str">
        <f>_xlfn.CONCAT(R195,"…",TEXT(P195,"+00;-00;+00;"),"...",TEXT(Q195,"+00;-00;+00;"))</f>
        <v>LWWDL…+13...+19</v>
      </c>
    </row>
    <row r="196" spans="1:32" x14ac:dyDescent="0.25">
      <c r="A196" s="12" t="s">
        <v>488</v>
      </c>
      <c r="B196" s="13" t="s">
        <v>7</v>
      </c>
      <c r="C196" s="14">
        <v>1</v>
      </c>
      <c r="D196" s="13" t="s">
        <v>513</v>
      </c>
      <c r="E196" s="13" t="s">
        <v>514</v>
      </c>
      <c r="F196" s="15" t="s">
        <v>31</v>
      </c>
      <c r="G196" s="15" t="s">
        <v>30</v>
      </c>
      <c r="H196" s="15" t="s">
        <v>29</v>
      </c>
      <c r="I196" s="15" t="s">
        <v>30</v>
      </c>
      <c r="J196" s="15" t="s">
        <v>29</v>
      </c>
      <c r="K196" s="15" t="s">
        <v>29</v>
      </c>
      <c r="L196" s="15" t="s">
        <v>31</v>
      </c>
      <c r="M196" s="15" t="s">
        <v>31</v>
      </c>
      <c r="N196" s="15" t="s">
        <v>29</v>
      </c>
      <c r="O196" s="15" t="s">
        <v>29</v>
      </c>
      <c r="P196" s="16">
        <v>1</v>
      </c>
      <c r="Q196" s="16">
        <v>-6</v>
      </c>
      <c r="R196" s="13" t="str">
        <f>_xlfn.CONCAT(F196,G196,H196,I196,J196)</f>
        <v>LWDWD</v>
      </c>
      <c r="S196" s="13" t="str">
        <f>_xlfn.CONCAT(K196,L196,M196,N196,O196)</f>
        <v>DLLDD</v>
      </c>
      <c r="T196" s="13" t="str">
        <f>_xlfn.CONCAT(R196,"***",S196)</f>
        <v>LWDWD***DLLDD</v>
      </c>
      <c r="U196" s="19">
        <f>(P196-Q196)</f>
        <v>7</v>
      </c>
      <c r="V196" s="14">
        <v>1</v>
      </c>
      <c r="W196" s="14">
        <v>1</v>
      </c>
      <c r="X196" s="20" t="str">
        <f>IF(ISBLANK(V196),"",IF(V196&gt;W196,"1",IF(V196&lt;W196,"2",IF(V196=W196,"X"))))</f>
        <v>X</v>
      </c>
      <c r="Y196" s="23" t="str">
        <f>COUNTIF(F196:J196, "W")&amp;COUNTIF(F196:J196, "d")&amp;COUNTIF(F196:J196, "l")</f>
        <v>221</v>
      </c>
      <c r="Z196" s="13" t="str">
        <f>COUNTIF(K196:O196, "W")&amp;COUNTIF(K196:O196, "d")&amp;COUNTIF(K196:O196, "l")</f>
        <v>032</v>
      </c>
      <c r="AA196" s="23" t="str">
        <f>_xlfn.CONCAT(Y196,"-",Z196)</f>
        <v>221-032</v>
      </c>
      <c r="AB196" s="15" t="str">
        <f>_xlfn.CONCAT(AA196,"…",TEXT(U196,"+00;-00;+00;"))</f>
        <v>221-032…+07</v>
      </c>
      <c r="AC196" s="23" t="str">
        <f>_xlfn.CONCAT(TEXT(P196,"+00;-00;+00;"),"…",TEXT(Q196,"+00;-00;+00;"))</f>
        <v>+01…-06</v>
      </c>
      <c r="AD196" s="14" t="str">
        <f>IF(X196="","?","")</f>
        <v/>
      </c>
      <c r="AE196" s="15" t="str">
        <f>_xlfn.CONCAT(AA196,"…",TEXT(P196,"+00;-00;+00;"),"...",TEXT(Q196,"+00;-00;+00;"))</f>
        <v>221-032…+01...-06</v>
      </c>
      <c r="AF196" s="13" t="str">
        <f>_xlfn.CONCAT(R196,"…",TEXT(P196,"+00;-00;+00;"),"...",TEXT(Q196,"+00;-00;+00;"))</f>
        <v>LWDWD…+01...-06</v>
      </c>
    </row>
    <row r="197" spans="1:32" x14ac:dyDescent="0.25">
      <c r="A197" s="12" t="s">
        <v>488</v>
      </c>
      <c r="B197" s="13" t="s">
        <v>7</v>
      </c>
      <c r="C197" s="14" t="s">
        <v>32</v>
      </c>
      <c r="D197" s="13" t="s">
        <v>495</v>
      </c>
      <c r="E197" s="13" t="s">
        <v>496</v>
      </c>
      <c r="F197" s="15" t="s">
        <v>31</v>
      </c>
      <c r="G197" s="15" t="s">
        <v>30</v>
      </c>
      <c r="H197" s="15" t="s">
        <v>29</v>
      </c>
      <c r="I197" s="15" t="s">
        <v>29</v>
      </c>
      <c r="J197" s="15" t="s">
        <v>30</v>
      </c>
      <c r="K197" s="15" t="s">
        <v>30</v>
      </c>
      <c r="L197" s="15" t="s">
        <v>30</v>
      </c>
      <c r="M197" s="15" t="s">
        <v>31</v>
      </c>
      <c r="N197" s="15" t="s">
        <v>31</v>
      </c>
      <c r="O197" s="15" t="s">
        <v>31</v>
      </c>
      <c r="P197" s="16">
        <v>3</v>
      </c>
      <c r="Q197" s="16">
        <v>-2</v>
      </c>
      <c r="R197" s="13" t="str">
        <f>_xlfn.CONCAT(F197,G197,H197,I197,J197)</f>
        <v>LWDDW</v>
      </c>
      <c r="S197" s="13" t="str">
        <f>_xlfn.CONCAT(K197,L197,M197,N197,O197)</f>
        <v>WWLLL</v>
      </c>
      <c r="T197" s="13" t="str">
        <f>_xlfn.CONCAT(R197,"***",S197)</f>
        <v>LWDDW***WWLLL</v>
      </c>
      <c r="U197" s="19">
        <f>(P197-Q197)</f>
        <v>5</v>
      </c>
      <c r="V197" s="14">
        <v>3</v>
      </c>
      <c r="W197" s="14">
        <v>2</v>
      </c>
      <c r="X197" s="20" t="str">
        <f>IF(ISBLANK(V197),"",IF(V197&gt;W197,"1",IF(V197&lt;W197,"2",IF(V197=W197,"X"))))</f>
        <v>1</v>
      </c>
      <c r="Y197" s="23" t="str">
        <f>COUNTIF(F197:J197, "W")&amp;COUNTIF(F197:J197, "d")&amp;COUNTIF(F197:J197, "l")</f>
        <v>221</v>
      </c>
      <c r="Z197" s="13" t="str">
        <f>COUNTIF(K197:O197, "W")&amp;COUNTIF(K197:O197, "d")&amp;COUNTIF(K197:O197, "l")</f>
        <v>203</v>
      </c>
      <c r="AA197" s="23" t="str">
        <f>_xlfn.CONCAT(Y197,"-",Z197)</f>
        <v>221-203</v>
      </c>
      <c r="AB197" s="15" t="str">
        <f>_xlfn.CONCAT(AA197,"…",TEXT(U197,"+00;-00;+00;"))</f>
        <v>221-203…+05</v>
      </c>
      <c r="AC197" s="23" t="str">
        <f>_xlfn.CONCAT(TEXT(P197,"+00;-00;+00;"),"…",TEXT(Q197,"+00;-00;+00;"))</f>
        <v>+03…-02</v>
      </c>
      <c r="AD197" s="14" t="str">
        <f>IF(X197="","?","")</f>
        <v/>
      </c>
      <c r="AE197" s="15" t="str">
        <f>_xlfn.CONCAT(AA197,"…",TEXT(P197,"+00;-00;+00;"),"...",TEXT(Q197,"+00;-00;+00;"))</f>
        <v>221-203…+03...-02</v>
      </c>
      <c r="AF197" s="13" t="str">
        <f>_xlfn.CONCAT(R197,"…",TEXT(P197,"+00;-00;+00;"),"...",TEXT(Q197,"+00;-00;+00;"))</f>
        <v>LWDDW…+03...-02</v>
      </c>
    </row>
    <row r="198" spans="1:32" x14ac:dyDescent="0.25">
      <c r="A198" s="12" t="s">
        <v>488</v>
      </c>
      <c r="B198" s="13" t="s">
        <v>7</v>
      </c>
      <c r="C198" s="14">
        <v>1</v>
      </c>
      <c r="D198" s="13" t="s">
        <v>529</v>
      </c>
      <c r="E198" s="13" t="s">
        <v>530</v>
      </c>
      <c r="F198" s="15" t="s">
        <v>29</v>
      </c>
      <c r="G198" s="15" t="s">
        <v>29</v>
      </c>
      <c r="H198" s="15" t="s">
        <v>30</v>
      </c>
      <c r="I198" s="15" t="s">
        <v>31</v>
      </c>
      <c r="J198" s="15" t="s">
        <v>30</v>
      </c>
      <c r="K198" s="15" t="s">
        <v>31</v>
      </c>
      <c r="L198" s="15" t="s">
        <v>30</v>
      </c>
      <c r="M198" s="15" t="s">
        <v>29</v>
      </c>
      <c r="N198" s="15" t="s">
        <v>29</v>
      </c>
      <c r="O198" s="15" t="s">
        <v>30</v>
      </c>
      <c r="P198" s="16">
        <v>4</v>
      </c>
      <c r="Q198" s="16">
        <v>-10</v>
      </c>
      <c r="R198" s="13" t="str">
        <f>_xlfn.CONCAT(F198,G198,H198,I198,J198)</f>
        <v>DDWLW</v>
      </c>
      <c r="S198" s="13" t="str">
        <f>_xlfn.CONCAT(K198,L198,M198,N198,O198)</f>
        <v>LWDDW</v>
      </c>
      <c r="T198" s="13" t="str">
        <f>_xlfn.CONCAT(R198,"***",S198)</f>
        <v>DDWLW***LWDDW</v>
      </c>
      <c r="U198" s="19">
        <f>(P198-Q198)</f>
        <v>14</v>
      </c>
      <c r="V198" s="14">
        <v>3</v>
      </c>
      <c r="W198" s="14">
        <v>0</v>
      </c>
      <c r="X198" s="20" t="str">
        <f>IF(ISBLANK(V198),"",IF(V198&gt;W198,"1",IF(V198&lt;W198,"2",IF(V198=W198,"X"))))</f>
        <v>1</v>
      </c>
      <c r="Y198" s="23" t="str">
        <f>COUNTIF(F198:J198, "W")&amp;COUNTIF(F198:J198, "d")&amp;COUNTIF(F198:J198, "l")</f>
        <v>221</v>
      </c>
      <c r="Z198" s="13" t="str">
        <f>COUNTIF(K198:O198, "W")&amp;COUNTIF(K198:O198, "d")&amp;COUNTIF(K198:O198, "l")</f>
        <v>221</v>
      </c>
      <c r="AA198" s="23" t="str">
        <f>_xlfn.CONCAT(Y198,"-",Z198)</f>
        <v>221-221</v>
      </c>
      <c r="AB198" s="15" t="str">
        <f>_xlfn.CONCAT(AA198,"…",TEXT(U198,"+00;-00;+00;"))</f>
        <v>221-221…+14</v>
      </c>
      <c r="AC198" s="23" t="str">
        <f>_xlfn.CONCAT(TEXT(P198,"+00;-00;+00;"),"…",TEXT(Q198,"+00;-00;+00;"))</f>
        <v>+04…-10</v>
      </c>
      <c r="AD198" s="14" t="str">
        <f>IF(X198="","?","")</f>
        <v/>
      </c>
      <c r="AE198" s="15" t="str">
        <f>_xlfn.CONCAT(AA198,"…",TEXT(P198,"+00;-00;+00;"),"...",TEXT(Q198,"+00;-00;+00;"))</f>
        <v>221-221…+04...-10</v>
      </c>
      <c r="AF198" s="13" t="str">
        <f>_xlfn.CONCAT(R198,"…",TEXT(P198,"+00;-00;+00;"),"...",TEXT(Q198,"+00;-00;+00;"))</f>
        <v>DDWLW…+04...-10</v>
      </c>
    </row>
    <row r="199" spans="1:32" s="8" customFormat="1" x14ac:dyDescent="0.25">
      <c r="A199" s="12" t="s">
        <v>488</v>
      </c>
      <c r="B199" s="13" t="s">
        <v>7</v>
      </c>
      <c r="C199" s="14" t="s">
        <v>32</v>
      </c>
      <c r="D199" s="13" t="s">
        <v>56</v>
      </c>
      <c r="E199" s="13" t="s">
        <v>492</v>
      </c>
      <c r="F199" s="15" t="s">
        <v>29</v>
      </c>
      <c r="G199" s="15" t="s">
        <v>30</v>
      </c>
      <c r="H199" s="15" t="s">
        <v>31</v>
      </c>
      <c r="I199" s="15" t="s">
        <v>30</v>
      </c>
      <c r="J199" s="15" t="s">
        <v>30</v>
      </c>
      <c r="K199" s="15" t="s">
        <v>29</v>
      </c>
      <c r="L199" s="15" t="s">
        <v>31</v>
      </c>
      <c r="M199" s="15" t="s">
        <v>29</v>
      </c>
      <c r="N199" s="15" t="s">
        <v>29</v>
      </c>
      <c r="O199" s="15" t="s">
        <v>31</v>
      </c>
      <c r="P199" s="16">
        <v>3</v>
      </c>
      <c r="Q199" s="16">
        <v>-17</v>
      </c>
      <c r="R199" s="13" t="str">
        <f>_xlfn.CONCAT(F199,G199,H199,I199,J199)</f>
        <v>DWLWW</v>
      </c>
      <c r="S199" s="13" t="str">
        <f>_xlfn.CONCAT(K199,L199,M199,N199,O199)</f>
        <v>DLDDL</v>
      </c>
      <c r="T199" s="13" t="str">
        <f>_xlfn.CONCAT(R199,"***",S199)</f>
        <v>DWLWW***DLDDL</v>
      </c>
      <c r="U199" s="19">
        <f>(P199-Q199)</f>
        <v>20</v>
      </c>
      <c r="V199" s="14">
        <v>4</v>
      </c>
      <c r="W199" s="14">
        <v>1</v>
      </c>
      <c r="X199" s="20" t="str">
        <f>IF(ISBLANK(V199),"",IF(V199&gt;W199,"1",IF(V199&lt;W199,"2",IF(V199=W199,"X"))))</f>
        <v>1</v>
      </c>
      <c r="Y199" s="23" t="str">
        <f>COUNTIF(F199:J199, "W")&amp;COUNTIF(F199:J199, "d")&amp;COUNTIF(F199:J199, "l")</f>
        <v>311</v>
      </c>
      <c r="Z199" s="13" t="str">
        <f>COUNTIF(K199:O199, "W")&amp;COUNTIF(K199:O199, "d")&amp;COUNTIF(K199:O199, "l")</f>
        <v>032</v>
      </c>
      <c r="AA199" s="23" t="str">
        <f>_xlfn.CONCAT(Y199,"-",Z199)</f>
        <v>311-032</v>
      </c>
      <c r="AB199" s="15" t="str">
        <f>_xlfn.CONCAT(AA199,"…",TEXT(U199,"+00;-00;+00;"))</f>
        <v>311-032…+20</v>
      </c>
      <c r="AC199" s="23" t="str">
        <f>_xlfn.CONCAT(TEXT(P199,"+00;-00;+00;"),"…",TEXT(Q199,"+00;-00;+00;"))</f>
        <v>+03…-17</v>
      </c>
      <c r="AD199" s="14" t="str">
        <f>IF(X199="","?","")</f>
        <v/>
      </c>
      <c r="AE199" s="15" t="str">
        <f>_xlfn.CONCAT(AA199,"…",TEXT(P199,"+00;-00;+00;"),"...",TEXT(Q199,"+00;-00;+00;"))</f>
        <v>311-032…+03...-17</v>
      </c>
      <c r="AF199" s="13" t="str">
        <f>_xlfn.CONCAT(R199,"…",TEXT(P199,"+00;-00;+00;"),"...",TEXT(Q199,"+00;-00;+00;"))</f>
        <v>DWLWW…+03...-17</v>
      </c>
    </row>
    <row r="200" spans="1:32" x14ac:dyDescent="0.25">
      <c r="A200" s="12" t="s">
        <v>488</v>
      </c>
      <c r="B200" s="13" t="s">
        <v>7</v>
      </c>
      <c r="C200" s="14">
        <v>2</v>
      </c>
      <c r="D200" s="13" t="s">
        <v>547</v>
      </c>
      <c r="E200" s="13" t="s">
        <v>548</v>
      </c>
      <c r="F200" s="15" t="s">
        <v>30</v>
      </c>
      <c r="G200" s="15" t="s">
        <v>29</v>
      </c>
      <c r="H200" s="15" t="s">
        <v>30</v>
      </c>
      <c r="I200" s="15" t="s">
        <v>30</v>
      </c>
      <c r="J200" s="15" t="s">
        <v>31</v>
      </c>
      <c r="K200" s="15" t="s">
        <v>29</v>
      </c>
      <c r="L200" s="15" t="s">
        <v>29</v>
      </c>
      <c r="M200" s="15" t="s">
        <v>30</v>
      </c>
      <c r="N200" s="15" t="s">
        <v>31</v>
      </c>
      <c r="O200" s="15" t="s">
        <v>31</v>
      </c>
      <c r="P200" s="16">
        <v>4</v>
      </c>
      <c r="Q200" s="16">
        <v>-5</v>
      </c>
      <c r="R200" s="13" t="str">
        <f>_xlfn.CONCAT(F200,G200,H200,I200,J200)</f>
        <v>WDWWL</v>
      </c>
      <c r="S200" s="13" t="str">
        <f>_xlfn.CONCAT(K200,L200,M200,N200,O200)</f>
        <v>DDWLL</v>
      </c>
      <c r="T200" s="13" t="str">
        <f>_xlfn.CONCAT(R200,"***",S200)</f>
        <v>WDWWL***DDWLL</v>
      </c>
      <c r="U200" s="19">
        <f>(P200-Q200)</f>
        <v>9</v>
      </c>
      <c r="V200" s="14">
        <v>1</v>
      </c>
      <c r="W200" s="14">
        <v>1</v>
      </c>
      <c r="X200" s="20" t="str">
        <f>IF(ISBLANK(V200),"",IF(V200&gt;W200,"1",IF(V200&lt;W200,"2",IF(V200=W200,"X"))))</f>
        <v>X</v>
      </c>
      <c r="Y200" s="23" t="str">
        <f>COUNTIF(F200:J200, "W")&amp;COUNTIF(F200:J200, "d")&amp;COUNTIF(F200:J200, "l")</f>
        <v>311</v>
      </c>
      <c r="Z200" s="13" t="str">
        <f>COUNTIF(K200:O200, "W")&amp;COUNTIF(K200:O200, "d")&amp;COUNTIF(K200:O200, "l")</f>
        <v>122</v>
      </c>
      <c r="AA200" s="23" t="str">
        <f>_xlfn.CONCAT(Y200,"-",Z200)</f>
        <v>311-122</v>
      </c>
      <c r="AB200" s="15" t="str">
        <f>_xlfn.CONCAT(AA200,"…",TEXT(U200,"+00;-00;+00;"))</f>
        <v>311-122…+09</v>
      </c>
      <c r="AC200" s="23" t="str">
        <f>_xlfn.CONCAT(TEXT(P200,"+00;-00;+00;"),"…",TEXT(Q200,"+00;-00;+00;"))</f>
        <v>+04…-05</v>
      </c>
      <c r="AD200" s="14" t="str">
        <f>IF(X200="","?","")</f>
        <v/>
      </c>
      <c r="AE200" s="15" t="str">
        <f>_xlfn.CONCAT(AA200,"…",TEXT(P200,"+00;-00;+00;"),"...",TEXT(Q200,"+00;-00;+00;"))</f>
        <v>311-122…+04...-05</v>
      </c>
      <c r="AF200" s="13" t="str">
        <f>_xlfn.CONCAT(R200,"…",TEXT(P200,"+00;-00;+00;"),"...",TEXT(Q200,"+00;-00;+00;"))</f>
        <v>WDWWL…+04...-05</v>
      </c>
    </row>
    <row r="201" spans="1:32" x14ac:dyDescent="0.25">
      <c r="A201" s="12" t="s">
        <v>488</v>
      </c>
      <c r="B201" s="13" t="s">
        <v>7</v>
      </c>
      <c r="C201" s="14" t="s">
        <v>32</v>
      </c>
      <c r="D201" s="13" t="s">
        <v>489</v>
      </c>
      <c r="E201" s="13" t="s">
        <v>57</v>
      </c>
      <c r="F201" s="15" t="s">
        <v>30</v>
      </c>
      <c r="G201" s="15" t="s">
        <v>31</v>
      </c>
      <c r="H201" s="15" t="s">
        <v>29</v>
      </c>
      <c r="I201" s="15" t="s">
        <v>30</v>
      </c>
      <c r="J201" s="15" t="s">
        <v>30</v>
      </c>
      <c r="K201" s="15" t="s">
        <v>30</v>
      </c>
      <c r="L201" s="15" t="s">
        <v>31</v>
      </c>
      <c r="M201" s="15" t="s">
        <v>30</v>
      </c>
      <c r="N201" s="15" t="s">
        <v>30</v>
      </c>
      <c r="O201" s="15" t="s">
        <v>30</v>
      </c>
      <c r="P201" s="16">
        <v>7</v>
      </c>
      <c r="Q201" s="16">
        <v>11</v>
      </c>
      <c r="R201" s="13" t="str">
        <f>_xlfn.CONCAT(F201,G201,H201,I201,J201)</f>
        <v>WLDWW</v>
      </c>
      <c r="S201" s="13" t="str">
        <f>_xlfn.CONCAT(K201,L201,M201,N201,O201)</f>
        <v>WLWWW</v>
      </c>
      <c r="T201" s="13" t="str">
        <f>_xlfn.CONCAT(R201,"***",S201)</f>
        <v>WLDWW***WLWWW</v>
      </c>
      <c r="U201" s="19">
        <f>(P201-Q201)</f>
        <v>-4</v>
      </c>
      <c r="V201" s="14">
        <v>0</v>
      </c>
      <c r="W201" s="14">
        <v>1</v>
      </c>
      <c r="X201" s="20" t="str">
        <f>IF(ISBLANK(V201),"",IF(V201&gt;W201,"1",IF(V201&lt;W201,"2",IF(V201=W201,"X"))))</f>
        <v>2</v>
      </c>
      <c r="Y201" s="23" t="str">
        <f>COUNTIF(F201:J201, "W")&amp;COUNTIF(F201:J201, "d")&amp;COUNTIF(F201:J201, "l")</f>
        <v>311</v>
      </c>
      <c r="Z201" s="13" t="str">
        <f>COUNTIF(K201:O201, "W")&amp;COUNTIF(K201:O201, "d")&amp;COUNTIF(K201:O201, "l")</f>
        <v>401</v>
      </c>
      <c r="AA201" s="23" t="str">
        <f>_xlfn.CONCAT(Y201,"-",Z201)</f>
        <v>311-401</v>
      </c>
      <c r="AB201" s="15" t="str">
        <f>_xlfn.CONCAT(AA201,"…",TEXT(U201,"+00;-00;+00;"))</f>
        <v>311-401…-04</v>
      </c>
      <c r="AC201" s="23" t="str">
        <f>_xlfn.CONCAT(TEXT(P201,"+00;-00;+00;"),"…",TEXT(Q201,"+00;-00;+00;"))</f>
        <v>+07…+11</v>
      </c>
      <c r="AD201" s="14" t="str">
        <f>IF(X201="","?","")</f>
        <v/>
      </c>
      <c r="AE201" s="15" t="str">
        <f>_xlfn.CONCAT(AA201,"…",TEXT(P201,"+00;-00;+00;"),"...",TEXT(Q201,"+00;-00;+00;"))</f>
        <v>311-401…+07...+11</v>
      </c>
      <c r="AF201" s="13" t="str">
        <f>_xlfn.CONCAT(R201,"…",TEXT(P201,"+00;-00;+00;"),"...",TEXT(Q201,"+00;-00;+00;"))</f>
        <v>WLDWW…+07...+11</v>
      </c>
    </row>
    <row r="202" spans="1:32" x14ac:dyDescent="0.25">
      <c r="A202" s="12" t="s">
        <v>488</v>
      </c>
      <c r="B202" s="13" t="s">
        <v>7</v>
      </c>
      <c r="C202" s="14">
        <v>2</v>
      </c>
      <c r="D202" s="13" t="s">
        <v>553</v>
      </c>
      <c r="E202" s="13" t="s">
        <v>554</v>
      </c>
      <c r="F202" s="15" t="s">
        <v>31</v>
      </c>
      <c r="G202" s="15" t="s">
        <v>30</v>
      </c>
      <c r="H202" s="15" t="s">
        <v>30</v>
      </c>
      <c r="I202" s="15" t="s">
        <v>30</v>
      </c>
      <c r="J202" s="15" t="s">
        <v>30</v>
      </c>
      <c r="K202" s="15" t="s">
        <v>31</v>
      </c>
      <c r="L202" s="15" t="s">
        <v>31</v>
      </c>
      <c r="M202" s="15" t="s">
        <v>31</v>
      </c>
      <c r="N202" s="15" t="s">
        <v>29</v>
      </c>
      <c r="O202" s="15" t="s">
        <v>30</v>
      </c>
      <c r="P202" s="16">
        <v>20</v>
      </c>
      <c r="Q202" s="16">
        <v>-3</v>
      </c>
      <c r="R202" s="13" t="str">
        <f>_xlfn.CONCAT(F202,G202,H202,I202,J202)</f>
        <v>LWWWW</v>
      </c>
      <c r="S202" s="13" t="str">
        <f>_xlfn.CONCAT(K202,L202,M202,N202,O202)</f>
        <v>LLLDW</v>
      </c>
      <c r="T202" s="13" t="str">
        <f>_xlfn.CONCAT(R202,"***",S202)</f>
        <v>LWWWW***LLLDW</v>
      </c>
      <c r="U202" s="19">
        <f>(P202-Q202)</f>
        <v>23</v>
      </c>
      <c r="V202" s="14">
        <v>0</v>
      </c>
      <c r="W202" s="14">
        <v>0</v>
      </c>
      <c r="X202" s="20" t="str">
        <f>IF(ISBLANK(V202),"",IF(V202&gt;W202,"1",IF(V202&lt;W202,"2",IF(V202=W202,"X"))))</f>
        <v>X</v>
      </c>
      <c r="Y202" s="23" t="str">
        <f>COUNTIF(F202:J202, "W")&amp;COUNTIF(F202:J202, "d")&amp;COUNTIF(F202:J202, "l")</f>
        <v>401</v>
      </c>
      <c r="Z202" s="13" t="str">
        <f>COUNTIF(K202:O202, "W")&amp;COUNTIF(K202:O202, "d")&amp;COUNTIF(K202:O202, "l")</f>
        <v>113</v>
      </c>
      <c r="AA202" s="23" t="str">
        <f>_xlfn.CONCAT(Y202,"-",Z202)</f>
        <v>401-113</v>
      </c>
      <c r="AB202" s="15" t="str">
        <f>_xlfn.CONCAT(AA202,"…",TEXT(U202,"+00;-00;+00;"))</f>
        <v>401-113…+23</v>
      </c>
      <c r="AC202" s="23" t="str">
        <f>_xlfn.CONCAT(TEXT(P202,"+00;-00;+00;"),"…",TEXT(Q202,"+00;-00;+00;"))</f>
        <v>+20…-03</v>
      </c>
      <c r="AD202" s="14" t="str">
        <f>IF(X202="","?","")</f>
        <v/>
      </c>
      <c r="AE202" s="15" t="str">
        <f>_xlfn.CONCAT(AA202,"…",TEXT(P202,"+00;-00;+00;"),"...",TEXT(Q202,"+00;-00;+00;"))</f>
        <v>401-113…+20...-03</v>
      </c>
      <c r="AF202" s="13" t="str">
        <f>_xlfn.CONCAT(R202,"…",TEXT(P202,"+00;-00;+00;"),"...",TEXT(Q202,"+00;-00;+00;"))</f>
        <v>LWWWW…+20...-03</v>
      </c>
    </row>
    <row r="203" spans="1:32" s="8" customFormat="1" x14ac:dyDescent="0.25">
      <c r="A203" s="12" t="s">
        <v>488</v>
      </c>
      <c r="B203" s="13" t="s">
        <v>7</v>
      </c>
      <c r="C203" s="14">
        <v>2</v>
      </c>
      <c r="D203" s="13" t="s">
        <v>545</v>
      </c>
      <c r="E203" s="13" t="s">
        <v>546</v>
      </c>
      <c r="F203" s="15" t="s">
        <v>31</v>
      </c>
      <c r="G203" s="15" t="s">
        <v>30</v>
      </c>
      <c r="H203" s="15" t="s">
        <v>30</v>
      </c>
      <c r="I203" s="15" t="s">
        <v>30</v>
      </c>
      <c r="J203" s="15" t="s">
        <v>30</v>
      </c>
      <c r="K203" s="15" t="s">
        <v>30</v>
      </c>
      <c r="L203" s="15" t="s">
        <v>29</v>
      </c>
      <c r="M203" s="15" t="s">
        <v>30</v>
      </c>
      <c r="N203" s="15" t="s">
        <v>31</v>
      </c>
      <c r="O203" s="15" t="s">
        <v>31</v>
      </c>
      <c r="P203" s="16">
        <v>17</v>
      </c>
      <c r="Q203" s="16">
        <v>-6</v>
      </c>
      <c r="R203" s="13" t="str">
        <f>_xlfn.CONCAT(F203,G203,H203,I203,J203)</f>
        <v>LWWWW</v>
      </c>
      <c r="S203" s="13" t="str">
        <f>_xlfn.CONCAT(K203,L203,M203,N203,O203)</f>
        <v>WDWLL</v>
      </c>
      <c r="T203" s="13" t="str">
        <f>_xlfn.CONCAT(R203,"***",S203)</f>
        <v>LWWWW***WDWLL</v>
      </c>
      <c r="U203" s="19">
        <f>(P203-Q203)</f>
        <v>23</v>
      </c>
      <c r="V203" s="14">
        <v>2</v>
      </c>
      <c r="W203" s="14">
        <v>2</v>
      </c>
      <c r="X203" s="20" t="str">
        <f>IF(ISBLANK(V203),"",IF(V203&gt;W203,"1",IF(V203&lt;W203,"2",IF(V203=W203,"X"))))</f>
        <v>X</v>
      </c>
      <c r="Y203" s="23" t="str">
        <f>COUNTIF(F203:J203, "W")&amp;COUNTIF(F203:J203, "d")&amp;COUNTIF(F203:J203, "l")</f>
        <v>401</v>
      </c>
      <c r="Z203" s="13" t="str">
        <f>COUNTIF(K203:O203, "W")&amp;COUNTIF(K203:O203, "d")&amp;COUNTIF(K203:O203, "l")</f>
        <v>212</v>
      </c>
      <c r="AA203" s="23" t="str">
        <f>_xlfn.CONCAT(Y203,"-",Z203)</f>
        <v>401-212</v>
      </c>
      <c r="AB203" s="15" t="str">
        <f>_xlfn.CONCAT(AA203,"…",TEXT(U203,"+00;-00;+00;"))</f>
        <v>401-212…+23</v>
      </c>
      <c r="AC203" s="23" t="str">
        <f>_xlfn.CONCAT(TEXT(P203,"+00;-00;+00;"),"…",TEXT(Q203,"+00;-00;+00;"))</f>
        <v>+17…-06</v>
      </c>
      <c r="AD203" s="14" t="str">
        <f>IF(X203="","?","")</f>
        <v/>
      </c>
      <c r="AE203" s="15" t="str">
        <f>_xlfn.CONCAT(AA203,"…",TEXT(P203,"+00;-00;+00;"),"...",TEXT(Q203,"+00;-00;+00;"))</f>
        <v>401-212…+17...-06</v>
      </c>
      <c r="AF203" s="13" t="str">
        <f>_xlfn.CONCAT(R203,"…",TEXT(P203,"+00;-00;+00;"),"...",TEXT(Q203,"+00;-00;+00;"))</f>
        <v>LWWWW…+17...-06</v>
      </c>
    </row>
    <row r="204" spans="1:32" s="8" customFormat="1" x14ac:dyDescent="0.25">
      <c r="A204" s="12" t="s">
        <v>488</v>
      </c>
      <c r="B204" s="13" t="s">
        <v>7</v>
      </c>
      <c r="C204" s="14">
        <v>2</v>
      </c>
      <c r="D204" s="13" t="s">
        <v>535</v>
      </c>
      <c r="E204" s="13" t="s">
        <v>536</v>
      </c>
      <c r="F204" s="15" t="s">
        <v>30</v>
      </c>
      <c r="G204" s="15" t="s">
        <v>30</v>
      </c>
      <c r="H204" s="15" t="s">
        <v>30</v>
      </c>
      <c r="I204" s="15" t="s">
        <v>30</v>
      </c>
      <c r="J204" s="15" t="s">
        <v>29</v>
      </c>
      <c r="K204" s="15" t="s">
        <v>29</v>
      </c>
      <c r="L204" s="15" t="s">
        <v>31</v>
      </c>
      <c r="M204" s="15" t="s">
        <v>31</v>
      </c>
      <c r="N204" s="15" t="s">
        <v>29</v>
      </c>
      <c r="O204" s="15" t="s">
        <v>29</v>
      </c>
      <c r="P204" s="16">
        <v>9</v>
      </c>
      <c r="Q204" s="16">
        <v>-5</v>
      </c>
      <c r="R204" s="13" t="str">
        <f>_xlfn.CONCAT(F204,G204,H204,I204,J204)</f>
        <v>WWWWD</v>
      </c>
      <c r="S204" s="13" t="str">
        <f>_xlfn.CONCAT(K204,L204,M204,N204,O204)</f>
        <v>DLLDD</v>
      </c>
      <c r="T204" s="13" t="str">
        <f>_xlfn.CONCAT(R204,"***",S204)</f>
        <v>WWWWD***DLLDD</v>
      </c>
      <c r="U204" s="19">
        <f>(P204-Q204)</f>
        <v>14</v>
      </c>
      <c r="V204" s="14">
        <v>2</v>
      </c>
      <c r="W204" s="14">
        <v>0</v>
      </c>
      <c r="X204" s="20" t="str">
        <f>IF(ISBLANK(V204),"",IF(V204&gt;W204,"1",IF(V204&lt;W204,"2",IF(V204=W204,"X"))))</f>
        <v>1</v>
      </c>
      <c r="Y204" s="23" t="str">
        <f>COUNTIF(F204:J204, "W")&amp;COUNTIF(F204:J204, "d")&amp;COUNTIF(F204:J204, "l")</f>
        <v>410</v>
      </c>
      <c r="Z204" s="13" t="str">
        <f>COUNTIF(K204:O204, "W")&amp;COUNTIF(K204:O204, "d")&amp;COUNTIF(K204:O204, "l")</f>
        <v>032</v>
      </c>
      <c r="AA204" s="23" t="str">
        <f>_xlfn.CONCAT(Y204,"-",Z204)</f>
        <v>410-032</v>
      </c>
      <c r="AB204" s="15" t="str">
        <f>_xlfn.CONCAT(AA204,"…",TEXT(U204,"+00;-00;+00;"))</f>
        <v>410-032…+14</v>
      </c>
      <c r="AC204" s="23" t="str">
        <f>_xlfn.CONCAT(TEXT(P204,"+00;-00;+00;"),"…",TEXT(Q204,"+00;-00;+00;"))</f>
        <v>+09…-05</v>
      </c>
      <c r="AD204" s="14" t="str">
        <f>IF(X204="","?","")</f>
        <v/>
      </c>
      <c r="AE204" s="15" t="str">
        <f>_xlfn.CONCAT(AA204,"…",TEXT(P204,"+00;-00;+00;"),"...",TEXT(Q204,"+00;-00;+00;"))</f>
        <v>410-032…+09...-05</v>
      </c>
      <c r="AF204" s="13" t="str">
        <f>_xlfn.CONCAT(R204,"…",TEXT(P204,"+00;-00;+00;"),"...",TEXT(Q204,"+00;-00;+00;"))</f>
        <v>WWWWD…+09...-05</v>
      </c>
    </row>
    <row r="205" spans="1:32" x14ac:dyDescent="0.25">
      <c r="A205" s="12" t="s">
        <v>488</v>
      </c>
      <c r="B205" s="13" t="s">
        <v>7</v>
      </c>
      <c r="C205" s="14">
        <v>1</v>
      </c>
      <c r="D205" s="13" t="s">
        <v>527</v>
      </c>
      <c r="E205" s="13" t="s">
        <v>528</v>
      </c>
      <c r="F205" s="15" t="s">
        <v>30</v>
      </c>
      <c r="G205" s="15" t="s">
        <v>30</v>
      </c>
      <c r="H205" s="15" t="s">
        <v>30</v>
      </c>
      <c r="I205" s="15" t="s">
        <v>30</v>
      </c>
      <c r="J205" s="15" t="s">
        <v>29</v>
      </c>
      <c r="K205" s="15" t="s">
        <v>30</v>
      </c>
      <c r="L205" s="15" t="s">
        <v>30</v>
      </c>
      <c r="M205" s="15" t="s">
        <v>31</v>
      </c>
      <c r="N205" s="15" t="s">
        <v>30</v>
      </c>
      <c r="O205" s="15" t="s">
        <v>30</v>
      </c>
      <c r="P205" s="16">
        <v>10</v>
      </c>
      <c r="Q205" s="16">
        <v>17</v>
      </c>
      <c r="R205" s="13" t="str">
        <f>_xlfn.CONCAT(F205,G205,H205,I205,J205)</f>
        <v>WWWWD</v>
      </c>
      <c r="S205" s="13" t="str">
        <f>_xlfn.CONCAT(K205,L205,M205,N205,O205)</f>
        <v>WWLWW</v>
      </c>
      <c r="T205" s="13" t="str">
        <f>_xlfn.CONCAT(R205,"***",S205)</f>
        <v>WWWWD***WWLWW</v>
      </c>
      <c r="U205" s="19">
        <f>(P205-Q205)</f>
        <v>-7</v>
      </c>
      <c r="V205" s="14">
        <v>2</v>
      </c>
      <c r="W205" s="14">
        <v>2</v>
      </c>
      <c r="X205" s="20" t="str">
        <f>IF(ISBLANK(V205),"",IF(V205&gt;W205,"1",IF(V205&lt;W205,"2",IF(V205=W205,"X"))))</f>
        <v>X</v>
      </c>
      <c r="Y205" s="23" t="str">
        <f>COUNTIF(F205:J205, "W")&amp;COUNTIF(F205:J205, "d")&amp;COUNTIF(F205:J205, "l")</f>
        <v>410</v>
      </c>
      <c r="Z205" s="13" t="str">
        <f>COUNTIF(K205:O205, "W")&amp;COUNTIF(K205:O205, "d")&amp;COUNTIF(K205:O205, "l")</f>
        <v>401</v>
      </c>
      <c r="AA205" s="23" t="str">
        <f>_xlfn.CONCAT(Y205,"-",Z205)</f>
        <v>410-401</v>
      </c>
      <c r="AB205" s="15" t="str">
        <f>_xlfn.CONCAT(AA205,"…",TEXT(U205,"+00;-00;+00;"))</f>
        <v>410-401…-07</v>
      </c>
      <c r="AC205" s="23" t="str">
        <f>_xlfn.CONCAT(TEXT(P205,"+00;-00;+00;"),"…",TEXT(Q205,"+00;-00;+00;"))</f>
        <v>+10…+17</v>
      </c>
      <c r="AD205" s="14" t="str">
        <f>IF(X205="","?","")</f>
        <v/>
      </c>
      <c r="AE205" s="15" t="str">
        <f>_xlfn.CONCAT(AA205,"…",TEXT(P205,"+00;-00;+00;"),"...",TEXT(Q205,"+00;-00;+00;"))</f>
        <v>410-401…+10...+17</v>
      </c>
      <c r="AF205" s="13" t="str">
        <f>_xlfn.CONCAT(R205,"…",TEXT(P205,"+00;-00;+00;"),"...",TEXT(Q205,"+00;-00;+00;"))</f>
        <v>WWWWD…+10...+17</v>
      </c>
    </row>
    <row r="206" spans="1:32" x14ac:dyDescent="0.25">
      <c r="A206" s="12" t="s">
        <v>508</v>
      </c>
      <c r="B206" s="13" t="s">
        <v>7</v>
      </c>
      <c r="C206" s="14">
        <v>1</v>
      </c>
      <c r="D206" s="13" t="s">
        <v>531</v>
      </c>
      <c r="E206" s="13" t="s">
        <v>532</v>
      </c>
      <c r="F206" s="15" t="s">
        <v>30</v>
      </c>
      <c r="G206" s="15" t="s">
        <v>31</v>
      </c>
      <c r="H206" s="15" t="s">
        <v>29</v>
      </c>
      <c r="I206" s="15" t="s">
        <v>31</v>
      </c>
      <c r="J206" s="15" t="s">
        <v>31</v>
      </c>
      <c r="K206" s="15" t="s">
        <v>29</v>
      </c>
      <c r="L206" s="15" t="s">
        <v>31</v>
      </c>
      <c r="M206" s="15" t="s">
        <v>31</v>
      </c>
      <c r="N206" s="15" t="s">
        <v>30</v>
      </c>
      <c r="O206" s="15" t="s">
        <v>31</v>
      </c>
      <c r="P206" s="16">
        <v>-12</v>
      </c>
      <c r="Q206" s="16">
        <v>-7</v>
      </c>
      <c r="R206" s="13" t="str">
        <f>_xlfn.CONCAT(F206,G206,H206,I206,J206)</f>
        <v>WLDLL</v>
      </c>
      <c r="S206" s="13" t="str">
        <f>_xlfn.CONCAT(K206,L206,M206,N206,O206)</f>
        <v>DLLWL</v>
      </c>
      <c r="T206" s="13" t="str">
        <f>_xlfn.CONCAT(R206,"***",S206)</f>
        <v>WLDLL***DLLWL</v>
      </c>
      <c r="U206" s="19">
        <f>(P206-Q206)</f>
        <v>-5</v>
      </c>
      <c r="V206" s="14">
        <v>5</v>
      </c>
      <c r="W206" s="14">
        <v>1</v>
      </c>
      <c r="X206" s="20" t="str">
        <f>IF(ISBLANK(V206),"",IF(V206&gt;W206,"1",IF(V206&lt;W206,"2",IF(V206=W206,"X"))))</f>
        <v>1</v>
      </c>
      <c r="Y206" s="23" t="str">
        <f>COUNTIF(F206:J206, "W")&amp;COUNTIF(F206:J206, "d")&amp;COUNTIF(F206:J206, "l")</f>
        <v>113</v>
      </c>
      <c r="Z206" s="13" t="str">
        <f>COUNTIF(K206:O206, "W")&amp;COUNTIF(K206:O206, "d")&amp;COUNTIF(K206:O206, "l")</f>
        <v>113</v>
      </c>
      <c r="AA206" s="23" t="str">
        <f>_xlfn.CONCAT(Y206,"-",Z206)</f>
        <v>113-113</v>
      </c>
      <c r="AB206" s="15" t="str">
        <f>_xlfn.CONCAT(AA206,"…",TEXT(U206,"+00;-00;+00;"))</f>
        <v>113-113…-05</v>
      </c>
      <c r="AC206" s="23" t="str">
        <f>_xlfn.CONCAT(TEXT(P206,"+00;-00;+00;"),"…",TEXT(Q206,"+00;-00;+00;"))</f>
        <v>-12…-07</v>
      </c>
      <c r="AD206" s="14" t="str">
        <f>IF(X206="","?","")</f>
        <v/>
      </c>
      <c r="AE206" s="15" t="str">
        <f>_xlfn.CONCAT(AA206,"…",TEXT(P206,"+00;-00;+00;"),"...",TEXT(Q206,"+00;-00;+00;"))</f>
        <v>113-113…-12...-07</v>
      </c>
      <c r="AF206" s="13" t="str">
        <f>_xlfn.CONCAT(R206,"…",TEXT(P206,"+00;-00;+00;"),"...",TEXT(Q206,"+00;-00;+00;"))</f>
        <v>WLDLL…-12...-07</v>
      </c>
    </row>
    <row r="207" spans="1:32" x14ac:dyDescent="0.25">
      <c r="A207" s="12" t="s">
        <v>557</v>
      </c>
      <c r="B207" s="13" t="s">
        <v>167</v>
      </c>
      <c r="C207" s="14">
        <v>1</v>
      </c>
      <c r="D207" s="13" t="s">
        <v>558</v>
      </c>
      <c r="E207" s="13" t="s">
        <v>559</v>
      </c>
      <c r="F207" s="15" t="s">
        <v>31</v>
      </c>
      <c r="G207" s="15" t="s">
        <v>29</v>
      </c>
      <c r="H207" s="15" t="s">
        <v>31</v>
      </c>
      <c r="I207" s="15" t="s">
        <v>30</v>
      </c>
      <c r="J207" s="15" t="s">
        <v>31</v>
      </c>
      <c r="K207" s="15" t="s">
        <v>31</v>
      </c>
      <c r="L207" s="15" t="s">
        <v>30</v>
      </c>
      <c r="M207" s="15" t="s">
        <v>29</v>
      </c>
      <c r="N207" s="15" t="s">
        <v>31</v>
      </c>
      <c r="O207" s="15" t="s">
        <v>30</v>
      </c>
      <c r="P207" s="16">
        <v>-1</v>
      </c>
      <c r="Q207" s="16">
        <v>-9</v>
      </c>
      <c r="R207" s="13" t="str">
        <f>_xlfn.CONCAT(F207,G207,H207,I207,J207)</f>
        <v>LDLWL</v>
      </c>
      <c r="S207" s="13" t="str">
        <f>_xlfn.CONCAT(K207,L207,M207,N207,O207)</f>
        <v>LWDLW</v>
      </c>
      <c r="T207" s="13" t="str">
        <f>_xlfn.CONCAT(R207,"***",S207)</f>
        <v>LDLWL***LWDLW</v>
      </c>
      <c r="U207" s="19">
        <f>(P207-Q207)</f>
        <v>8</v>
      </c>
      <c r="V207" s="14">
        <v>1</v>
      </c>
      <c r="W207" s="14">
        <v>1</v>
      </c>
      <c r="X207" s="20" t="str">
        <f>IF(ISBLANK(V207),"",IF(V207&gt;W207,"1",IF(V207&lt;W207,"2",IF(V207=W207,"X"))))</f>
        <v>X</v>
      </c>
      <c r="Y207" s="23" t="str">
        <f>COUNTIF(F207:J207, "W")&amp;COUNTIF(F207:J207, "d")&amp;COUNTIF(F207:J207, "l")</f>
        <v>113</v>
      </c>
      <c r="Z207" s="13" t="str">
        <f>COUNTIF(K207:O207, "W")&amp;COUNTIF(K207:O207, "d")&amp;COUNTIF(K207:O207, "l")</f>
        <v>212</v>
      </c>
      <c r="AA207" s="23" t="str">
        <f>_xlfn.CONCAT(Y207,"-",Z207)</f>
        <v>113-212</v>
      </c>
      <c r="AB207" s="15" t="str">
        <f>_xlfn.CONCAT(AA207,"…",TEXT(U207,"+00;-00;+00;"))</f>
        <v>113-212…+08</v>
      </c>
      <c r="AC207" s="23" t="str">
        <f>_xlfn.CONCAT(TEXT(P207,"+00;-00;+00;"),"…",TEXT(Q207,"+00;-00;+00;"))</f>
        <v>-01…-09</v>
      </c>
      <c r="AD207" s="14" t="str">
        <f>IF(X207="","?","")</f>
        <v/>
      </c>
      <c r="AE207" s="15" t="str">
        <f>_xlfn.CONCAT(AA207,"…",TEXT(P207,"+00;-00;+00;"),"...",TEXT(Q207,"+00;-00;+00;"))</f>
        <v>113-212…-01...-09</v>
      </c>
      <c r="AF207" s="13" t="str">
        <f>_xlfn.CONCAT(R207,"…",TEXT(P207,"+00;-00;+00;"),"...",TEXT(Q207,"+00;-00;+00;"))</f>
        <v>LDLWL…-01...-09</v>
      </c>
    </row>
    <row r="208" spans="1:32" x14ac:dyDescent="0.25">
      <c r="A208" s="12" t="s">
        <v>498</v>
      </c>
      <c r="B208" s="13" t="s">
        <v>7</v>
      </c>
      <c r="C208" s="14" t="s">
        <v>32</v>
      </c>
      <c r="D208" s="13" t="s">
        <v>38</v>
      </c>
      <c r="E208" s="13" t="s">
        <v>43</v>
      </c>
      <c r="F208" s="15" t="s">
        <v>31</v>
      </c>
      <c r="G208" s="15" t="s">
        <v>31</v>
      </c>
      <c r="H208" s="15" t="s">
        <v>31</v>
      </c>
      <c r="I208" s="15" t="s">
        <v>30</v>
      </c>
      <c r="J208" s="15" t="s">
        <v>31</v>
      </c>
      <c r="K208" s="15" t="s">
        <v>30</v>
      </c>
      <c r="L208" s="15" t="s">
        <v>31</v>
      </c>
      <c r="M208" s="15" t="s">
        <v>31</v>
      </c>
      <c r="N208" s="15" t="s">
        <v>30</v>
      </c>
      <c r="O208" s="15" t="s">
        <v>30</v>
      </c>
      <c r="P208" s="16">
        <v>-21</v>
      </c>
      <c r="Q208" s="16">
        <v>21</v>
      </c>
      <c r="R208" s="13" t="str">
        <f>_xlfn.CONCAT(F208,G208,H208,I208,J208)</f>
        <v>LLLWL</v>
      </c>
      <c r="S208" s="13" t="str">
        <f>_xlfn.CONCAT(K208,L208,M208,N208,O208)</f>
        <v>WLLWW</v>
      </c>
      <c r="T208" s="13" t="str">
        <f>_xlfn.CONCAT(R208,"***",S208)</f>
        <v>LLLWL***WLLWW</v>
      </c>
      <c r="U208" s="19">
        <f>(P208-Q208)</f>
        <v>-42</v>
      </c>
      <c r="V208" s="14">
        <v>1</v>
      </c>
      <c r="W208" s="14">
        <v>1</v>
      </c>
      <c r="X208" s="20" t="str">
        <f>IF(ISBLANK(V208),"",IF(V208&gt;W208,"1",IF(V208&lt;W208,"2",IF(V208=W208,"X"))))</f>
        <v>X</v>
      </c>
      <c r="Y208" s="23" t="str">
        <f>COUNTIF(F208:J208, "W")&amp;COUNTIF(F208:J208, "d")&amp;COUNTIF(F208:J208, "l")</f>
        <v>104</v>
      </c>
      <c r="Z208" s="13" t="str">
        <f>COUNTIF(K208:O208, "W")&amp;COUNTIF(K208:O208, "d")&amp;COUNTIF(K208:O208, "l")</f>
        <v>302</v>
      </c>
      <c r="AA208" s="23" t="str">
        <f>_xlfn.CONCAT(Y208,"-",Z208)</f>
        <v>104-302</v>
      </c>
      <c r="AB208" s="15" t="str">
        <f>_xlfn.CONCAT(AA208,"…",TEXT(U208,"+00;-00;+00;"))</f>
        <v>104-302…-42</v>
      </c>
      <c r="AC208" s="23" t="str">
        <f>_xlfn.CONCAT(TEXT(P208,"+00;-00;+00;"),"…",TEXT(Q208,"+00;-00;+00;"))</f>
        <v>-21…+21</v>
      </c>
      <c r="AD208" s="14" t="str">
        <f>IF(X208="","?","")</f>
        <v/>
      </c>
      <c r="AE208" s="15" t="str">
        <f>_xlfn.CONCAT(AA208,"…",TEXT(P208,"+00;-00;+00;"),"...",TEXT(Q208,"+00;-00;+00;"))</f>
        <v>104-302…-21...+21</v>
      </c>
      <c r="AF208" s="13" t="str">
        <f>_xlfn.CONCAT(R208,"…",TEXT(P208,"+00;-00;+00;"),"...",TEXT(Q208,"+00;-00;+00;"))</f>
        <v>LLLWL…-21...+21</v>
      </c>
    </row>
    <row r="209" spans="1:32" x14ac:dyDescent="0.25">
      <c r="A209" s="12" t="s">
        <v>498</v>
      </c>
      <c r="B209" s="13" t="s">
        <v>7</v>
      </c>
      <c r="C209" s="14" t="s">
        <v>32</v>
      </c>
      <c r="D209" s="13" t="s">
        <v>504</v>
      </c>
      <c r="E209" s="13" t="s">
        <v>505</v>
      </c>
      <c r="F209" s="15" t="s">
        <v>31</v>
      </c>
      <c r="G209" s="15" t="s">
        <v>30</v>
      </c>
      <c r="H209" s="15" t="s">
        <v>29</v>
      </c>
      <c r="I209" s="15" t="s">
        <v>30</v>
      </c>
      <c r="J209" s="15" t="s">
        <v>31</v>
      </c>
      <c r="K209" s="15" t="s">
        <v>29</v>
      </c>
      <c r="L209" s="15" t="s">
        <v>31</v>
      </c>
      <c r="M209" s="15" t="s">
        <v>29</v>
      </c>
      <c r="N209" s="15" t="s">
        <v>31</v>
      </c>
      <c r="O209" s="15" t="s">
        <v>31</v>
      </c>
      <c r="P209" s="16">
        <v>8</v>
      </c>
      <c r="Q209" s="16">
        <v>-14</v>
      </c>
      <c r="R209" s="13" t="str">
        <f>_xlfn.CONCAT(F209,G209,H209,I209,J209)</f>
        <v>LWDWL</v>
      </c>
      <c r="S209" s="13" t="str">
        <f>_xlfn.CONCAT(K209,L209,M209,N209,O209)</f>
        <v>DLDLL</v>
      </c>
      <c r="T209" s="13" t="str">
        <f>_xlfn.CONCAT(R209,"***",S209)</f>
        <v>LWDWL***DLDLL</v>
      </c>
      <c r="U209" s="19">
        <f>(P209-Q209)</f>
        <v>22</v>
      </c>
      <c r="V209" s="14">
        <v>1</v>
      </c>
      <c r="W209" s="14">
        <v>2</v>
      </c>
      <c r="X209" s="20" t="str">
        <f>IF(ISBLANK(V209),"",IF(V209&gt;W209,"1",IF(V209&lt;W209,"2",IF(V209=W209,"X"))))</f>
        <v>2</v>
      </c>
      <c r="Y209" s="23" t="str">
        <f>COUNTIF(F209:J209, "W")&amp;COUNTIF(F209:J209, "d")&amp;COUNTIF(F209:J209, "l")</f>
        <v>212</v>
      </c>
      <c r="Z209" s="13" t="str">
        <f>COUNTIF(K209:O209, "W")&amp;COUNTIF(K209:O209, "d")&amp;COUNTIF(K209:O209, "l")</f>
        <v>023</v>
      </c>
      <c r="AA209" s="23" t="str">
        <f>_xlfn.CONCAT(Y209,"-",Z209)</f>
        <v>212-023</v>
      </c>
      <c r="AB209" s="15" t="str">
        <f>_xlfn.CONCAT(AA209,"…",TEXT(U209,"+00;-00;+00;"))</f>
        <v>212-023…+22</v>
      </c>
      <c r="AC209" s="23" t="str">
        <f>_xlfn.CONCAT(TEXT(P209,"+00;-00;+00;"),"…",TEXT(Q209,"+00;-00;+00;"))</f>
        <v>+08…-14</v>
      </c>
      <c r="AD209" s="14" t="str">
        <f>IF(X209="","?","")</f>
        <v/>
      </c>
      <c r="AE209" s="15" t="str">
        <f>_xlfn.CONCAT(AA209,"…",TEXT(P209,"+00;-00;+00;"),"...",TEXT(Q209,"+00;-00;+00;"))</f>
        <v>212-023…+08...-14</v>
      </c>
      <c r="AF209" s="13" t="str">
        <f>_xlfn.CONCAT(R209,"…",TEXT(P209,"+00;-00;+00;"),"...",TEXT(Q209,"+00;-00;+00;"))</f>
        <v>LWDWL…+08...-14</v>
      </c>
    </row>
    <row r="210" spans="1:32" x14ac:dyDescent="0.25">
      <c r="A210" s="12" t="s">
        <v>498</v>
      </c>
      <c r="B210" s="13" t="s">
        <v>7</v>
      </c>
      <c r="C210" s="14" t="s">
        <v>32</v>
      </c>
      <c r="D210" s="13" t="s">
        <v>500</v>
      </c>
      <c r="E210" s="13" t="s">
        <v>501</v>
      </c>
      <c r="F210" s="15" t="s">
        <v>30</v>
      </c>
      <c r="G210" s="15" t="s">
        <v>31</v>
      </c>
      <c r="H210" s="15" t="s">
        <v>30</v>
      </c>
      <c r="I210" s="15" t="s">
        <v>31</v>
      </c>
      <c r="J210" s="15" t="s">
        <v>30</v>
      </c>
      <c r="K210" s="15" t="s">
        <v>30</v>
      </c>
      <c r="L210" s="15" t="s">
        <v>31</v>
      </c>
      <c r="M210" s="15" t="s">
        <v>29</v>
      </c>
      <c r="N210" s="15" t="s">
        <v>31</v>
      </c>
      <c r="O210" s="15" t="s">
        <v>31</v>
      </c>
      <c r="P210" s="16">
        <v>1</v>
      </c>
      <c r="Q210" s="16">
        <v>-2</v>
      </c>
      <c r="R210" s="13" t="str">
        <f>_xlfn.CONCAT(F210,G210,H210,I210,J210)</f>
        <v>WLWLW</v>
      </c>
      <c r="S210" s="13" t="str">
        <f>_xlfn.CONCAT(K210,L210,M210,N210,O210)</f>
        <v>WLDLL</v>
      </c>
      <c r="T210" s="13" t="str">
        <f>_xlfn.CONCAT(R210,"***",S210)</f>
        <v>WLWLW***WLDLL</v>
      </c>
      <c r="U210" s="19">
        <f>(P210-Q210)</f>
        <v>3</v>
      </c>
      <c r="V210" s="14">
        <v>4</v>
      </c>
      <c r="W210" s="14">
        <v>2</v>
      </c>
      <c r="X210" s="20" t="str">
        <f>IF(ISBLANK(V210),"",IF(V210&gt;W210,"1",IF(V210&lt;W210,"2",IF(V210=W210,"X"))))</f>
        <v>1</v>
      </c>
      <c r="Y210" s="23" t="str">
        <f>COUNTIF(F210:J210, "W")&amp;COUNTIF(F210:J210, "d")&amp;COUNTIF(F210:J210, "l")</f>
        <v>302</v>
      </c>
      <c r="Z210" s="13" t="str">
        <f>COUNTIF(K210:O210, "W")&amp;COUNTIF(K210:O210, "d")&amp;COUNTIF(K210:O210, "l")</f>
        <v>113</v>
      </c>
      <c r="AA210" s="23" t="str">
        <f>_xlfn.CONCAT(Y210,"-",Z210)</f>
        <v>302-113</v>
      </c>
      <c r="AB210" s="15" t="str">
        <f>_xlfn.CONCAT(AA210,"…",TEXT(U210,"+00;-00;+00;"))</f>
        <v>302-113…+03</v>
      </c>
      <c r="AC210" s="23" t="str">
        <f>_xlfn.CONCAT(TEXT(P210,"+00;-00;+00;"),"…",TEXT(Q210,"+00;-00;+00;"))</f>
        <v>+01…-02</v>
      </c>
      <c r="AD210" s="14" t="str">
        <f>IF(X210="","?","")</f>
        <v/>
      </c>
      <c r="AE210" s="15" t="str">
        <f>_xlfn.CONCAT(AA210,"…",TEXT(P210,"+00;-00;+00;"),"...",TEXT(Q210,"+00;-00;+00;"))</f>
        <v>302-113…+01...-02</v>
      </c>
      <c r="AF210" s="13" t="str">
        <f>_xlfn.CONCAT(R210,"…",TEXT(P210,"+00;-00;+00;"),"...",TEXT(Q210,"+00;-00;+00;"))</f>
        <v>WLWLW…+01...-02</v>
      </c>
    </row>
    <row r="211" spans="1:32" x14ac:dyDescent="0.25">
      <c r="A211" s="12" t="s">
        <v>498</v>
      </c>
      <c r="B211" s="13" t="s">
        <v>7</v>
      </c>
      <c r="C211" s="14" t="s">
        <v>32</v>
      </c>
      <c r="D211" s="13" t="s">
        <v>36</v>
      </c>
      <c r="E211" s="13" t="s">
        <v>502</v>
      </c>
      <c r="F211" s="15" t="s">
        <v>29</v>
      </c>
      <c r="G211" s="15" t="s">
        <v>30</v>
      </c>
      <c r="H211" s="15" t="s">
        <v>30</v>
      </c>
      <c r="I211" s="15" t="s">
        <v>30</v>
      </c>
      <c r="J211" s="15" t="s">
        <v>31</v>
      </c>
      <c r="K211" s="15" t="s">
        <v>29</v>
      </c>
      <c r="L211" s="15" t="s">
        <v>31</v>
      </c>
      <c r="M211" s="15" t="s">
        <v>29</v>
      </c>
      <c r="N211" s="15" t="s">
        <v>30</v>
      </c>
      <c r="O211" s="15" t="s">
        <v>31</v>
      </c>
      <c r="P211" s="16">
        <v>11</v>
      </c>
      <c r="Q211" s="16">
        <v>1</v>
      </c>
      <c r="R211" s="13" t="str">
        <f>_xlfn.CONCAT(F211,G211,H211,I211,J211)</f>
        <v>DWWWL</v>
      </c>
      <c r="S211" s="13" t="str">
        <f>_xlfn.CONCAT(K211,L211,M211,N211,O211)</f>
        <v>DLDWL</v>
      </c>
      <c r="T211" s="13" t="str">
        <f>_xlfn.CONCAT(R211,"***",S211)</f>
        <v>DWWWL***DLDWL</v>
      </c>
      <c r="U211" s="19">
        <f>(P211-Q211)</f>
        <v>10</v>
      </c>
      <c r="V211" s="14">
        <v>3</v>
      </c>
      <c r="W211" s="14">
        <v>1</v>
      </c>
      <c r="X211" s="20" t="str">
        <f>IF(ISBLANK(V211),"",IF(V211&gt;W211,"1",IF(V211&lt;W211,"2",IF(V211=W211,"X"))))</f>
        <v>1</v>
      </c>
      <c r="Y211" s="23" t="str">
        <f>COUNTIF(F211:J211, "W")&amp;COUNTIF(F211:J211, "d")&amp;COUNTIF(F211:J211, "l")</f>
        <v>311</v>
      </c>
      <c r="Z211" s="13" t="str">
        <f>COUNTIF(K211:O211, "W")&amp;COUNTIF(K211:O211, "d")&amp;COUNTIF(K211:O211, "l")</f>
        <v>122</v>
      </c>
      <c r="AA211" s="23" t="str">
        <f>_xlfn.CONCAT(Y211,"-",Z211)</f>
        <v>311-122</v>
      </c>
      <c r="AB211" s="15" t="str">
        <f>_xlfn.CONCAT(AA211,"…",TEXT(U211,"+00;-00;+00;"))</f>
        <v>311-122…+10</v>
      </c>
      <c r="AC211" s="23" t="str">
        <f>_xlfn.CONCAT(TEXT(P211,"+00;-00;+00;"),"…",TEXT(Q211,"+00;-00;+00;"))</f>
        <v>+11…+01</v>
      </c>
      <c r="AD211" s="14" t="str">
        <f>IF(X211="","?","")</f>
        <v/>
      </c>
      <c r="AE211" s="15" t="str">
        <f>_xlfn.CONCAT(AA211,"…",TEXT(P211,"+00;-00;+00;"),"...",TEXT(Q211,"+00;-00;+00;"))</f>
        <v>311-122…+11...+01</v>
      </c>
      <c r="AF211" s="13" t="str">
        <f>_xlfn.CONCAT(R211,"…",TEXT(P211,"+00;-00;+00;"),"...",TEXT(Q211,"+00;-00;+00;"))</f>
        <v>DWWWL…+11...+01</v>
      </c>
    </row>
    <row r="212" spans="1:32" x14ac:dyDescent="0.25">
      <c r="A212" s="12" t="s">
        <v>498</v>
      </c>
      <c r="B212" s="13" t="s">
        <v>7</v>
      </c>
      <c r="C212" s="14" t="s">
        <v>32</v>
      </c>
      <c r="D212" s="13" t="s">
        <v>42</v>
      </c>
      <c r="E212" s="13" t="s">
        <v>503</v>
      </c>
      <c r="F212" s="15" t="s">
        <v>29</v>
      </c>
      <c r="G212" s="15" t="s">
        <v>30</v>
      </c>
      <c r="H212" s="15" t="s">
        <v>30</v>
      </c>
      <c r="I212" s="15" t="s">
        <v>30</v>
      </c>
      <c r="J212" s="15" t="s">
        <v>29</v>
      </c>
      <c r="K212" s="15" t="s">
        <v>30</v>
      </c>
      <c r="L212" s="15" t="s">
        <v>29</v>
      </c>
      <c r="M212" s="15" t="s">
        <v>30</v>
      </c>
      <c r="N212" s="15" t="s">
        <v>31</v>
      </c>
      <c r="O212" s="15" t="s">
        <v>31</v>
      </c>
      <c r="P212" s="16">
        <v>1</v>
      </c>
      <c r="Q212" s="16">
        <v>1</v>
      </c>
      <c r="R212" s="13" t="str">
        <f>_xlfn.CONCAT(F212,G212,H212,I212,J212)</f>
        <v>DWWWD</v>
      </c>
      <c r="S212" s="13" t="str">
        <f>_xlfn.CONCAT(K212,L212,M212,N212,O212)</f>
        <v>WDWLL</v>
      </c>
      <c r="T212" s="13" t="str">
        <f>_xlfn.CONCAT(R212,"***",S212)</f>
        <v>DWWWD***WDWLL</v>
      </c>
      <c r="U212" s="19">
        <f>(P212-Q212)</f>
        <v>0</v>
      </c>
      <c r="V212" s="14">
        <v>1</v>
      </c>
      <c r="W212" s="14">
        <v>0</v>
      </c>
      <c r="X212" s="20" t="str">
        <f>IF(ISBLANK(V212),"",IF(V212&gt;W212,"1",IF(V212&lt;W212,"2",IF(V212=W212,"X"))))</f>
        <v>1</v>
      </c>
      <c r="Y212" s="23" t="str">
        <f>COUNTIF(F212:J212, "W")&amp;COUNTIF(F212:J212, "d")&amp;COUNTIF(F212:J212, "l")</f>
        <v>320</v>
      </c>
      <c r="Z212" s="13" t="str">
        <f>COUNTIF(K212:O212, "W")&amp;COUNTIF(K212:O212, "d")&amp;COUNTIF(K212:O212, "l")</f>
        <v>212</v>
      </c>
      <c r="AA212" s="23" t="str">
        <f>_xlfn.CONCAT(Y212,"-",Z212)</f>
        <v>320-212</v>
      </c>
      <c r="AB212" s="15" t="str">
        <f>_xlfn.CONCAT(AA212,"…",TEXT(U212,"+00;-00;+00;"))</f>
        <v>320-212…+00</v>
      </c>
      <c r="AC212" s="23" t="str">
        <f>_xlfn.CONCAT(TEXT(P212,"+00;-00;+00;"),"…",TEXT(Q212,"+00;-00;+00;"))</f>
        <v>+01…+01</v>
      </c>
      <c r="AD212" s="14" t="str">
        <f>IF(X212="","?","")</f>
        <v/>
      </c>
      <c r="AE212" s="15" t="str">
        <f>_xlfn.CONCAT(AA212,"…",TEXT(P212,"+00;-00;+00;"),"...",TEXT(Q212,"+00;-00;+00;"))</f>
        <v>320-212…+01...+01</v>
      </c>
      <c r="AF212" s="13" t="str">
        <f>_xlfn.CONCAT(R212,"…",TEXT(P212,"+00;-00;+00;"),"...",TEXT(Q212,"+00;-00;+00;"))</f>
        <v>DWWWD…+01...+01</v>
      </c>
    </row>
    <row r="213" spans="1:32" x14ac:dyDescent="0.25">
      <c r="A213" s="12" t="s">
        <v>499</v>
      </c>
      <c r="B213" s="13" t="s">
        <v>59</v>
      </c>
      <c r="C213" s="14">
        <v>1</v>
      </c>
      <c r="D213" s="13" t="s">
        <v>649</v>
      </c>
      <c r="E213" s="13" t="s">
        <v>81</v>
      </c>
      <c r="F213" s="13" t="s">
        <v>31</v>
      </c>
      <c r="G213" s="13" t="s">
        <v>31</v>
      </c>
      <c r="H213" s="13" t="s">
        <v>29</v>
      </c>
      <c r="I213" s="13" t="s">
        <v>31</v>
      </c>
      <c r="J213" s="13" t="s">
        <v>29</v>
      </c>
      <c r="K213" s="13" t="s">
        <v>31</v>
      </c>
      <c r="L213" s="13" t="s">
        <v>31</v>
      </c>
      <c r="M213" s="13" t="s">
        <v>29</v>
      </c>
      <c r="N213" s="13" t="s">
        <v>31</v>
      </c>
      <c r="O213" s="13" t="s">
        <v>31</v>
      </c>
      <c r="P213" s="16">
        <v>-7</v>
      </c>
      <c r="Q213" s="16">
        <v>-10</v>
      </c>
      <c r="R213" s="13" t="str">
        <f>_xlfn.CONCAT(F213,G213,H213,I213,J213)</f>
        <v>LLDLD</v>
      </c>
      <c r="S213" s="13" t="str">
        <f>_xlfn.CONCAT(K213,L213,M213,N213,O213)</f>
        <v>LLDLL</v>
      </c>
      <c r="T213" s="13" t="str">
        <f>_xlfn.CONCAT(R213,"***",S213)</f>
        <v>LLDLD***LLDLL</v>
      </c>
      <c r="U213" s="19">
        <f>(P213-Q213)</f>
        <v>3</v>
      </c>
      <c r="V213" s="14">
        <v>1</v>
      </c>
      <c r="W213" s="14">
        <v>1</v>
      </c>
      <c r="X213" s="20" t="str">
        <f>IF(ISBLANK(V213),"",IF(V213&gt;W213,"1",IF(V213&lt;W213,"2",IF(V213=W213,"X"))))</f>
        <v>X</v>
      </c>
      <c r="Y213" s="23" t="str">
        <f>COUNTIF(F213:J213, "W")&amp;COUNTIF(F213:J213, "d")&amp;COUNTIF(F213:J213, "l")</f>
        <v>023</v>
      </c>
      <c r="Z213" s="13" t="str">
        <f>COUNTIF(K213:O213, "W")&amp;COUNTIF(K213:O213, "d")&amp;COUNTIF(K213:O213, "l")</f>
        <v>014</v>
      </c>
      <c r="AA213" s="23" t="str">
        <f>_xlfn.CONCAT(Y213,"-",Z213)</f>
        <v>023-014</v>
      </c>
      <c r="AB213" s="13" t="str">
        <f>_xlfn.CONCAT(AA213,"…",TEXT(U213,"+00;-00;+00;"))</f>
        <v>023-014…+03</v>
      </c>
      <c r="AC213" s="23" t="str">
        <f>_xlfn.CONCAT(TEXT(P213,"+00;-00;+00;"),"…",TEXT(Q213,"+00;-00;+00;"))</f>
        <v>-07…-10</v>
      </c>
      <c r="AD213" s="14" t="str">
        <f>IF(X213="","?","")</f>
        <v/>
      </c>
      <c r="AE213" s="15" t="str">
        <f>_xlfn.CONCAT(AA213,"…",TEXT(P213,"+00;-00;+00;"),"...",TEXT(Q213,"+00;-00;+00;"))</f>
        <v>023-014…-07...-10</v>
      </c>
      <c r="AF213" s="13" t="str">
        <f>_xlfn.CONCAT(R213,"…",TEXT(P213,"+00;-00;+00;"),"...",TEXT(Q213,"+00;-00;+00;"))</f>
        <v>LLDLD…-07...-10</v>
      </c>
    </row>
    <row r="214" spans="1:32" x14ac:dyDescent="0.25">
      <c r="A214" s="12" t="s">
        <v>499</v>
      </c>
      <c r="B214" s="13" t="s">
        <v>7</v>
      </c>
      <c r="C214" s="14" t="s">
        <v>32</v>
      </c>
      <c r="D214" s="13" t="s">
        <v>506</v>
      </c>
      <c r="E214" s="13" t="s">
        <v>507</v>
      </c>
      <c r="F214" s="15" t="s">
        <v>31</v>
      </c>
      <c r="G214" s="15" t="s">
        <v>30</v>
      </c>
      <c r="H214" s="15" t="s">
        <v>29</v>
      </c>
      <c r="I214" s="15" t="s">
        <v>29</v>
      </c>
      <c r="J214" s="15" t="s">
        <v>30</v>
      </c>
      <c r="K214" s="15" t="s">
        <v>31</v>
      </c>
      <c r="L214" s="15" t="s">
        <v>30</v>
      </c>
      <c r="M214" s="15" t="s">
        <v>31</v>
      </c>
      <c r="N214" s="15" t="s">
        <v>29</v>
      </c>
      <c r="O214" s="15" t="s">
        <v>31</v>
      </c>
      <c r="P214" s="16">
        <v>13</v>
      </c>
      <c r="Q214" s="16">
        <v>-3</v>
      </c>
      <c r="R214" s="13" t="str">
        <f>_xlfn.CONCAT(F214,G214,H214,I214,J214)</f>
        <v>LWDDW</v>
      </c>
      <c r="S214" s="13" t="str">
        <f>_xlfn.CONCAT(K214,L214,M214,N214,O214)</f>
        <v>LWLDL</v>
      </c>
      <c r="T214" s="13" t="str">
        <f>_xlfn.CONCAT(R214,"***",S214)</f>
        <v>LWDDW***LWLDL</v>
      </c>
      <c r="U214" s="19">
        <f>(P214-Q214)</f>
        <v>16</v>
      </c>
      <c r="V214" s="14">
        <v>3</v>
      </c>
      <c r="W214" s="14">
        <v>1</v>
      </c>
      <c r="X214" s="20" t="str">
        <f>IF(ISBLANK(V214),"",IF(V214&gt;W214,"1",IF(V214&lt;W214,"2",IF(V214=W214,"X"))))</f>
        <v>1</v>
      </c>
      <c r="Y214" s="23" t="str">
        <f>COUNTIF(F214:J214, "W")&amp;COUNTIF(F214:J214, "d")&amp;COUNTIF(F214:J214, "l")</f>
        <v>221</v>
      </c>
      <c r="Z214" s="13" t="str">
        <f>COUNTIF(K214:O214, "W")&amp;COUNTIF(K214:O214, "d")&amp;COUNTIF(K214:O214, "l")</f>
        <v>113</v>
      </c>
      <c r="AA214" s="23" t="str">
        <f>_xlfn.CONCAT(Y214,"-",Z214)</f>
        <v>221-113</v>
      </c>
      <c r="AB214" s="15" t="str">
        <f>_xlfn.CONCAT(AA214,"…",TEXT(U214,"+00;-00;+00;"))</f>
        <v>221-113…+16</v>
      </c>
      <c r="AC214" s="23" t="str">
        <f>_xlfn.CONCAT(TEXT(P214,"+00;-00;+00;"),"…",TEXT(Q214,"+00;-00;+00;"))</f>
        <v>+13…-03</v>
      </c>
      <c r="AD214" s="14" t="str">
        <f>IF(X214="","?","")</f>
        <v/>
      </c>
      <c r="AE214" s="15" t="str">
        <f>_xlfn.CONCAT(AA214,"…",TEXT(P214,"+00;-00;+00;"),"...",TEXT(Q214,"+00;-00;+00;"))</f>
        <v>221-113…+13...-03</v>
      </c>
      <c r="AF214" s="13" t="str">
        <f>_xlfn.CONCAT(R214,"…",TEXT(P214,"+00;-00;+00;"),"...",TEXT(Q214,"+00;-00;+00;"))</f>
        <v>LWDDW…+13...-03</v>
      </c>
    </row>
    <row r="215" spans="1:32" x14ac:dyDescent="0.25">
      <c r="A215" s="12" t="s">
        <v>778</v>
      </c>
      <c r="B215" s="13" t="s">
        <v>397</v>
      </c>
      <c r="C215" s="14" t="s">
        <v>0</v>
      </c>
      <c r="D215" s="13" t="s">
        <v>781</v>
      </c>
      <c r="E215" s="13" t="s">
        <v>782</v>
      </c>
      <c r="F215" s="13" t="s">
        <v>31</v>
      </c>
      <c r="G215" s="13" t="s">
        <v>31</v>
      </c>
      <c r="H215" s="13" t="s">
        <v>30</v>
      </c>
      <c r="I215" s="13" t="s">
        <v>30</v>
      </c>
      <c r="J215" s="13" t="s">
        <v>30</v>
      </c>
      <c r="K215" s="13" t="s">
        <v>31</v>
      </c>
      <c r="L215" s="13" t="s">
        <v>31</v>
      </c>
      <c r="M215" s="13" t="s">
        <v>31</v>
      </c>
      <c r="N215" s="13" t="s">
        <v>30</v>
      </c>
      <c r="O215" s="13" t="s">
        <v>31</v>
      </c>
      <c r="P215" s="16">
        <v>4</v>
      </c>
      <c r="Q215" s="16">
        <v>-16</v>
      </c>
      <c r="R215" s="13" t="str">
        <f>_xlfn.CONCAT(F215,G215,H215,I215,J215)</f>
        <v>LLWWW</v>
      </c>
      <c r="S215" s="13" t="str">
        <f>_xlfn.CONCAT(K215,L215,M215,N215,O215)</f>
        <v>LLLWL</v>
      </c>
      <c r="T215" s="13" t="str">
        <f>_xlfn.CONCAT(R215,"***",S215)</f>
        <v>LLWWW***LLLWL</v>
      </c>
      <c r="U215" s="21">
        <f>(P215-Q215)</f>
        <v>20</v>
      </c>
      <c r="V215" s="14">
        <v>2</v>
      </c>
      <c r="W215" s="14">
        <v>1</v>
      </c>
      <c r="X215" s="20" t="str">
        <f>IF(ISBLANK(V215),"",IF(V215&gt;W215,"1",IF(V215&lt;W215,"2",IF(V215=W215,"X"))))</f>
        <v>1</v>
      </c>
      <c r="Y215" s="23" t="str">
        <f>COUNTIF(F215:J215, "W")&amp;COUNTIF(F215:J215, "d")&amp;COUNTIF(F215:J215, "l")</f>
        <v>302</v>
      </c>
      <c r="Z215" s="13" t="str">
        <f>COUNTIF(K215:O215, "W")&amp;COUNTIF(K215:O215, "d")&amp;COUNTIF(K215:O215, "l")</f>
        <v>104</v>
      </c>
      <c r="AA215" s="23" t="str">
        <f>_xlfn.CONCAT(Y215,"-",Z215)</f>
        <v>302-104</v>
      </c>
      <c r="AB215" s="13" t="str">
        <f>_xlfn.CONCAT(AA215,"…",TEXT(U215,"+00;-00;+00;"))</f>
        <v>302-104…+20</v>
      </c>
      <c r="AC215" s="23" t="str">
        <f>_xlfn.CONCAT(TEXT(P215,"+00;-00;+00;"),"…",TEXT(Q215,"+00;-00;+00;"))</f>
        <v>+04…-16</v>
      </c>
      <c r="AD215" s="14" t="str">
        <f>IF(X215="","?","")</f>
        <v/>
      </c>
      <c r="AE215" s="15" t="str">
        <f>_xlfn.CONCAT(AA215,"…",TEXT(P215,"+00;-00;+00;"),"...",TEXT(Q215,"+00;-00;+00;"))</f>
        <v>302-104…+04...-16</v>
      </c>
      <c r="AF215" s="13" t="str">
        <f>_xlfn.CONCAT(R215,"…",TEXT(P215,"+00;-00;+00;"),"...",TEXT(Q215,"+00;-00;+00;"))</f>
        <v>LLWWW…+04...-16</v>
      </c>
    </row>
    <row r="216" spans="1:32" s="8" customFormat="1" x14ac:dyDescent="0.25">
      <c r="A216" s="12" t="s">
        <v>779</v>
      </c>
      <c r="B216" s="13" t="s">
        <v>397</v>
      </c>
      <c r="C216" s="14" t="s">
        <v>0</v>
      </c>
      <c r="D216" s="13" t="s">
        <v>783</v>
      </c>
      <c r="E216" s="13" t="s">
        <v>784</v>
      </c>
      <c r="F216" s="13" t="s">
        <v>30</v>
      </c>
      <c r="G216" s="13" t="s">
        <v>29</v>
      </c>
      <c r="H216" s="13" t="s">
        <v>30</v>
      </c>
      <c r="I216" s="13" t="s">
        <v>31</v>
      </c>
      <c r="J216" s="13" t="s">
        <v>31</v>
      </c>
      <c r="K216" s="13" t="s">
        <v>29</v>
      </c>
      <c r="L216" s="13" t="s">
        <v>29</v>
      </c>
      <c r="M216" s="13" t="s">
        <v>29</v>
      </c>
      <c r="N216" s="13" t="s">
        <v>31</v>
      </c>
      <c r="O216" s="13" t="s">
        <v>31</v>
      </c>
      <c r="P216" s="16">
        <v>3</v>
      </c>
      <c r="Q216" s="16">
        <v>8</v>
      </c>
      <c r="R216" s="13" t="str">
        <f>_xlfn.CONCAT(F216,G216,H216,I216,J216)</f>
        <v>WDWLL</v>
      </c>
      <c r="S216" s="13" t="str">
        <f>_xlfn.CONCAT(K216,L216,M216,N216,O216)</f>
        <v>DDDLL</v>
      </c>
      <c r="T216" s="13" t="str">
        <f>_xlfn.CONCAT(R216,"***",S216)</f>
        <v>WDWLL***DDDLL</v>
      </c>
      <c r="U216" s="21">
        <f>(P216-Q216)</f>
        <v>-5</v>
      </c>
      <c r="V216" s="14">
        <v>1</v>
      </c>
      <c r="W216" s="14">
        <v>1</v>
      </c>
      <c r="X216" s="20" t="str">
        <f>IF(ISBLANK(V216),"",IF(V216&gt;W216,"1",IF(V216&lt;W216,"2",IF(V216=W216,"X"))))</f>
        <v>X</v>
      </c>
      <c r="Y216" s="23" t="str">
        <f>COUNTIF(F216:J216, "W")&amp;COUNTIF(F216:J216, "d")&amp;COUNTIF(F216:J216, "l")</f>
        <v>212</v>
      </c>
      <c r="Z216" s="13" t="str">
        <f>COUNTIF(K216:O216, "W")&amp;COUNTIF(K216:O216, "d")&amp;COUNTIF(K216:O216, "l")</f>
        <v>032</v>
      </c>
      <c r="AA216" s="23" t="str">
        <f>_xlfn.CONCAT(Y216,"-",Z216)</f>
        <v>212-032</v>
      </c>
      <c r="AB216" s="13" t="str">
        <f>_xlfn.CONCAT(AA216,"…",TEXT(U216,"+00;-00;+00;"))</f>
        <v>212-032…-05</v>
      </c>
      <c r="AC216" s="23" t="str">
        <f>_xlfn.CONCAT(TEXT(P216,"+00;-00;+00;"),"…",TEXT(Q216,"+00;-00;+00;"))</f>
        <v>+03…+08</v>
      </c>
      <c r="AD216" s="14" t="str">
        <f>IF(X216="","?","")</f>
        <v/>
      </c>
      <c r="AE216" s="15" t="str">
        <f>_xlfn.CONCAT(AA216,"…",TEXT(P216,"+00;-00;+00;"),"...",TEXT(Q216,"+00;-00;+00;"))</f>
        <v>212-032…+03...+08</v>
      </c>
      <c r="AF216" s="13" t="str">
        <f>_xlfn.CONCAT(R216,"…",TEXT(P216,"+00;-00;+00;"),"...",TEXT(Q216,"+00;-00;+00;"))</f>
        <v>WDWLL…+03...+08</v>
      </c>
    </row>
    <row r="217" spans="1:32" x14ac:dyDescent="0.25">
      <c r="A217" s="12" t="s">
        <v>780</v>
      </c>
      <c r="B217" s="13" t="s">
        <v>397</v>
      </c>
      <c r="C217" s="14" t="s">
        <v>0</v>
      </c>
      <c r="D217" s="13" t="s">
        <v>785</v>
      </c>
      <c r="E217" s="13" t="s">
        <v>786</v>
      </c>
      <c r="F217" s="13" t="s">
        <v>31</v>
      </c>
      <c r="G217" s="13" t="s">
        <v>31</v>
      </c>
      <c r="H217" s="13" t="s">
        <v>29</v>
      </c>
      <c r="I217" s="13" t="s">
        <v>31</v>
      </c>
      <c r="J217" s="13" t="s">
        <v>30</v>
      </c>
      <c r="K217" s="13" t="s">
        <v>29</v>
      </c>
      <c r="L217" s="13" t="s">
        <v>29</v>
      </c>
      <c r="M217" s="13" t="s">
        <v>31</v>
      </c>
      <c r="N217" s="13" t="s">
        <v>31</v>
      </c>
      <c r="O217" s="13" t="s">
        <v>29</v>
      </c>
      <c r="P217" s="16">
        <v>15</v>
      </c>
      <c r="Q217" s="16">
        <v>-2</v>
      </c>
      <c r="R217" s="13" t="str">
        <f>_xlfn.CONCAT(F217,G217,H217,I217,J217)</f>
        <v>LLDLW</v>
      </c>
      <c r="S217" s="13" t="str">
        <f>_xlfn.CONCAT(K217,L217,M217,N217,O217)</f>
        <v>DDLLD</v>
      </c>
      <c r="T217" s="13" t="str">
        <f>_xlfn.CONCAT(R217,"***",S217)</f>
        <v>LLDLW***DDLLD</v>
      </c>
      <c r="U217" s="21">
        <f>(P217-Q217)</f>
        <v>17</v>
      </c>
      <c r="V217" s="14">
        <v>1</v>
      </c>
      <c r="W217" s="14">
        <v>2</v>
      </c>
      <c r="X217" s="20" t="str">
        <f>IF(ISBLANK(V217),"",IF(V217&gt;W217,"1",IF(V217&lt;W217,"2",IF(V217=W217,"X"))))</f>
        <v>2</v>
      </c>
      <c r="Y217" s="23" t="str">
        <f>COUNTIF(F217:J217, "W")&amp;COUNTIF(F217:J217, "d")&amp;COUNTIF(F217:J217, "l")</f>
        <v>113</v>
      </c>
      <c r="Z217" s="13" t="str">
        <f>COUNTIF(K217:O217, "W")&amp;COUNTIF(K217:O217, "d")&amp;COUNTIF(K217:O217, "l")</f>
        <v>032</v>
      </c>
      <c r="AA217" s="23" t="str">
        <f>_xlfn.CONCAT(Y217,"-",Z217)</f>
        <v>113-032</v>
      </c>
      <c r="AB217" s="13" t="str">
        <f>_xlfn.CONCAT(AA217,"…",TEXT(U217,"+00;-00;+00;"))</f>
        <v>113-032…+17</v>
      </c>
      <c r="AC217" s="23" t="str">
        <f>_xlfn.CONCAT(TEXT(P217,"+00;-00;+00;"),"…",TEXT(Q217,"+00;-00;+00;"))</f>
        <v>+15…-02</v>
      </c>
      <c r="AD217" s="14" t="str">
        <f>IF(X217="","?","")</f>
        <v/>
      </c>
      <c r="AE217" s="15" t="str">
        <f>_xlfn.CONCAT(AA217,"…",TEXT(P217,"+00;-00;+00;"),"...",TEXT(Q217,"+00;-00;+00;"))</f>
        <v>113-032…+15...-02</v>
      </c>
      <c r="AF217" s="13" t="str">
        <f>_xlfn.CONCAT(R217,"…",TEXT(P217,"+00;-00;+00;"),"...",TEXT(Q217,"+00;-00;+00;"))</f>
        <v>LLDLW…+15...-02</v>
      </c>
    </row>
    <row r="218" spans="1:32" x14ac:dyDescent="0.25">
      <c r="A218" s="13" t="s">
        <v>594</v>
      </c>
      <c r="B218" s="13" t="s">
        <v>339</v>
      </c>
      <c r="C218" s="14">
        <v>1</v>
      </c>
      <c r="D218" s="13" t="s">
        <v>345</v>
      </c>
      <c r="E218" s="13" t="s">
        <v>354</v>
      </c>
      <c r="F218" s="13" t="s">
        <v>31</v>
      </c>
      <c r="G218" s="13" t="s">
        <v>30</v>
      </c>
      <c r="H218" s="13" t="s">
        <v>31</v>
      </c>
      <c r="I218" s="13" t="s">
        <v>31</v>
      </c>
      <c r="J218" s="13" t="s">
        <v>31</v>
      </c>
      <c r="K218" s="13" t="s">
        <v>29</v>
      </c>
      <c r="L218" s="13" t="s">
        <v>30</v>
      </c>
      <c r="M218" s="13" t="s">
        <v>30</v>
      </c>
      <c r="N218" s="13" t="s">
        <v>30</v>
      </c>
      <c r="O218" s="13" t="s">
        <v>31</v>
      </c>
      <c r="P218" s="16">
        <v>3</v>
      </c>
      <c r="Q218" s="16">
        <v>4</v>
      </c>
      <c r="R218" s="13" t="str">
        <f>_xlfn.CONCAT(F218,G218,H218,I218,J218)</f>
        <v>LWLLL</v>
      </c>
      <c r="S218" s="13" t="str">
        <f>_xlfn.CONCAT(K218,L218,M218,N218,O218)</f>
        <v>DWWWL</v>
      </c>
      <c r="T218" s="13" t="str">
        <f>_xlfn.CONCAT(R218,"***",S218)</f>
        <v>LWLLL***DWWWL</v>
      </c>
      <c r="U218" s="21">
        <f>(P218-Q218)</f>
        <v>-1</v>
      </c>
      <c r="V218" s="14">
        <v>3</v>
      </c>
      <c r="W218" s="14">
        <v>3</v>
      </c>
      <c r="X218" s="20" t="str">
        <f>IF(ISBLANK(V218),"",IF(V218&gt;W218,"1",IF(V218&lt;W218,"2",IF(V218=W218,"X"))))</f>
        <v>X</v>
      </c>
      <c r="Y218" s="23" t="str">
        <f>COUNTIF(F218:J218, "W")&amp;COUNTIF(F218:J218, "d")&amp;COUNTIF(F218:J218, "l")</f>
        <v>104</v>
      </c>
      <c r="Z218" s="13" t="str">
        <f>COUNTIF(K218:O218, "W")&amp;COUNTIF(K218:O218, "d")&amp;COUNTIF(K218:O218, "l")</f>
        <v>311</v>
      </c>
      <c r="AA218" s="23" t="str">
        <f>_xlfn.CONCAT(Y218,"-",Z218)</f>
        <v>104-311</v>
      </c>
      <c r="AB218" s="13" t="str">
        <f>_xlfn.CONCAT(AA218,"…",TEXT(U218,"+00;-00;+00;"))</f>
        <v>104-311…-01</v>
      </c>
      <c r="AC218" s="23" t="str">
        <f>_xlfn.CONCAT(TEXT(P218,"+00;-00;+00;"),"…",TEXT(Q218,"+00;-00;+00;"))</f>
        <v>+03…+04</v>
      </c>
      <c r="AD218" s="14" t="str">
        <f>IF(X218="","?","")</f>
        <v/>
      </c>
      <c r="AE218" s="15" t="str">
        <f>_xlfn.CONCAT(AA218,"…",TEXT(P218,"+00;-00;+00;"),"...",TEXT(Q218,"+00;-00;+00;"))</f>
        <v>104-311…+03...+04</v>
      </c>
      <c r="AF218" s="13" t="str">
        <f>_xlfn.CONCAT(R218,"…",TEXT(P218,"+00;-00;+00;"),"...",TEXT(Q218,"+00;-00;+00;"))</f>
        <v>LWLLL…+03...+04</v>
      </c>
    </row>
    <row r="219" spans="1:32" x14ac:dyDescent="0.25">
      <c r="A219" s="13" t="s">
        <v>594</v>
      </c>
      <c r="B219" s="13" t="s">
        <v>339</v>
      </c>
      <c r="C219" s="14">
        <v>1</v>
      </c>
      <c r="D219" s="13" t="s">
        <v>359</v>
      </c>
      <c r="E219" s="13" t="s">
        <v>601</v>
      </c>
      <c r="F219" s="13" t="s">
        <v>31</v>
      </c>
      <c r="G219" s="13" t="s">
        <v>30</v>
      </c>
      <c r="H219" s="13" t="s">
        <v>29</v>
      </c>
      <c r="I219" s="13" t="s">
        <v>29</v>
      </c>
      <c r="J219" s="13" t="s">
        <v>30</v>
      </c>
      <c r="K219" s="13" t="s">
        <v>30</v>
      </c>
      <c r="L219" s="13" t="s">
        <v>31</v>
      </c>
      <c r="M219" s="13" t="s">
        <v>31</v>
      </c>
      <c r="N219" s="13" t="s">
        <v>31</v>
      </c>
      <c r="O219" s="13" t="s">
        <v>31</v>
      </c>
      <c r="P219" s="16">
        <v>-6</v>
      </c>
      <c r="Q219" s="16">
        <v>-12</v>
      </c>
      <c r="R219" s="13" t="str">
        <f>_xlfn.CONCAT(F219,G219,H219,I219,J219)</f>
        <v>LWDDW</v>
      </c>
      <c r="S219" s="13" t="str">
        <f>_xlfn.CONCAT(K219,L219,M219,N219,O219)</f>
        <v>WLLLL</v>
      </c>
      <c r="T219" s="13" t="str">
        <f>_xlfn.CONCAT(R219,"***",S219)</f>
        <v>LWDDW***WLLLL</v>
      </c>
      <c r="U219" s="21">
        <f>(P219-Q219)</f>
        <v>6</v>
      </c>
      <c r="V219" s="14">
        <v>3</v>
      </c>
      <c r="W219" s="14">
        <v>0</v>
      </c>
      <c r="X219" s="20" t="str">
        <f>IF(ISBLANK(V219),"",IF(V219&gt;W219,"1",IF(V219&lt;W219,"2",IF(V219=W219,"X"))))</f>
        <v>1</v>
      </c>
      <c r="Y219" s="23" t="str">
        <f>COUNTIF(F219:J219, "W")&amp;COUNTIF(F219:J219, "d")&amp;COUNTIF(F219:J219, "l")</f>
        <v>221</v>
      </c>
      <c r="Z219" s="13" t="str">
        <f>COUNTIF(K219:O219, "W")&amp;COUNTIF(K219:O219, "d")&amp;COUNTIF(K219:O219, "l")</f>
        <v>104</v>
      </c>
      <c r="AA219" s="23" t="str">
        <f>_xlfn.CONCAT(Y219,"-",Z219)</f>
        <v>221-104</v>
      </c>
      <c r="AB219" s="13" t="str">
        <f>_xlfn.CONCAT(AA219,"…",TEXT(U219,"+00;-00;+00;"))</f>
        <v>221-104…+06</v>
      </c>
      <c r="AC219" s="23" t="str">
        <f>_xlfn.CONCAT(TEXT(P219,"+00;-00;+00;"),"…",TEXT(Q219,"+00;-00;+00;"))</f>
        <v>-06…-12</v>
      </c>
      <c r="AD219" s="14" t="str">
        <f>IF(X219="","?","")</f>
        <v/>
      </c>
      <c r="AE219" s="15" t="str">
        <f>_xlfn.CONCAT(AA219,"…",TEXT(P219,"+00;-00;+00;"),"...",TEXT(Q219,"+00;-00;+00;"))</f>
        <v>221-104…-06...-12</v>
      </c>
      <c r="AF219" s="13" t="str">
        <f>_xlfn.CONCAT(R219,"…",TEXT(P219,"+00;-00;+00;"),"...",TEXT(Q219,"+00;-00;+00;"))</f>
        <v>LWDDW…-06...-12</v>
      </c>
    </row>
    <row r="220" spans="1:32" x14ac:dyDescent="0.25">
      <c r="A220" s="13" t="s">
        <v>578</v>
      </c>
      <c r="B220" s="13" t="s">
        <v>208</v>
      </c>
      <c r="C220" s="14">
        <v>2</v>
      </c>
      <c r="D220" s="13" t="s">
        <v>581</v>
      </c>
      <c r="E220" s="13" t="s">
        <v>582</v>
      </c>
      <c r="F220" s="13" t="s">
        <v>29</v>
      </c>
      <c r="G220" s="13" t="s">
        <v>29</v>
      </c>
      <c r="H220" s="13" t="s">
        <v>30</v>
      </c>
      <c r="I220" s="13" t="s">
        <v>31</v>
      </c>
      <c r="J220" s="13" t="s">
        <v>30</v>
      </c>
      <c r="K220" s="13" t="s">
        <v>31</v>
      </c>
      <c r="L220" s="13" t="s">
        <v>31</v>
      </c>
      <c r="M220" s="13" t="s">
        <v>29</v>
      </c>
      <c r="N220" s="13" t="s">
        <v>31</v>
      </c>
      <c r="O220" s="13" t="s">
        <v>31</v>
      </c>
      <c r="P220" s="16">
        <v>11</v>
      </c>
      <c r="Q220" s="16">
        <v>-19</v>
      </c>
      <c r="R220" s="13" t="str">
        <f>_xlfn.CONCAT(F220,G220,H220,I220,J220)</f>
        <v>DDWLW</v>
      </c>
      <c r="S220" s="13" t="str">
        <f>_xlfn.CONCAT(K220,L220,M220,N220,O220)</f>
        <v>LLDLL</v>
      </c>
      <c r="T220" s="13" t="str">
        <f>_xlfn.CONCAT(R220,"***",S220)</f>
        <v>DDWLW***LLDLL</v>
      </c>
      <c r="U220" s="21">
        <f>(P220-Q220)</f>
        <v>30</v>
      </c>
      <c r="V220" s="14">
        <v>4</v>
      </c>
      <c r="W220" s="14">
        <v>0</v>
      </c>
      <c r="X220" s="20" t="str">
        <f>IF(ISBLANK(V220),"",IF(V220&gt;W220,"1",IF(V220&lt;W220,"2",IF(V220=W220,"X"))))</f>
        <v>1</v>
      </c>
      <c r="Y220" s="23" t="str">
        <f>COUNTIF(F220:J220, "W")&amp;COUNTIF(F220:J220, "d")&amp;COUNTIF(F220:J220, "l")</f>
        <v>221</v>
      </c>
      <c r="Z220" s="13" t="str">
        <f>COUNTIF(K220:O220, "W")&amp;COUNTIF(K220:O220, "d")&amp;COUNTIF(K220:O220, "l")</f>
        <v>014</v>
      </c>
      <c r="AA220" s="23" t="str">
        <f>_xlfn.CONCAT(Y220,"-",Z220)</f>
        <v>221-014</v>
      </c>
      <c r="AB220" s="13" t="str">
        <f>_xlfn.CONCAT(AA220,"…",TEXT(U220,"+00;-00;+00;"))</f>
        <v>221-014…+30</v>
      </c>
      <c r="AC220" s="23" t="str">
        <f>_xlfn.CONCAT(TEXT(P220,"+00;-00;+00;"),"…",TEXT(Q220,"+00;-00;+00;"))</f>
        <v>+11…-19</v>
      </c>
      <c r="AD220" s="14" t="str">
        <f>IF(X220="","?","")</f>
        <v/>
      </c>
      <c r="AE220" s="15" t="str">
        <f>_xlfn.CONCAT(AA220,"…",TEXT(P220,"+00;-00;+00;"),"...",TEXT(Q220,"+00;-00;+00;"))</f>
        <v>221-014…+11...-19</v>
      </c>
      <c r="AF220" s="13" t="str">
        <f>_xlfn.CONCAT(R220,"…",TEXT(P220,"+00;-00;+00;"),"...",TEXT(Q220,"+00;-00;+00;"))</f>
        <v>DDWLW…+11...-19</v>
      </c>
    </row>
    <row r="221" spans="1:32" x14ac:dyDescent="0.25">
      <c r="A221" s="13" t="s">
        <v>578</v>
      </c>
      <c r="B221" s="13" t="s">
        <v>208</v>
      </c>
      <c r="C221" s="14">
        <v>2</v>
      </c>
      <c r="D221" s="13" t="s">
        <v>239</v>
      </c>
      <c r="E221" s="13" t="s">
        <v>583</v>
      </c>
      <c r="F221" s="13" t="s">
        <v>30</v>
      </c>
      <c r="G221" s="13" t="s">
        <v>29</v>
      </c>
      <c r="H221" s="13" t="s">
        <v>30</v>
      </c>
      <c r="I221" s="13" t="s">
        <v>30</v>
      </c>
      <c r="J221" s="13" t="s">
        <v>29</v>
      </c>
      <c r="K221" s="13" t="s">
        <v>30</v>
      </c>
      <c r="L221" s="13" t="s">
        <v>31</v>
      </c>
      <c r="M221" s="13" t="s">
        <v>30</v>
      </c>
      <c r="N221" s="13" t="s">
        <v>29</v>
      </c>
      <c r="O221" s="13" t="s">
        <v>30</v>
      </c>
      <c r="P221" s="16">
        <v>16</v>
      </c>
      <c r="Q221" s="16">
        <v>10</v>
      </c>
      <c r="R221" s="13" t="str">
        <f>_xlfn.CONCAT(F221,G221,H221,I221,J221)</f>
        <v>WDWWD</v>
      </c>
      <c r="S221" s="13" t="str">
        <f>_xlfn.CONCAT(K221,L221,M221,N221,O221)</f>
        <v>WLWDW</v>
      </c>
      <c r="T221" s="13" t="str">
        <f>_xlfn.CONCAT(R221,"***",S221)</f>
        <v>WDWWD***WLWDW</v>
      </c>
      <c r="U221" s="21">
        <f>(P221-Q221)</f>
        <v>6</v>
      </c>
      <c r="V221" s="14">
        <v>2</v>
      </c>
      <c r="W221" s="14">
        <v>2</v>
      </c>
      <c r="X221" s="20" t="str">
        <f>IF(ISBLANK(V221),"",IF(V221&gt;W221,"1",IF(V221&lt;W221,"2",IF(V221=W221,"X"))))</f>
        <v>X</v>
      </c>
      <c r="Y221" s="23" t="str">
        <f>COUNTIF(F221:J221, "W")&amp;COUNTIF(F221:J221, "d")&amp;COUNTIF(F221:J221, "l")</f>
        <v>320</v>
      </c>
      <c r="Z221" s="13" t="str">
        <f>COUNTIF(K221:O221, "W")&amp;COUNTIF(K221:O221, "d")&amp;COUNTIF(K221:O221, "l")</f>
        <v>311</v>
      </c>
      <c r="AA221" s="23" t="str">
        <f>_xlfn.CONCAT(Y221,"-",Z221)</f>
        <v>320-311</v>
      </c>
      <c r="AB221" s="13" t="str">
        <f>_xlfn.CONCAT(AA221,"…",TEXT(U221,"+00;-00;+00;"))</f>
        <v>320-311…+06</v>
      </c>
      <c r="AC221" s="23" t="str">
        <f>_xlfn.CONCAT(TEXT(P221,"+00;-00;+00;"),"…",TEXT(Q221,"+00;-00;+00;"))</f>
        <v>+16…+10</v>
      </c>
      <c r="AD221" s="14" t="str">
        <f>IF(X221="","?","")</f>
        <v/>
      </c>
      <c r="AE221" s="15" t="str">
        <f>_xlfn.CONCAT(AA221,"…",TEXT(P221,"+00;-00;+00;"),"...",TEXT(Q221,"+00;-00;+00;"))</f>
        <v>320-311…+16...+10</v>
      </c>
      <c r="AF221" s="13" t="str">
        <f>_xlfn.CONCAT(R221,"…",TEXT(P221,"+00;-00;+00;"),"...",TEXT(Q221,"+00;-00;+00;"))</f>
        <v>WDWWD…+16...+10</v>
      </c>
    </row>
    <row r="222" spans="1:32" x14ac:dyDescent="0.25">
      <c r="A222" s="13" t="s">
        <v>679</v>
      </c>
      <c r="B222" s="13" t="s">
        <v>295</v>
      </c>
      <c r="C222" s="14">
        <v>1</v>
      </c>
      <c r="D222" s="13" t="s">
        <v>303</v>
      </c>
      <c r="E222" s="13" t="s">
        <v>683</v>
      </c>
      <c r="F222" s="13" t="s">
        <v>30</v>
      </c>
      <c r="G222" s="13" t="s">
        <v>30</v>
      </c>
      <c r="H222" s="13" t="s">
        <v>31</v>
      </c>
      <c r="I222" s="13" t="s">
        <v>30</v>
      </c>
      <c r="J222" s="13" t="s">
        <v>31</v>
      </c>
      <c r="K222" s="13" t="s">
        <v>31</v>
      </c>
      <c r="L222" s="13" t="s">
        <v>29</v>
      </c>
      <c r="M222" s="13" t="s">
        <v>30</v>
      </c>
      <c r="N222" s="13" t="s">
        <v>29</v>
      </c>
      <c r="O222" s="13" t="s">
        <v>29</v>
      </c>
      <c r="P222" s="16">
        <v>-6</v>
      </c>
      <c r="Q222" s="16">
        <v>-15</v>
      </c>
      <c r="R222" s="13" t="str">
        <f>_xlfn.CONCAT(F222,G222,H222,I222,J222)</f>
        <v>WWLWL</v>
      </c>
      <c r="S222" s="13" t="str">
        <f>_xlfn.CONCAT(K222,L222,M222,N222,O222)</f>
        <v>LDWDD</v>
      </c>
      <c r="T222" s="13" t="str">
        <f>_xlfn.CONCAT(R222,"***",S222)</f>
        <v>WWLWL***LDWDD</v>
      </c>
      <c r="U222" s="21">
        <f>(P222-Q222)</f>
        <v>9</v>
      </c>
      <c r="V222" s="14">
        <v>3</v>
      </c>
      <c r="W222" s="14">
        <v>0</v>
      </c>
      <c r="X222" s="20" t="str">
        <f>IF(ISBLANK(V222),"",IF(V222&gt;W222,"1",IF(V222&lt;W222,"2",IF(V222=W222,"X"))))</f>
        <v>1</v>
      </c>
      <c r="Y222" s="23" t="str">
        <f>COUNTIF(F222:J222, "W")&amp;COUNTIF(F222:J222, "d")&amp;COUNTIF(F222:J222, "l")</f>
        <v>302</v>
      </c>
      <c r="Z222" s="13" t="str">
        <f>COUNTIF(K222:O222, "W")&amp;COUNTIF(K222:O222, "d")&amp;COUNTIF(K222:O222, "l")</f>
        <v>131</v>
      </c>
      <c r="AA222" s="23" t="str">
        <f>_xlfn.CONCAT(Y222,"-",Z222)</f>
        <v>302-131</v>
      </c>
      <c r="AB222" s="13" t="str">
        <f>_xlfn.CONCAT(AA222,"…",TEXT(U222,"+00;-00;+00;"))</f>
        <v>302-131…+09</v>
      </c>
      <c r="AC222" s="23" t="str">
        <f>_xlfn.CONCAT(TEXT(P222,"+00;-00;+00;"),"…",TEXT(Q222,"+00;-00;+00;"))</f>
        <v>-06…-15</v>
      </c>
      <c r="AD222" s="14" t="str">
        <f>IF(X222="","?","")</f>
        <v/>
      </c>
      <c r="AE222" s="15" t="str">
        <f>_xlfn.CONCAT(AA222,"…",TEXT(P222,"+00;-00;+00;"),"...",TEXT(Q222,"+00;-00;+00;"))</f>
        <v>302-131…-06...-15</v>
      </c>
      <c r="AF222" s="13" t="str">
        <f>_xlfn.CONCAT(R222,"…",TEXT(P222,"+00;-00;+00;"),"...",TEXT(Q222,"+00;-00;+00;"))</f>
        <v>WWLWL…-06...-15</v>
      </c>
    </row>
    <row r="223" spans="1:32" x14ac:dyDescent="0.25">
      <c r="A223" s="13" t="s">
        <v>561</v>
      </c>
      <c r="B223" s="13" t="s">
        <v>208</v>
      </c>
      <c r="C223" s="14">
        <v>1</v>
      </c>
      <c r="D223" s="13" t="s">
        <v>565</v>
      </c>
      <c r="E223" s="13" t="s">
        <v>211</v>
      </c>
      <c r="F223" s="13" t="s">
        <v>29</v>
      </c>
      <c r="G223" s="13" t="s">
        <v>29</v>
      </c>
      <c r="H223" s="13" t="s">
        <v>31</v>
      </c>
      <c r="I223" s="13" t="s">
        <v>31</v>
      </c>
      <c r="J223" s="13" t="s">
        <v>31</v>
      </c>
      <c r="K223" s="13" t="s">
        <v>31</v>
      </c>
      <c r="L223" s="13" t="s">
        <v>29</v>
      </c>
      <c r="M223" s="13" t="s">
        <v>29</v>
      </c>
      <c r="N223" s="13" t="s">
        <v>31</v>
      </c>
      <c r="O223" s="13" t="s">
        <v>30</v>
      </c>
      <c r="P223" s="16">
        <v>-18</v>
      </c>
      <c r="Q223" s="16">
        <v>-15</v>
      </c>
      <c r="R223" s="13" t="str">
        <f>_xlfn.CONCAT(F223,G223,H223,I223,J223)</f>
        <v>DDLLL</v>
      </c>
      <c r="S223" s="13" t="str">
        <f>_xlfn.CONCAT(K223,L223,M223,N223,O223)</f>
        <v>LDDLW</v>
      </c>
      <c r="T223" s="13" t="str">
        <f>_xlfn.CONCAT(R223,"***",S223)</f>
        <v>DDLLL***LDDLW</v>
      </c>
      <c r="U223" s="21">
        <f>(P223-Q223)</f>
        <v>-3</v>
      </c>
      <c r="V223" s="14">
        <v>0</v>
      </c>
      <c r="W223" s="14">
        <v>1</v>
      </c>
      <c r="X223" s="20" t="str">
        <f>IF(ISBLANK(V223),"",IF(V223&gt;W223,"1",IF(V223&lt;W223,"2",IF(V223=W223,"X"))))</f>
        <v>2</v>
      </c>
      <c r="Y223" s="23" t="str">
        <f>COUNTIF(F223:J223, "W")&amp;COUNTIF(F223:J223, "d")&amp;COUNTIF(F223:J223, "l")</f>
        <v>023</v>
      </c>
      <c r="Z223" s="13" t="str">
        <f>COUNTIF(K223:O223, "W")&amp;COUNTIF(K223:O223, "d")&amp;COUNTIF(K223:O223, "l")</f>
        <v>122</v>
      </c>
      <c r="AA223" s="23" t="str">
        <f>_xlfn.CONCAT(Y223,"-",Z223)</f>
        <v>023-122</v>
      </c>
      <c r="AB223" s="13" t="str">
        <f>_xlfn.CONCAT(AA223,"…",TEXT(U223,"+00;-00;+00;"))</f>
        <v>023-122…-03</v>
      </c>
      <c r="AC223" s="23" t="str">
        <f>_xlfn.CONCAT(TEXT(P223,"+00;-00;+00;"),"…",TEXT(Q223,"+00;-00;+00;"))</f>
        <v>-18…-15</v>
      </c>
      <c r="AD223" s="14" t="str">
        <f>IF(X223="","?","")</f>
        <v/>
      </c>
      <c r="AE223" s="15" t="str">
        <f>_xlfn.CONCAT(AA223,"…",TEXT(P223,"+00;-00;+00;"),"...",TEXT(Q223,"+00;-00;+00;"))</f>
        <v>023-122…-18...-15</v>
      </c>
      <c r="AF223" s="13" t="str">
        <f>_xlfn.CONCAT(R223,"…",TEXT(P223,"+00;-00;+00;"),"...",TEXT(Q223,"+00;-00;+00;"))</f>
        <v>DDLLL…-18...-15</v>
      </c>
    </row>
    <row r="224" spans="1:32" x14ac:dyDescent="0.25">
      <c r="A224" s="13" t="s">
        <v>561</v>
      </c>
      <c r="B224" s="13" t="s">
        <v>117</v>
      </c>
      <c r="C224" s="14" t="s">
        <v>33</v>
      </c>
      <c r="D224" s="13" t="s">
        <v>665</v>
      </c>
      <c r="E224" s="13" t="s">
        <v>666</v>
      </c>
      <c r="F224" s="13" t="s">
        <v>29</v>
      </c>
      <c r="G224" s="13" t="s">
        <v>31</v>
      </c>
      <c r="H224" s="13" t="s">
        <v>30</v>
      </c>
      <c r="I224" s="13" t="s">
        <v>31</v>
      </c>
      <c r="J224" s="13" t="s">
        <v>31</v>
      </c>
      <c r="K224" s="13" t="s">
        <v>30</v>
      </c>
      <c r="L224" s="13" t="s">
        <v>31</v>
      </c>
      <c r="M224" s="13" t="s">
        <v>31</v>
      </c>
      <c r="N224" s="13" t="s">
        <v>31</v>
      </c>
      <c r="O224" s="13" t="s">
        <v>30</v>
      </c>
      <c r="P224" s="16">
        <v>8</v>
      </c>
      <c r="Q224" s="16">
        <v>4</v>
      </c>
      <c r="R224" s="13" t="str">
        <f>_xlfn.CONCAT(F224,G224,H224,I224,J224)</f>
        <v>DLWLL</v>
      </c>
      <c r="S224" s="13" t="str">
        <f>_xlfn.CONCAT(K224,L224,M224,N224,O224)</f>
        <v>WLLLW</v>
      </c>
      <c r="T224" s="13" t="str">
        <f>_xlfn.CONCAT(R224,"***",S224)</f>
        <v>DLWLL***WLLLW</v>
      </c>
      <c r="U224" s="21">
        <f>(P224-Q224)</f>
        <v>4</v>
      </c>
      <c r="V224" s="14">
        <v>1</v>
      </c>
      <c r="W224" s="14">
        <v>2</v>
      </c>
      <c r="X224" s="20" t="str">
        <f>IF(ISBLANK(V224),"",IF(V224&gt;W224,"1",IF(V224&lt;W224,"2",IF(V224=W224,"X"))))</f>
        <v>2</v>
      </c>
      <c r="Y224" s="23" t="str">
        <f>COUNTIF(F224:J224, "W")&amp;COUNTIF(F224:J224, "d")&amp;COUNTIF(F224:J224, "l")</f>
        <v>113</v>
      </c>
      <c r="Z224" s="13" t="str">
        <f>COUNTIF(K224:O224, "W")&amp;COUNTIF(K224:O224, "d")&amp;COUNTIF(K224:O224, "l")</f>
        <v>203</v>
      </c>
      <c r="AA224" s="23" t="str">
        <f>_xlfn.CONCAT(Y224,"-",Z224)</f>
        <v>113-203</v>
      </c>
      <c r="AB224" s="13" t="str">
        <f>_xlfn.CONCAT(AA224,"…",TEXT(U224,"+00;-00;+00;"))</f>
        <v>113-203…+04</v>
      </c>
      <c r="AC224" s="23" t="str">
        <f>_xlfn.CONCAT(TEXT(P224,"+00;-00;+00;"),"…",TEXT(Q224,"+00;-00;+00;"))</f>
        <v>+08…+04</v>
      </c>
      <c r="AD224" s="14" t="str">
        <f>IF(X224="","?","")</f>
        <v/>
      </c>
      <c r="AE224" s="15" t="str">
        <f>_xlfn.CONCAT(AA224,"…",TEXT(P224,"+00;-00;+00;"),"...",TEXT(Q224,"+00;-00;+00;"))</f>
        <v>113-203…+08...+04</v>
      </c>
      <c r="AF224" s="13" t="str">
        <f>_xlfn.CONCAT(R224,"…",TEXT(P224,"+00;-00;+00;"),"...",TEXT(Q224,"+00;-00;+00;"))</f>
        <v>DLWLL…+08...+04</v>
      </c>
    </row>
    <row r="225" spans="1:32" x14ac:dyDescent="0.25">
      <c r="A225" s="13" t="s">
        <v>561</v>
      </c>
      <c r="B225" s="13" t="s">
        <v>59</v>
      </c>
      <c r="C225" s="14">
        <v>2</v>
      </c>
      <c r="D225" s="13" t="s">
        <v>736</v>
      </c>
      <c r="E225" s="13" t="s">
        <v>737</v>
      </c>
      <c r="F225" s="13" t="s">
        <v>31</v>
      </c>
      <c r="G225" s="13" t="s">
        <v>30</v>
      </c>
      <c r="H225" s="13" t="s">
        <v>29</v>
      </c>
      <c r="I225" s="13" t="s">
        <v>29</v>
      </c>
      <c r="J225" s="13" t="s">
        <v>30</v>
      </c>
      <c r="K225" s="13" t="s">
        <v>30</v>
      </c>
      <c r="L225" s="13" t="s">
        <v>30</v>
      </c>
      <c r="M225" s="13" t="s">
        <v>29</v>
      </c>
      <c r="N225" s="13" t="s">
        <v>29</v>
      </c>
      <c r="O225" s="13" t="s">
        <v>31</v>
      </c>
      <c r="P225" s="16">
        <v>4</v>
      </c>
      <c r="Q225" s="16">
        <v>12</v>
      </c>
      <c r="R225" s="13" t="str">
        <f>_xlfn.CONCAT(F225,G225,H225,I225,J225)</f>
        <v>LWDDW</v>
      </c>
      <c r="S225" s="13" t="str">
        <f>_xlfn.CONCAT(K225,L225,M225,N225,O225)</f>
        <v>WWDDL</v>
      </c>
      <c r="T225" s="13" t="str">
        <f>_xlfn.CONCAT(R225,"***",S225)</f>
        <v>LWDDW***WWDDL</v>
      </c>
      <c r="U225" s="21">
        <f>(P225-Q225)</f>
        <v>-8</v>
      </c>
      <c r="V225" s="14">
        <v>2</v>
      </c>
      <c r="W225" s="14">
        <v>0</v>
      </c>
      <c r="X225" s="20" t="str">
        <f>IF(ISBLANK(V225),"",IF(V225&gt;W225,"1",IF(V225&lt;W225,"2",IF(V225=W225,"X"))))</f>
        <v>1</v>
      </c>
      <c r="Y225" s="23" t="str">
        <f>COUNTIF(F225:J225, "W")&amp;COUNTIF(F225:J225, "d")&amp;COUNTIF(F225:J225, "l")</f>
        <v>221</v>
      </c>
      <c r="Z225" s="13" t="str">
        <f>COUNTIF(K225:O225, "W")&amp;COUNTIF(K225:O225, "d")&amp;COUNTIF(K225:O225, "l")</f>
        <v>221</v>
      </c>
      <c r="AA225" s="23" t="str">
        <f>_xlfn.CONCAT(Y225,"-",Z225)</f>
        <v>221-221</v>
      </c>
      <c r="AB225" s="13" t="str">
        <f>_xlfn.CONCAT(AA225,"…",TEXT(U225,"+00;-00;+00;"))</f>
        <v>221-221…-08</v>
      </c>
      <c r="AC225" s="23" t="str">
        <f>_xlfn.CONCAT(TEXT(P225,"+00;-00;+00;"),"…",TEXT(Q225,"+00;-00;+00;"))</f>
        <v>+04…+12</v>
      </c>
      <c r="AD225" s="14" t="str">
        <f>IF(X225="","?","")</f>
        <v/>
      </c>
      <c r="AE225" s="15" t="str">
        <f>_xlfn.CONCAT(AA225,"…",TEXT(P225,"+00;-00;+00;"),"...",TEXT(Q225,"+00;-00;+00;"))</f>
        <v>221-221…+04...+12</v>
      </c>
      <c r="AF225" s="13" t="str">
        <f>_xlfn.CONCAT(R225,"…",TEXT(P225,"+00;-00;+00;"),"...",TEXT(Q225,"+00;-00;+00;"))</f>
        <v>LWDDW…+04...+12</v>
      </c>
    </row>
    <row r="226" spans="1:32" x14ac:dyDescent="0.25">
      <c r="A226" s="13" t="s">
        <v>623</v>
      </c>
      <c r="B226" s="13" t="s">
        <v>318</v>
      </c>
      <c r="C226" s="14">
        <v>1</v>
      </c>
      <c r="D226" s="13" t="s">
        <v>327</v>
      </c>
      <c r="E226" s="13" t="s">
        <v>757</v>
      </c>
      <c r="F226" s="13" t="s">
        <v>31</v>
      </c>
      <c r="G226" s="13" t="s">
        <v>29</v>
      </c>
      <c r="H226" s="13" t="s">
        <v>30</v>
      </c>
      <c r="I226" s="13" t="s">
        <v>31</v>
      </c>
      <c r="J226" s="13" t="s">
        <v>29</v>
      </c>
      <c r="K226" s="13" t="s">
        <v>30</v>
      </c>
      <c r="L226" s="13" t="s">
        <v>29</v>
      </c>
      <c r="M226" s="13" t="s">
        <v>30</v>
      </c>
      <c r="N226" s="13" t="s">
        <v>30</v>
      </c>
      <c r="O226" s="13" t="s">
        <v>31</v>
      </c>
      <c r="P226" s="16">
        <v>-9</v>
      </c>
      <c r="Q226" s="16">
        <v>13</v>
      </c>
      <c r="R226" s="13" t="str">
        <f>_xlfn.CONCAT(F226,G226,H226,I226,J226)</f>
        <v>LDWLD</v>
      </c>
      <c r="S226" s="13" t="str">
        <f>_xlfn.CONCAT(K226,L226,M226,N226,O226)</f>
        <v>WDWWL</v>
      </c>
      <c r="T226" s="13" t="str">
        <f>_xlfn.CONCAT(R226,"***",S226)</f>
        <v>LDWLD***WDWWL</v>
      </c>
      <c r="U226" s="21">
        <f>(P226-Q226)</f>
        <v>-22</v>
      </c>
      <c r="V226" s="14">
        <v>1</v>
      </c>
      <c r="W226" s="14">
        <v>3</v>
      </c>
      <c r="X226" s="20" t="str">
        <f>IF(ISBLANK(V226),"",IF(V226&gt;W226,"1",IF(V226&lt;W226,"2",IF(V226=W226,"X"))))</f>
        <v>2</v>
      </c>
      <c r="Y226" s="23" t="str">
        <f>COUNTIF(F226:J226, "W")&amp;COUNTIF(F226:J226, "d")&amp;COUNTIF(F226:J226, "l")</f>
        <v>122</v>
      </c>
      <c r="Z226" s="13" t="str">
        <f>COUNTIF(K226:O226, "W")&amp;COUNTIF(K226:O226, "d")&amp;COUNTIF(K226:O226, "l")</f>
        <v>311</v>
      </c>
      <c r="AA226" s="23" t="str">
        <f>_xlfn.CONCAT(Y226,"-",Z226)</f>
        <v>122-311</v>
      </c>
      <c r="AB226" s="13" t="str">
        <f>_xlfn.CONCAT(AA226,"…",TEXT(U226,"+00;-00;+00;"))</f>
        <v>122-311…-22</v>
      </c>
      <c r="AC226" s="23" t="str">
        <f>_xlfn.CONCAT(TEXT(P226,"+00;-00;+00;"),"…",TEXT(Q226,"+00;-00;+00;"))</f>
        <v>-09…+13</v>
      </c>
      <c r="AD226" s="14" t="str">
        <f>IF(X226="","?","")</f>
        <v/>
      </c>
      <c r="AE226" s="15" t="str">
        <f>_xlfn.CONCAT(AA226,"…",TEXT(P226,"+00;-00;+00;"),"...",TEXT(Q226,"+00;-00;+00;"))</f>
        <v>122-311…-09...+13</v>
      </c>
      <c r="AF226" s="13" t="str">
        <f>_xlfn.CONCAT(R226,"…",TEXT(P226,"+00;-00;+00;"),"...",TEXT(Q226,"+00;-00;+00;"))</f>
        <v>LDWLD…-09...+13</v>
      </c>
    </row>
    <row r="227" spans="1:32" x14ac:dyDescent="0.25">
      <c r="A227" s="13" t="s">
        <v>623</v>
      </c>
      <c r="B227" s="13" t="s">
        <v>117</v>
      </c>
      <c r="C227" s="14" t="s">
        <v>0</v>
      </c>
      <c r="D227" s="13" t="s">
        <v>133</v>
      </c>
      <c r="E227" s="13" t="s">
        <v>140</v>
      </c>
      <c r="F227" s="13" t="s">
        <v>29</v>
      </c>
      <c r="G227" s="13" t="s">
        <v>29</v>
      </c>
      <c r="H227" s="13" t="s">
        <v>30</v>
      </c>
      <c r="I227" s="13" t="s">
        <v>29</v>
      </c>
      <c r="J227" s="13" t="s">
        <v>31</v>
      </c>
      <c r="K227" s="13" t="s">
        <v>29</v>
      </c>
      <c r="L227" s="13" t="s">
        <v>30</v>
      </c>
      <c r="M227" s="13" t="s">
        <v>30</v>
      </c>
      <c r="N227" s="13" t="s">
        <v>30</v>
      </c>
      <c r="O227" s="13" t="s">
        <v>30</v>
      </c>
      <c r="P227" s="16">
        <v>2</v>
      </c>
      <c r="Q227" s="16">
        <v>12</v>
      </c>
      <c r="R227" s="13" t="str">
        <f>_xlfn.CONCAT(F227,G227,H227,I227,J227)</f>
        <v>DDWDL</v>
      </c>
      <c r="S227" s="13" t="str">
        <f>_xlfn.CONCAT(K227,L227,M227,N227,O227)</f>
        <v>DWWWW</v>
      </c>
      <c r="T227" s="13" t="str">
        <f>_xlfn.CONCAT(R227,"***",S227)</f>
        <v>DDWDL***DWWWW</v>
      </c>
      <c r="U227" s="21">
        <f>(P227-Q227)</f>
        <v>-10</v>
      </c>
      <c r="V227" s="14">
        <v>1</v>
      </c>
      <c r="W227" s="14">
        <v>2</v>
      </c>
      <c r="X227" s="20" t="str">
        <f>IF(ISBLANK(V227),"",IF(V227&gt;W227,"1",IF(V227&lt;W227,"2",IF(V227=W227,"X"))))</f>
        <v>2</v>
      </c>
      <c r="Y227" s="23" t="str">
        <f>COUNTIF(F227:J227, "W")&amp;COUNTIF(F227:J227, "d")&amp;COUNTIF(F227:J227, "l")</f>
        <v>131</v>
      </c>
      <c r="Z227" s="13" t="str">
        <f>COUNTIF(K227:O227, "W")&amp;COUNTIF(K227:O227, "d")&amp;COUNTIF(K227:O227, "l")</f>
        <v>410</v>
      </c>
      <c r="AA227" s="23" t="str">
        <f>_xlfn.CONCAT(Y227,"-",Z227)</f>
        <v>131-410</v>
      </c>
      <c r="AB227" s="13" t="str">
        <f>_xlfn.CONCAT(AA227,"…",TEXT(U227,"+00;-00;+00;"))</f>
        <v>131-410…-10</v>
      </c>
      <c r="AC227" s="23" t="str">
        <f>_xlfn.CONCAT(TEXT(P227,"+00;-00;+00;"),"…",TEXT(Q227,"+00;-00;+00;"))</f>
        <v>+02…+12</v>
      </c>
      <c r="AD227" s="14" t="str">
        <f>IF(X227="","?","")</f>
        <v/>
      </c>
      <c r="AE227" s="15" t="str">
        <f>_xlfn.CONCAT(AA227,"…",TEXT(P227,"+00;-00;+00;"),"...",TEXT(Q227,"+00;-00;+00;"))</f>
        <v>131-410…+02...+12</v>
      </c>
      <c r="AF227" s="13" t="str">
        <f>_xlfn.CONCAT(R227,"…",TEXT(P227,"+00;-00;+00;"),"...",TEXT(Q227,"+00;-00;+00;"))</f>
        <v>DDWDL…+02...+12</v>
      </c>
    </row>
    <row r="228" spans="1:32" x14ac:dyDescent="0.25">
      <c r="A228" s="13" t="s">
        <v>655</v>
      </c>
      <c r="B228" s="13" t="s">
        <v>7</v>
      </c>
      <c r="C228" s="14" t="s">
        <v>32</v>
      </c>
      <c r="D228" s="13" t="s">
        <v>494</v>
      </c>
      <c r="E228" s="13" t="s">
        <v>48</v>
      </c>
      <c r="F228" s="13" t="s">
        <v>31</v>
      </c>
      <c r="G228" s="13" t="s">
        <v>31</v>
      </c>
      <c r="H228" s="13" t="s">
        <v>30</v>
      </c>
      <c r="I228" s="13" t="s">
        <v>30</v>
      </c>
      <c r="J228" s="13" t="s">
        <v>31</v>
      </c>
      <c r="K228" s="13" t="s">
        <v>30</v>
      </c>
      <c r="L228" s="13" t="s">
        <v>31</v>
      </c>
      <c r="M228" s="13" t="s">
        <v>29</v>
      </c>
      <c r="N228" s="13" t="s">
        <v>29</v>
      </c>
      <c r="O228" s="13" t="s">
        <v>31</v>
      </c>
      <c r="P228" s="16">
        <v>-6</v>
      </c>
      <c r="Q228" s="16">
        <v>-15</v>
      </c>
      <c r="R228" s="13" t="str">
        <f>_xlfn.CONCAT(F228,G228,H228,I228,J228)</f>
        <v>LLWWL</v>
      </c>
      <c r="S228" s="13" t="str">
        <f>_xlfn.CONCAT(K228,L228,M228,N228,O228)</f>
        <v>WLDDL</v>
      </c>
      <c r="T228" s="13" t="str">
        <f>_xlfn.CONCAT(R228,"***",S228)</f>
        <v>LLWWL***WLDDL</v>
      </c>
      <c r="U228" s="21">
        <f>(P228-Q228)</f>
        <v>9</v>
      </c>
      <c r="V228" s="14">
        <v>0</v>
      </c>
      <c r="W228" s="14">
        <v>2</v>
      </c>
      <c r="X228" s="20" t="str">
        <f>IF(ISBLANK(V228),"",IF(V228&gt;W228,"1",IF(V228&lt;W228,"2",IF(V228=W228,"X"))))</f>
        <v>2</v>
      </c>
      <c r="Y228" s="23" t="str">
        <f>COUNTIF(F228:J228, "W")&amp;COUNTIF(F228:J228, "d")&amp;COUNTIF(F228:J228, "l")</f>
        <v>203</v>
      </c>
      <c r="Z228" s="13" t="str">
        <f>COUNTIF(K228:O228, "W")&amp;COUNTIF(K228:O228, "d")&amp;COUNTIF(K228:O228, "l")</f>
        <v>122</v>
      </c>
      <c r="AA228" s="23" t="str">
        <f>_xlfn.CONCAT(Y228,"-",Z228)</f>
        <v>203-122</v>
      </c>
      <c r="AB228" s="13" t="str">
        <f>_xlfn.CONCAT(AA228,"…",TEXT(U228,"+00;-00;+00;"))</f>
        <v>203-122…+09</v>
      </c>
      <c r="AC228" s="23" t="str">
        <f>_xlfn.CONCAT(TEXT(P228,"+00;-00;+00;"),"…",TEXT(Q228,"+00;-00;+00;"))</f>
        <v>-06…-15</v>
      </c>
      <c r="AD228" s="14" t="str">
        <f>IF(X228="","?","")</f>
        <v/>
      </c>
      <c r="AE228" s="15" t="str">
        <f>_xlfn.CONCAT(AA228,"…",TEXT(P228,"+00;-00;+00;"),"...",TEXT(Q228,"+00;-00;+00;"))</f>
        <v>203-122…-06...-15</v>
      </c>
      <c r="AF228" s="13" t="str">
        <f>_xlfn.CONCAT(R228,"…",TEXT(P228,"+00;-00;+00;"),"...",TEXT(Q228,"+00;-00;+00;"))</f>
        <v>LLWWL…-06...-15</v>
      </c>
    </row>
    <row r="229" spans="1:32" x14ac:dyDescent="0.25">
      <c r="A229" s="13" t="s">
        <v>655</v>
      </c>
      <c r="B229" s="13" t="s">
        <v>167</v>
      </c>
      <c r="C229" s="14">
        <v>1</v>
      </c>
      <c r="D229" s="13" t="s">
        <v>184</v>
      </c>
      <c r="E229" s="13" t="s">
        <v>695</v>
      </c>
      <c r="F229" s="13" t="s">
        <v>31</v>
      </c>
      <c r="G229" s="13" t="s">
        <v>31</v>
      </c>
      <c r="H229" s="13" t="s">
        <v>30</v>
      </c>
      <c r="I229" s="13" t="s">
        <v>30</v>
      </c>
      <c r="J229" s="13" t="s">
        <v>29</v>
      </c>
      <c r="K229" s="13" t="s">
        <v>29</v>
      </c>
      <c r="L229" s="13" t="s">
        <v>29</v>
      </c>
      <c r="M229" s="13" t="s">
        <v>29</v>
      </c>
      <c r="N229" s="13" t="s">
        <v>31</v>
      </c>
      <c r="O229" s="13" t="s">
        <v>31</v>
      </c>
      <c r="P229" s="16">
        <v>0</v>
      </c>
      <c r="Q229" s="16">
        <v>-6</v>
      </c>
      <c r="R229" s="13" t="str">
        <f>_xlfn.CONCAT(F229,G229,H229,I229,J229)</f>
        <v>LLWWD</v>
      </c>
      <c r="S229" s="13" t="str">
        <f>_xlfn.CONCAT(K229,L229,M229,N229,O229)</f>
        <v>DDDLL</v>
      </c>
      <c r="T229" s="13" t="str">
        <f>_xlfn.CONCAT(R229,"***",S229)</f>
        <v>LLWWD***DDDLL</v>
      </c>
      <c r="U229" s="21">
        <f>(P229-Q229)</f>
        <v>6</v>
      </c>
      <c r="V229" s="14">
        <v>2</v>
      </c>
      <c r="W229" s="14">
        <v>1</v>
      </c>
      <c r="X229" s="20" t="str">
        <f>IF(ISBLANK(V229),"",IF(V229&gt;W229,"1",IF(V229&lt;W229,"2",IF(V229=W229,"X"))))</f>
        <v>1</v>
      </c>
      <c r="Y229" s="23" t="str">
        <f>COUNTIF(F229:J229, "W")&amp;COUNTIF(F229:J229, "d")&amp;COUNTIF(F229:J229, "l")</f>
        <v>212</v>
      </c>
      <c r="Z229" s="13" t="str">
        <f>COUNTIF(K229:O229, "W")&amp;COUNTIF(K229:O229, "d")&amp;COUNTIF(K229:O229, "l")</f>
        <v>032</v>
      </c>
      <c r="AA229" s="23" t="str">
        <f>_xlfn.CONCAT(Y229,"-",Z229)</f>
        <v>212-032</v>
      </c>
      <c r="AB229" s="13" t="str">
        <f>_xlfn.CONCAT(AA229,"…",TEXT(U229,"+00;-00;+00;"))</f>
        <v>212-032…+06</v>
      </c>
      <c r="AC229" s="23" t="str">
        <f>_xlfn.CONCAT(TEXT(P229,"+00;-00;+00;"),"…",TEXT(Q229,"+00;-00;+00;"))</f>
        <v>+00…-06</v>
      </c>
      <c r="AD229" s="14" t="str">
        <f>IF(X229="","?","")</f>
        <v/>
      </c>
      <c r="AE229" s="15" t="str">
        <f>_xlfn.CONCAT(AA229,"…",TEXT(P229,"+00;-00;+00;"),"...",TEXT(Q229,"+00;-00;+00;"))</f>
        <v>212-032…+00...-06</v>
      </c>
      <c r="AF229" s="13" t="str">
        <f>_xlfn.CONCAT(R229,"…",TEXT(P229,"+00;-00;+00;"),"...",TEXT(Q229,"+00;-00;+00;"))</f>
        <v>LLWWD…+00...-06</v>
      </c>
    </row>
    <row r="230" spans="1:32" x14ac:dyDescent="0.25">
      <c r="A230" s="13" t="s">
        <v>655</v>
      </c>
      <c r="B230" s="13" t="s">
        <v>59</v>
      </c>
      <c r="C230" s="14">
        <v>1</v>
      </c>
      <c r="D230" s="13" t="s">
        <v>721</v>
      </c>
      <c r="E230" s="13" t="s">
        <v>722</v>
      </c>
      <c r="F230" s="13" t="s">
        <v>31</v>
      </c>
      <c r="G230" s="13" t="s">
        <v>29</v>
      </c>
      <c r="H230" s="13" t="s">
        <v>30</v>
      </c>
      <c r="I230" s="13" t="s">
        <v>30</v>
      </c>
      <c r="J230" s="13" t="s">
        <v>31</v>
      </c>
      <c r="K230" s="13" t="s">
        <v>30</v>
      </c>
      <c r="L230" s="13" t="s">
        <v>29</v>
      </c>
      <c r="M230" s="13" t="s">
        <v>30</v>
      </c>
      <c r="N230" s="13" t="s">
        <v>29</v>
      </c>
      <c r="O230" s="13" t="s">
        <v>29</v>
      </c>
      <c r="P230" s="16">
        <v>-2</v>
      </c>
      <c r="Q230" s="16">
        <v>-1</v>
      </c>
      <c r="R230" s="13" t="str">
        <f>_xlfn.CONCAT(F230,G230,H230,I230,J230)</f>
        <v>LDWWL</v>
      </c>
      <c r="S230" s="13" t="str">
        <f>_xlfn.CONCAT(K230,L230,M230,N230,O230)</f>
        <v>WDWDD</v>
      </c>
      <c r="T230" s="13" t="str">
        <f>_xlfn.CONCAT(R230,"***",S230)</f>
        <v>LDWWL***WDWDD</v>
      </c>
      <c r="U230" s="21">
        <f>(P230-Q230)</f>
        <v>-1</v>
      </c>
      <c r="V230" s="14">
        <v>2</v>
      </c>
      <c r="W230" s="14">
        <v>0</v>
      </c>
      <c r="X230" s="20" t="str">
        <f>IF(ISBLANK(V230),"",IF(V230&gt;W230,"1",IF(V230&lt;W230,"2",IF(V230=W230,"X"))))</f>
        <v>1</v>
      </c>
      <c r="Y230" s="23" t="str">
        <f>COUNTIF(F230:J230, "W")&amp;COUNTIF(F230:J230, "d")&amp;COUNTIF(F230:J230, "l")</f>
        <v>212</v>
      </c>
      <c r="Z230" s="13" t="str">
        <f>COUNTIF(K230:O230, "W")&amp;COUNTIF(K230:O230, "d")&amp;COUNTIF(K230:O230, "l")</f>
        <v>230</v>
      </c>
      <c r="AA230" s="23" t="str">
        <f>_xlfn.CONCAT(Y230,"-",Z230)</f>
        <v>212-230</v>
      </c>
      <c r="AB230" s="13" t="str">
        <f>_xlfn.CONCAT(AA230,"…",TEXT(U230,"+00;-00;+00;"))</f>
        <v>212-230…-01</v>
      </c>
      <c r="AC230" s="23" t="str">
        <f>_xlfn.CONCAT(TEXT(P230,"+00;-00;+00;"),"…",TEXT(Q230,"+00;-00;+00;"))</f>
        <v>-02…-01</v>
      </c>
      <c r="AD230" s="14" t="str">
        <f>IF(X230="","?","")</f>
        <v/>
      </c>
      <c r="AE230" s="15" t="str">
        <f>_xlfn.CONCAT(AA230,"…",TEXT(P230,"+00;-00;+00;"),"...",TEXT(Q230,"+00;-00;+00;"))</f>
        <v>212-230…-02...-01</v>
      </c>
      <c r="AF230" s="13" t="str">
        <f>_xlfn.CONCAT(R230,"…",TEXT(P230,"+00;-00;+00;"),"...",TEXT(Q230,"+00;-00;+00;"))</f>
        <v>LDWWL…-02...-01</v>
      </c>
    </row>
    <row r="231" spans="1:32" s="11" customFormat="1" x14ac:dyDescent="0.25">
      <c r="A231" s="13" t="s">
        <v>251</v>
      </c>
      <c r="B231" s="13" t="s">
        <v>250</v>
      </c>
      <c r="C231" s="14">
        <v>1</v>
      </c>
      <c r="D231" s="13" t="s">
        <v>259</v>
      </c>
      <c r="E231" s="13" t="s">
        <v>260</v>
      </c>
      <c r="F231" s="13" t="s">
        <v>31</v>
      </c>
      <c r="G231" s="13" t="s">
        <v>31</v>
      </c>
      <c r="H231" s="13" t="s">
        <v>31</v>
      </c>
      <c r="I231" s="13" t="s">
        <v>30</v>
      </c>
      <c r="J231" s="13" t="s">
        <v>30</v>
      </c>
      <c r="K231" s="13" t="s">
        <v>29</v>
      </c>
      <c r="L231" s="13" t="s">
        <v>30</v>
      </c>
      <c r="M231" s="13" t="s">
        <v>31</v>
      </c>
      <c r="N231" s="13" t="s">
        <v>29</v>
      </c>
      <c r="O231" s="13" t="s">
        <v>31</v>
      </c>
      <c r="P231" s="16">
        <v>-17</v>
      </c>
      <c r="Q231" s="16">
        <v>-5</v>
      </c>
      <c r="R231" s="13" t="str">
        <f>_xlfn.CONCAT(F231,G231,H231,I231,J231)</f>
        <v>LLLWW</v>
      </c>
      <c r="S231" s="13" t="str">
        <f>_xlfn.CONCAT(K231,L231,M231,N231,O231)</f>
        <v>DWLDL</v>
      </c>
      <c r="T231" s="13" t="str">
        <f>_xlfn.CONCAT(R231,"***",S231)</f>
        <v>LLLWW***DWLDL</v>
      </c>
      <c r="U231" s="21">
        <f>(P231-Q231)</f>
        <v>-12</v>
      </c>
      <c r="V231" s="14">
        <v>2</v>
      </c>
      <c r="W231" s="14">
        <v>1</v>
      </c>
      <c r="X231" s="20" t="str">
        <f>IF(ISBLANK(V231),"",IF(V231&gt;W231,"1",IF(V231&lt;W231,"2",IF(V231=W231,"X"))))</f>
        <v>1</v>
      </c>
      <c r="Y231" s="23" t="str">
        <f>COUNTIF(F231:J231, "W")&amp;COUNTIF(F231:J231, "d")&amp;COUNTIF(F231:J231, "l")</f>
        <v>203</v>
      </c>
      <c r="Z231" s="13" t="str">
        <f>COUNTIF(K231:O231, "W")&amp;COUNTIF(K231:O231, "d")&amp;COUNTIF(K231:O231, "l")</f>
        <v>122</v>
      </c>
      <c r="AA231" s="23" t="str">
        <f>_xlfn.CONCAT(Y231,"-",Z231)</f>
        <v>203-122</v>
      </c>
      <c r="AB231" s="13" t="str">
        <f>_xlfn.CONCAT(AA231,"…",TEXT(U231,"+00;-00;+00;"))</f>
        <v>203-122…-12</v>
      </c>
      <c r="AC231" s="23" t="str">
        <f>_xlfn.CONCAT(TEXT(P231,"+00;-00;+00;"),"…",TEXT(Q231,"+00;-00;+00;"))</f>
        <v>-17…-05</v>
      </c>
      <c r="AD231" s="14" t="str">
        <f>IF(X231="","?","")</f>
        <v/>
      </c>
      <c r="AE231" s="24" t="str">
        <f>_xlfn.CONCAT(AA231,"…",TEXT(P231,"+00;-00;+00;"),"...",TEXT(Q231,"+00;-00;+00;"))</f>
        <v>203-122…-17...-05</v>
      </c>
      <c r="AF231" s="26" t="str">
        <f>_xlfn.CONCAT(R231,"…",TEXT(P231,"+00;-00;+00;"),"...",TEXT(Q231,"+00;-00;+00;"))</f>
        <v>LLLWW…-17...-05</v>
      </c>
    </row>
    <row r="232" spans="1:32" s="8" customFormat="1" x14ac:dyDescent="0.25">
      <c r="A232" s="13" t="s">
        <v>595</v>
      </c>
      <c r="B232" s="13" t="s">
        <v>339</v>
      </c>
      <c r="C232" s="14">
        <v>1</v>
      </c>
      <c r="D232" s="13" t="s">
        <v>351</v>
      </c>
      <c r="E232" s="13" t="s">
        <v>348</v>
      </c>
      <c r="F232" s="13" t="s">
        <v>31</v>
      </c>
      <c r="G232" s="13" t="s">
        <v>31</v>
      </c>
      <c r="H232" s="13" t="s">
        <v>31</v>
      </c>
      <c r="I232" s="13" t="s">
        <v>31</v>
      </c>
      <c r="J232" s="13" t="s">
        <v>31</v>
      </c>
      <c r="K232" s="13" t="s">
        <v>30</v>
      </c>
      <c r="L232" s="13" t="s">
        <v>31</v>
      </c>
      <c r="M232" s="13" t="s">
        <v>29</v>
      </c>
      <c r="N232" s="13" t="s">
        <v>31</v>
      </c>
      <c r="O232" s="13" t="s">
        <v>31</v>
      </c>
      <c r="P232" s="16">
        <v>-12</v>
      </c>
      <c r="Q232" s="16">
        <v>-5</v>
      </c>
      <c r="R232" s="13" t="str">
        <f>_xlfn.CONCAT(F232,G232,H232,I232,J232)</f>
        <v>LLLLL</v>
      </c>
      <c r="S232" s="13" t="str">
        <f>_xlfn.CONCAT(K232,L232,M232,N232,O232)</f>
        <v>WLDLL</v>
      </c>
      <c r="T232" s="13" t="str">
        <f>_xlfn.CONCAT(R232,"***",S232)</f>
        <v>LLLLL***WLDLL</v>
      </c>
      <c r="U232" s="21">
        <f>(P232-Q232)</f>
        <v>-7</v>
      </c>
      <c r="V232" s="14">
        <v>2</v>
      </c>
      <c r="W232" s="14">
        <v>2</v>
      </c>
      <c r="X232" s="20" t="str">
        <f>IF(ISBLANK(V232),"",IF(V232&gt;W232,"1",IF(V232&lt;W232,"2",IF(V232=W232,"X"))))</f>
        <v>X</v>
      </c>
      <c r="Y232" s="23" t="str">
        <f>COUNTIF(F232:J232, "W")&amp;COUNTIF(F232:J232, "d")&amp;COUNTIF(F232:J232, "l")</f>
        <v>005</v>
      </c>
      <c r="Z232" s="13" t="str">
        <f>COUNTIF(K232:O232, "W")&amp;COUNTIF(K232:O232, "d")&amp;COUNTIF(K232:O232, "l")</f>
        <v>113</v>
      </c>
      <c r="AA232" s="23" t="str">
        <f>_xlfn.CONCAT(Y232,"-",Z232)</f>
        <v>005-113</v>
      </c>
      <c r="AB232" s="13" t="str">
        <f>_xlfn.CONCAT(AA232,"…",TEXT(U232,"+00;-00;+00;"))</f>
        <v>005-113…-07</v>
      </c>
      <c r="AC232" s="23" t="str">
        <f>_xlfn.CONCAT(TEXT(P232,"+00;-00;+00;"),"…",TEXT(Q232,"+00;-00;+00;"))</f>
        <v>-12…-05</v>
      </c>
      <c r="AD232" s="14" t="str">
        <f>IF(X232="","?","")</f>
        <v/>
      </c>
      <c r="AE232" s="15" t="str">
        <f>_xlfn.CONCAT(AA232,"…",TEXT(P232,"+00;-00;+00;"),"...",TEXT(Q232,"+00;-00;+00;"))</f>
        <v>005-113…-12...-05</v>
      </c>
      <c r="AF232" s="13" t="str">
        <f>_xlfn.CONCAT(R232,"…",TEXT(P232,"+00;-00;+00;"),"...",TEXT(Q232,"+00;-00;+00;"))</f>
        <v>LLLLL…-12...-05</v>
      </c>
    </row>
    <row r="233" spans="1:32" s="8" customFormat="1" x14ac:dyDescent="0.25">
      <c r="A233" s="13" t="s">
        <v>853</v>
      </c>
      <c r="B233" s="13" t="s">
        <v>250</v>
      </c>
      <c r="C233" s="14">
        <v>2</v>
      </c>
      <c r="D233" s="13" t="s">
        <v>855</v>
      </c>
      <c r="E233" s="13" t="s">
        <v>856</v>
      </c>
      <c r="F233" s="13" t="s">
        <v>29</v>
      </c>
      <c r="G233" s="13" t="s">
        <v>29</v>
      </c>
      <c r="H233" s="13" t="s">
        <v>30</v>
      </c>
      <c r="I233" s="13" t="s">
        <v>31</v>
      </c>
      <c r="J233" s="13" t="s">
        <v>31</v>
      </c>
      <c r="K233" s="13" t="s">
        <v>30</v>
      </c>
      <c r="L233" s="13" t="s">
        <v>31</v>
      </c>
      <c r="M233" s="13" t="s">
        <v>30</v>
      </c>
      <c r="N233" s="13" t="s">
        <v>30</v>
      </c>
      <c r="O233" s="13" t="s">
        <v>29</v>
      </c>
      <c r="P233" s="16">
        <v>-4</v>
      </c>
      <c r="Q233" s="16">
        <v>9</v>
      </c>
      <c r="R233" s="13" t="str">
        <f>_xlfn.CONCAT(F233,G233,H233,I233,J233)</f>
        <v>DDWLL</v>
      </c>
      <c r="S233" s="13" t="str">
        <f>_xlfn.CONCAT(K233,L233,M233,N233,O233)</f>
        <v>WLWWD</v>
      </c>
      <c r="T233" s="13" t="str">
        <f>_xlfn.CONCAT(R233,"***",S233)</f>
        <v>DDWLL***WLWWD</v>
      </c>
      <c r="U233" s="21">
        <f>(P233-Q233)</f>
        <v>-13</v>
      </c>
      <c r="V233" s="14">
        <v>1</v>
      </c>
      <c r="W233" s="14">
        <v>3</v>
      </c>
      <c r="X233" s="20" t="str">
        <f>IF(ISBLANK(V233),"",IF(V233&gt;W233,"1",IF(V233&lt;W233,"2",IF(V233=W233,"X"))))</f>
        <v>2</v>
      </c>
      <c r="Y233" s="23" t="str">
        <f>COUNTIF(F233:J233, "W")&amp;COUNTIF(F233:J233, "d")&amp;COUNTIF(F233:J233, "l")</f>
        <v>122</v>
      </c>
      <c r="Z233" s="13" t="str">
        <f>COUNTIF(K233:O233, "W")&amp;COUNTIF(K233:O233, "d")&amp;COUNTIF(K233:O233, "l")</f>
        <v>311</v>
      </c>
      <c r="AA233" s="23" t="str">
        <f>_xlfn.CONCAT(Y233,"-",Z233)</f>
        <v>122-311</v>
      </c>
      <c r="AB233" s="13" t="str">
        <f>_xlfn.CONCAT(AA233,"…",TEXT(U233,"+00;-00;+00;"))</f>
        <v>122-311…-13</v>
      </c>
      <c r="AC233" s="23" t="str">
        <f>_xlfn.CONCAT(TEXT(P233,"+00;-00;+00;"),"…",TEXT(Q233,"+00;-00;+00;"))</f>
        <v>-04…+09</v>
      </c>
      <c r="AD233" s="14" t="str">
        <f>IF(X233="","?","")</f>
        <v/>
      </c>
      <c r="AE233" s="15" t="str">
        <f>_xlfn.CONCAT(AA233,"…",TEXT(P233,"+00;-00;+00;"),"...",TEXT(Q233,"+00;-00;+00;"))</f>
        <v>122-311…-04...+09</v>
      </c>
      <c r="AF233" s="13" t="str">
        <f>_xlfn.CONCAT(R233,"…",TEXT(P233,"+00;-00;+00;"),"...",TEXT(Q233,"+00;-00;+00;"))</f>
        <v>DDWLL…-04...+09</v>
      </c>
    </row>
    <row r="234" spans="1:32" x14ac:dyDescent="0.25">
      <c r="A234" s="12" t="s">
        <v>577</v>
      </c>
      <c r="B234" s="13" t="s">
        <v>208</v>
      </c>
      <c r="C234" s="14">
        <v>2</v>
      </c>
      <c r="D234" s="13" t="s">
        <v>584</v>
      </c>
      <c r="E234" s="13" t="s">
        <v>585</v>
      </c>
      <c r="F234" s="15" t="s">
        <v>31</v>
      </c>
      <c r="G234" s="15" t="s">
        <v>30</v>
      </c>
      <c r="H234" s="15" t="s">
        <v>31</v>
      </c>
      <c r="I234" s="15" t="s">
        <v>31</v>
      </c>
      <c r="J234" s="15" t="s">
        <v>31</v>
      </c>
      <c r="K234" s="15" t="s">
        <v>30</v>
      </c>
      <c r="L234" s="15" t="s">
        <v>30</v>
      </c>
      <c r="M234" s="15" t="s">
        <v>30</v>
      </c>
      <c r="N234" s="15" t="s">
        <v>30</v>
      </c>
      <c r="O234" s="15" t="s">
        <v>31</v>
      </c>
      <c r="P234" s="16">
        <v>-17</v>
      </c>
      <c r="Q234" s="16">
        <v>6</v>
      </c>
      <c r="R234" s="13" t="str">
        <f>_xlfn.CONCAT(F234,G234,H234,I234,J234)</f>
        <v>LWLLL</v>
      </c>
      <c r="S234" s="13" t="str">
        <f>_xlfn.CONCAT(K234,L234,M234,N234,O234)</f>
        <v>WWWWL</v>
      </c>
      <c r="T234" s="13" t="str">
        <f>_xlfn.CONCAT(R234,"***",S234)</f>
        <v>LWLLL***WWWWL</v>
      </c>
      <c r="U234" s="19">
        <f>(P234-Q234)</f>
        <v>-23</v>
      </c>
      <c r="V234" s="14">
        <v>0</v>
      </c>
      <c r="W234" s="14">
        <v>1</v>
      </c>
      <c r="X234" s="20" t="str">
        <f>IF(ISBLANK(V234),"",IF(V234&gt;W234,"1",IF(V234&lt;W234,"2",IF(V234=W234,"X"))))</f>
        <v>2</v>
      </c>
      <c r="Y234" s="23" t="str">
        <f>COUNTIF(F234:J234, "W")&amp;COUNTIF(F234:J234, "d")&amp;COUNTIF(F234:J234, "l")</f>
        <v>104</v>
      </c>
      <c r="Z234" s="13" t="str">
        <f>COUNTIF(K234:O234, "W")&amp;COUNTIF(K234:O234, "d")&amp;COUNTIF(K234:O234, "l")</f>
        <v>401</v>
      </c>
      <c r="AA234" s="23" t="str">
        <f>_xlfn.CONCAT(Y234,"-",Z234)</f>
        <v>104-401</v>
      </c>
      <c r="AB234" s="15" t="str">
        <f>_xlfn.CONCAT(AA234,"…",TEXT(U234,"+00;-00;+00;"))</f>
        <v>104-401…-23</v>
      </c>
      <c r="AC234" s="23" t="str">
        <f>_xlfn.CONCAT(TEXT(P234,"+00;-00;+00;"),"…",TEXT(Q234,"+00;-00;+00;"))</f>
        <v>-17…+06</v>
      </c>
      <c r="AD234" s="14" t="str">
        <f>IF(X234="","?","")</f>
        <v/>
      </c>
      <c r="AE234" s="15" t="str">
        <f>_xlfn.CONCAT(AA234,"…",TEXT(P234,"+00;-00;+00;"),"...",TEXT(Q234,"+00;-00;+00;"))</f>
        <v>104-401…-17...+06</v>
      </c>
      <c r="AF234" s="13" t="str">
        <f>_xlfn.CONCAT(R234,"…",TEXT(P234,"+00;-00;+00;"),"...",TEXT(Q234,"+00;-00;+00;"))</f>
        <v>LWLLL…-17...+06</v>
      </c>
    </row>
    <row r="235" spans="1:32" x14ac:dyDescent="0.25">
      <c r="A235" s="12" t="s">
        <v>577</v>
      </c>
      <c r="B235" s="13" t="s">
        <v>208</v>
      </c>
      <c r="C235" s="14">
        <v>2</v>
      </c>
      <c r="D235" s="13" t="s">
        <v>586</v>
      </c>
      <c r="E235" s="13" t="s">
        <v>241</v>
      </c>
      <c r="F235" s="15" t="s">
        <v>31</v>
      </c>
      <c r="G235" s="15" t="s">
        <v>30</v>
      </c>
      <c r="H235" s="15" t="s">
        <v>31</v>
      </c>
      <c r="I235" s="15" t="s">
        <v>30</v>
      </c>
      <c r="J235" s="15" t="s">
        <v>30</v>
      </c>
      <c r="K235" s="15" t="s">
        <v>30</v>
      </c>
      <c r="L235" s="15" t="s">
        <v>31</v>
      </c>
      <c r="M235" s="15" t="s">
        <v>31</v>
      </c>
      <c r="N235" s="15" t="s">
        <v>30</v>
      </c>
      <c r="O235" s="15" t="s">
        <v>30</v>
      </c>
      <c r="P235" s="16">
        <v>-3</v>
      </c>
      <c r="Q235" s="16">
        <v>11</v>
      </c>
      <c r="R235" s="13" t="str">
        <f>_xlfn.CONCAT(F235,G235,H235,I235,J235)</f>
        <v>LWLWW</v>
      </c>
      <c r="S235" s="13" t="str">
        <f>_xlfn.CONCAT(K235,L235,M235,N235,O235)</f>
        <v>WLLWW</v>
      </c>
      <c r="T235" s="13" t="str">
        <f>_xlfn.CONCAT(R235,"***",S235)</f>
        <v>LWLWW***WLLWW</v>
      </c>
      <c r="U235" s="19">
        <f>(P235-Q235)</f>
        <v>-14</v>
      </c>
      <c r="V235" s="14">
        <v>0</v>
      </c>
      <c r="W235" s="14">
        <v>5</v>
      </c>
      <c r="X235" s="20" t="str">
        <f>IF(ISBLANK(V235),"",IF(V235&gt;W235,"1",IF(V235&lt;W235,"2",IF(V235=W235,"X"))))</f>
        <v>2</v>
      </c>
      <c r="Y235" s="23" t="str">
        <f>COUNTIF(F235:J235, "W")&amp;COUNTIF(F235:J235, "d")&amp;COUNTIF(F235:J235, "l")</f>
        <v>302</v>
      </c>
      <c r="Z235" s="13" t="str">
        <f>COUNTIF(K235:O235, "W")&amp;COUNTIF(K235:O235, "d")&amp;COUNTIF(K235:O235, "l")</f>
        <v>302</v>
      </c>
      <c r="AA235" s="23" t="str">
        <f>_xlfn.CONCAT(Y235,"-",Z235)</f>
        <v>302-302</v>
      </c>
      <c r="AB235" s="15" t="str">
        <f>_xlfn.CONCAT(AA235,"…",TEXT(U235,"+00;-00;+00;"))</f>
        <v>302-302…-14</v>
      </c>
      <c r="AC235" s="23" t="str">
        <f>_xlfn.CONCAT(TEXT(P235,"+00;-00;+00;"),"…",TEXT(Q235,"+00;-00;+00;"))</f>
        <v>-03…+11</v>
      </c>
      <c r="AD235" s="14" t="str">
        <f>IF(X235="","?","")</f>
        <v/>
      </c>
      <c r="AE235" s="15" t="str">
        <f>_xlfn.CONCAT(AA235,"…",TEXT(P235,"+00;-00;+00;"),"...",TEXT(Q235,"+00;-00;+00;"))</f>
        <v>302-302…-03...+11</v>
      </c>
      <c r="AF235" s="13" t="str">
        <f>_xlfn.CONCAT(R235,"…",TEXT(P235,"+00;-00;+00;"),"...",TEXT(Q235,"+00;-00;+00;"))</f>
        <v>LWLWW…-03...+11</v>
      </c>
    </row>
    <row r="236" spans="1:32" x14ac:dyDescent="0.25">
      <c r="A236" s="12" t="s">
        <v>656</v>
      </c>
      <c r="B236" s="13" t="s">
        <v>7</v>
      </c>
      <c r="C236" s="14" t="s">
        <v>32</v>
      </c>
      <c r="D236" s="13" t="s">
        <v>57</v>
      </c>
      <c r="E236" s="13" t="s">
        <v>43</v>
      </c>
      <c r="F236" s="13" t="s">
        <v>30</v>
      </c>
      <c r="G236" s="13" t="s">
        <v>30</v>
      </c>
      <c r="H236" s="13" t="s">
        <v>31</v>
      </c>
      <c r="I236" s="13" t="s">
        <v>30</v>
      </c>
      <c r="J236" s="13" t="s">
        <v>30</v>
      </c>
      <c r="K236" s="13" t="s">
        <v>29</v>
      </c>
      <c r="L236" s="13" t="s">
        <v>30</v>
      </c>
      <c r="M236" s="13" t="s">
        <v>31</v>
      </c>
      <c r="N236" s="13" t="s">
        <v>31</v>
      </c>
      <c r="O236" s="13" t="s">
        <v>30</v>
      </c>
      <c r="P236" s="16">
        <v>12</v>
      </c>
      <c r="Q236" s="16">
        <v>21</v>
      </c>
      <c r="R236" s="13" t="str">
        <f>_xlfn.CONCAT(F236,G236,H236,I236,J236)</f>
        <v>WWLWW</v>
      </c>
      <c r="S236" s="13" t="str">
        <f>_xlfn.CONCAT(K236,L236,M236,N236,O236)</f>
        <v>DWLLW</v>
      </c>
      <c r="T236" s="13" t="str">
        <f>_xlfn.CONCAT(R236,"***",S236)</f>
        <v>WWLWW***DWLLW</v>
      </c>
      <c r="U236" s="19">
        <f>(P236-Q236)</f>
        <v>-9</v>
      </c>
      <c r="V236" s="14">
        <v>1</v>
      </c>
      <c r="W236" s="14">
        <v>2</v>
      </c>
      <c r="X236" s="20" t="str">
        <f>IF(ISBLANK(V236),"",IF(V236&gt;W236,"1",IF(V236&lt;W236,"2",IF(V236=W236,"X"))))</f>
        <v>2</v>
      </c>
      <c r="Y236" s="23" t="str">
        <f>COUNTIF(F236:J236, "W")&amp;COUNTIF(F236:J236, "d")&amp;COUNTIF(F236:J236, "l")</f>
        <v>401</v>
      </c>
      <c r="Z236" s="13" t="str">
        <f>COUNTIF(K236:O236, "W")&amp;COUNTIF(K236:O236, "d")&amp;COUNTIF(K236:O236, "l")</f>
        <v>212</v>
      </c>
      <c r="AA236" s="23" t="str">
        <f>_xlfn.CONCAT(Y236,"-",Z236)</f>
        <v>401-212</v>
      </c>
      <c r="AB236" s="13" t="str">
        <f>_xlfn.CONCAT(AA236,"…",TEXT(U236,"+00;-00;+00;"))</f>
        <v>401-212…-09</v>
      </c>
      <c r="AC236" s="23" t="str">
        <f>_xlfn.CONCAT(TEXT(P236,"+00;-00;+00;"),"…",TEXT(Q236,"+00;-00;+00;"))</f>
        <v>+12…+21</v>
      </c>
      <c r="AD236" s="14" t="str">
        <f>IF(X236="","?","")</f>
        <v/>
      </c>
      <c r="AE236" s="15" t="str">
        <f>_xlfn.CONCAT(AA236,"…",TEXT(P236,"+00;-00;+00;"),"...",TEXT(Q236,"+00;-00;+00;"))</f>
        <v>401-212…+12...+21</v>
      </c>
      <c r="AF236" s="13" t="str">
        <f>_xlfn.CONCAT(R236,"…",TEXT(P236,"+00;-00;+00;"),"...",TEXT(Q236,"+00;-00;+00;"))</f>
        <v>WWLWW…+12...+21</v>
      </c>
    </row>
    <row r="237" spans="1:32" s="8" customFormat="1" x14ac:dyDescent="0.25">
      <c r="A237" s="12" t="s">
        <v>596</v>
      </c>
      <c r="B237" s="13" t="s">
        <v>117</v>
      </c>
      <c r="C237" s="14" t="s">
        <v>33</v>
      </c>
      <c r="D237" s="13" t="s">
        <v>669</v>
      </c>
      <c r="E237" s="13" t="s">
        <v>670</v>
      </c>
      <c r="F237" s="13" t="s">
        <v>31</v>
      </c>
      <c r="G237" s="13" t="s">
        <v>29</v>
      </c>
      <c r="H237" s="13" t="s">
        <v>29</v>
      </c>
      <c r="I237" s="13" t="s">
        <v>31</v>
      </c>
      <c r="J237" s="13" t="s">
        <v>31</v>
      </c>
      <c r="K237" s="13" t="s">
        <v>30</v>
      </c>
      <c r="L237" s="13" t="s">
        <v>30</v>
      </c>
      <c r="M237" s="13" t="s">
        <v>30</v>
      </c>
      <c r="N237" s="13" t="s">
        <v>31</v>
      </c>
      <c r="O237" s="13" t="s">
        <v>31</v>
      </c>
      <c r="P237" s="16">
        <v>-18</v>
      </c>
      <c r="Q237" s="16">
        <v>-1</v>
      </c>
      <c r="R237" s="13" t="str">
        <f>_xlfn.CONCAT(F237,G237,H237,I237,J237)</f>
        <v>LDDLL</v>
      </c>
      <c r="S237" s="13" t="str">
        <f>_xlfn.CONCAT(K237,L237,M237,N237,O237)</f>
        <v>WWWLL</v>
      </c>
      <c r="T237" s="13" t="str">
        <f>_xlfn.CONCAT(R237,"***",S237)</f>
        <v>LDDLL***WWWLL</v>
      </c>
      <c r="U237" s="19">
        <f>(P237-Q237)</f>
        <v>-17</v>
      </c>
      <c r="V237" s="14">
        <v>0</v>
      </c>
      <c r="W237" s="14">
        <v>1</v>
      </c>
      <c r="X237" s="20" t="str">
        <f>IF(ISBLANK(V237),"",IF(V237&gt;W237,"1",IF(V237&lt;W237,"2",IF(V237=W237,"X"))))</f>
        <v>2</v>
      </c>
      <c r="Y237" s="23" t="str">
        <f>COUNTIF(F237:J237, "W")&amp;COUNTIF(F237:J237, "d")&amp;COUNTIF(F237:J237, "l")</f>
        <v>023</v>
      </c>
      <c r="Z237" s="13" t="str">
        <f>COUNTIF(K237:O237, "W")&amp;COUNTIF(K237:O237, "d")&amp;COUNTIF(K237:O237, "l")</f>
        <v>302</v>
      </c>
      <c r="AA237" s="23" t="str">
        <f>_xlfn.CONCAT(Y237,"-",Z237)</f>
        <v>023-302</v>
      </c>
      <c r="AB237" s="13" t="str">
        <f>_xlfn.CONCAT(AA237,"…",TEXT(U237,"+00;-00;+00;"))</f>
        <v>023-302…-17</v>
      </c>
      <c r="AC237" s="23" t="str">
        <f>_xlfn.CONCAT(TEXT(P237,"+00;-00;+00;"),"…",TEXT(Q237,"+00;-00;+00;"))</f>
        <v>-18…-01</v>
      </c>
      <c r="AD237" s="14" t="str">
        <f>IF(X237="","?","")</f>
        <v/>
      </c>
      <c r="AE237" s="15" t="str">
        <f>_xlfn.CONCAT(AA237,"…",TEXT(P237,"+00;-00;+00;"),"...",TEXT(Q237,"+00;-00;+00;"))</f>
        <v>023-302…-18...-01</v>
      </c>
      <c r="AF237" s="13" t="str">
        <f>_xlfn.CONCAT(R237,"…",TEXT(P237,"+00;-00;+00;"),"...",TEXT(Q237,"+00;-00;+00;"))</f>
        <v>LDDLL…-18...-01</v>
      </c>
    </row>
    <row r="238" spans="1:32" s="8" customFormat="1" x14ac:dyDescent="0.25">
      <c r="A238" s="12" t="s">
        <v>596</v>
      </c>
      <c r="B238" s="13" t="s">
        <v>339</v>
      </c>
      <c r="C238" s="14">
        <v>1</v>
      </c>
      <c r="D238" s="13" t="s">
        <v>355</v>
      </c>
      <c r="E238" s="13" t="s">
        <v>360</v>
      </c>
      <c r="F238" s="15" t="s">
        <v>29</v>
      </c>
      <c r="G238" s="15" t="s">
        <v>30</v>
      </c>
      <c r="H238" s="15" t="s">
        <v>31</v>
      </c>
      <c r="I238" s="15" t="s">
        <v>31</v>
      </c>
      <c r="J238" s="15" t="s">
        <v>31</v>
      </c>
      <c r="K238" s="15" t="s">
        <v>30</v>
      </c>
      <c r="L238" s="15" t="s">
        <v>31</v>
      </c>
      <c r="M238" s="15" t="s">
        <v>29</v>
      </c>
      <c r="N238" s="15" t="s">
        <v>31</v>
      </c>
      <c r="O238" s="15" t="s">
        <v>29</v>
      </c>
      <c r="P238" s="16">
        <v>-6</v>
      </c>
      <c r="Q238" s="16">
        <v>-5</v>
      </c>
      <c r="R238" s="13" t="str">
        <f>_xlfn.CONCAT(F238,G238,H238,I238,J238)</f>
        <v>DWLLL</v>
      </c>
      <c r="S238" s="13" t="str">
        <f>_xlfn.CONCAT(K238,L238,M238,N238,O238)</f>
        <v>WLDLD</v>
      </c>
      <c r="T238" s="13" t="str">
        <f>_xlfn.CONCAT(R238,"***",S238)</f>
        <v>DWLLL***WLDLD</v>
      </c>
      <c r="U238" s="19">
        <f>(P238-Q238)</f>
        <v>-1</v>
      </c>
      <c r="V238" s="14">
        <v>3</v>
      </c>
      <c r="W238" s="14">
        <v>2</v>
      </c>
      <c r="X238" s="20" t="str">
        <f>IF(ISBLANK(V238),"",IF(V238&gt;W238,"1",IF(V238&lt;W238,"2",IF(V238=W238,"X"))))</f>
        <v>1</v>
      </c>
      <c r="Y238" s="23" t="str">
        <f>COUNTIF(F238:J238, "W")&amp;COUNTIF(F238:J238, "d")&amp;COUNTIF(F238:J238, "l")</f>
        <v>113</v>
      </c>
      <c r="Z238" s="13" t="str">
        <f>COUNTIF(K238:O238, "W")&amp;COUNTIF(K238:O238, "d")&amp;COUNTIF(K238:O238, "l")</f>
        <v>122</v>
      </c>
      <c r="AA238" s="23" t="str">
        <f>_xlfn.CONCAT(Y238,"-",Z238)</f>
        <v>113-122</v>
      </c>
      <c r="AB238" s="15" t="str">
        <f>_xlfn.CONCAT(AA238,"…",TEXT(U238,"+00;-00;+00;"))</f>
        <v>113-122…-01</v>
      </c>
      <c r="AC238" s="23" t="str">
        <f>_xlfn.CONCAT(TEXT(P238,"+00;-00;+00;"),"…",TEXT(Q238,"+00;-00;+00;"))</f>
        <v>-06…-05</v>
      </c>
      <c r="AD238" s="14" t="str">
        <f>IF(X238="","?","")</f>
        <v/>
      </c>
      <c r="AE238" s="15" t="str">
        <f>_xlfn.CONCAT(AA238,"…",TEXT(P238,"+00;-00;+00;"),"...",TEXT(Q238,"+00;-00;+00;"))</f>
        <v>113-122…-06...-05</v>
      </c>
      <c r="AF238" s="13" t="str">
        <f>_xlfn.CONCAT(R238,"…",TEXT(P238,"+00;-00;+00;"),"...",TEXT(Q238,"+00;-00;+00;"))</f>
        <v>DWLLL…-06...-05</v>
      </c>
    </row>
    <row r="239" spans="1:32" s="8" customFormat="1" x14ac:dyDescent="0.25">
      <c r="A239" s="12" t="s">
        <v>596</v>
      </c>
      <c r="B239" s="13" t="s">
        <v>117</v>
      </c>
      <c r="C239" s="14" t="s">
        <v>33</v>
      </c>
      <c r="D239" s="13" t="s">
        <v>667</v>
      </c>
      <c r="E239" s="13" t="s">
        <v>668</v>
      </c>
      <c r="F239" s="13" t="s">
        <v>31</v>
      </c>
      <c r="G239" s="13" t="s">
        <v>30</v>
      </c>
      <c r="H239" s="13" t="s">
        <v>29</v>
      </c>
      <c r="I239" s="13" t="s">
        <v>29</v>
      </c>
      <c r="J239" s="13" t="s">
        <v>31</v>
      </c>
      <c r="K239" s="13" t="s">
        <v>29</v>
      </c>
      <c r="L239" s="13" t="s">
        <v>29</v>
      </c>
      <c r="M239" s="13" t="s">
        <v>31</v>
      </c>
      <c r="N239" s="13" t="s">
        <v>31</v>
      </c>
      <c r="O239" s="13" t="s">
        <v>31</v>
      </c>
      <c r="P239" s="16">
        <v>3</v>
      </c>
      <c r="Q239" s="16">
        <v>-6</v>
      </c>
      <c r="R239" s="13" t="str">
        <f>_xlfn.CONCAT(F239,G239,H239,I239,J239)</f>
        <v>LWDDL</v>
      </c>
      <c r="S239" s="13" t="str">
        <f>_xlfn.CONCAT(K239,L239,M239,N239,O239)</f>
        <v>DDLLL</v>
      </c>
      <c r="T239" s="13" t="str">
        <f>_xlfn.CONCAT(R239,"***",S239)</f>
        <v>LWDDL***DDLLL</v>
      </c>
      <c r="U239" s="19">
        <f>(P239-Q239)</f>
        <v>9</v>
      </c>
      <c r="V239" s="14">
        <v>1</v>
      </c>
      <c r="W239" s="14">
        <v>3</v>
      </c>
      <c r="X239" s="20" t="str">
        <f>IF(ISBLANK(V239),"",IF(V239&gt;W239,"1",IF(V239&lt;W239,"2",IF(V239=W239,"X"))))</f>
        <v>2</v>
      </c>
      <c r="Y239" s="23" t="str">
        <f>COUNTIF(F239:J239, "W")&amp;COUNTIF(F239:J239, "d")&amp;COUNTIF(F239:J239, "l")</f>
        <v>122</v>
      </c>
      <c r="Z239" s="13" t="str">
        <f>COUNTIF(K239:O239, "W")&amp;COUNTIF(K239:O239, "d")&amp;COUNTIF(K239:O239, "l")</f>
        <v>023</v>
      </c>
      <c r="AA239" s="23" t="str">
        <f>_xlfn.CONCAT(Y239,"-",Z239)</f>
        <v>122-023</v>
      </c>
      <c r="AB239" s="13" t="str">
        <f>_xlfn.CONCAT(AA239,"…",TEXT(U239,"+00;-00;+00;"))</f>
        <v>122-023…+09</v>
      </c>
      <c r="AC239" s="23" t="str">
        <f>_xlfn.CONCAT(TEXT(P239,"+00;-00;+00;"),"…",TEXT(Q239,"+00;-00;+00;"))</f>
        <v>+03…-06</v>
      </c>
      <c r="AD239" s="14" t="str">
        <f>IF(X239="","?","")</f>
        <v/>
      </c>
      <c r="AE239" s="15" t="str">
        <f>_xlfn.CONCAT(AA239,"…",TEXT(P239,"+00;-00;+00;"),"...",TEXT(Q239,"+00;-00;+00;"))</f>
        <v>122-023…+03...-06</v>
      </c>
      <c r="AF239" s="13" t="str">
        <f>_xlfn.CONCAT(R239,"…",TEXT(P239,"+00;-00;+00;"),"...",TEXT(Q239,"+00;-00;+00;"))</f>
        <v>LWDDL…+03...-06</v>
      </c>
    </row>
    <row r="240" spans="1:32" s="8" customFormat="1" x14ac:dyDescent="0.25">
      <c r="A240" s="12" t="s">
        <v>596</v>
      </c>
      <c r="B240" s="13" t="s">
        <v>117</v>
      </c>
      <c r="C240" s="14" t="s">
        <v>33</v>
      </c>
      <c r="D240" s="13" t="s">
        <v>161</v>
      </c>
      <c r="E240" s="13" t="s">
        <v>673</v>
      </c>
      <c r="F240" s="13" t="s">
        <v>29</v>
      </c>
      <c r="G240" s="13" t="s">
        <v>30</v>
      </c>
      <c r="H240" s="13" t="s">
        <v>29</v>
      </c>
      <c r="I240" s="13" t="s">
        <v>31</v>
      </c>
      <c r="J240" s="13" t="s">
        <v>31</v>
      </c>
      <c r="K240" s="13" t="s">
        <v>30</v>
      </c>
      <c r="L240" s="13" t="s">
        <v>30</v>
      </c>
      <c r="M240" s="13" t="s">
        <v>30</v>
      </c>
      <c r="N240" s="13" t="s">
        <v>30</v>
      </c>
      <c r="O240" s="13" t="s">
        <v>31</v>
      </c>
      <c r="P240" s="16">
        <v>-1</v>
      </c>
      <c r="Q240" s="16">
        <v>9</v>
      </c>
      <c r="R240" s="13" t="str">
        <f>_xlfn.CONCAT(F240,G240,H240,I240,J240)</f>
        <v>DWDLL</v>
      </c>
      <c r="S240" s="13" t="str">
        <f>_xlfn.CONCAT(K240,L240,M240,N240,O240)</f>
        <v>WWWWL</v>
      </c>
      <c r="T240" s="13" t="str">
        <f>_xlfn.CONCAT(R240,"***",S240)</f>
        <v>DWDLL***WWWWL</v>
      </c>
      <c r="U240" s="19">
        <f>(P240-Q240)</f>
        <v>-10</v>
      </c>
      <c r="V240" s="14">
        <v>0</v>
      </c>
      <c r="W240" s="14">
        <v>0</v>
      </c>
      <c r="X240" s="20" t="str">
        <f>IF(ISBLANK(V240),"",IF(V240&gt;W240,"1",IF(V240&lt;W240,"2",IF(V240=W240,"X"))))</f>
        <v>X</v>
      </c>
      <c r="Y240" s="23" t="str">
        <f>COUNTIF(F240:J240, "W")&amp;COUNTIF(F240:J240, "d")&amp;COUNTIF(F240:J240, "l")</f>
        <v>122</v>
      </c>
      <c r="Z240" s="13" t="str">
        <f>COUNTIF(K240:O240, "W")&amp;COUNTIF(K240:O240, "d")&amp;COUNTIF(K240:O240, "l")</f>
        <v>401</v>
      </c>
      <c r="AA240" s="23" t="str">
        <f>_xlfn.CONCAT(Y240,"-",Z240)</f>
        <v>122-401</v>
      </c>
      <c r="AB240" s="13" t="str">
        <f>_xlfn.CONCAT(AA240,"…",TEXT(U240,"+00;-00;+00;"))</f>
        <v>122-401…-10</v>
      </c>
      <c r="AC240" s="23" t="str">
        <f>_xlfn.CONCAT(TEXT(P240,"+00;-00;+00;"),"…",TEXT(Q240,"+00;-00;+00;"))</f>
        <v>-01…+09</v>
      </c>
      <c r="AD240" s="14" t="str">
        <f>IF(X240="","?","")</f>
        <v/>
      </c>
      <c r="AE240" s="15" t="str">
        <f>_xlfn.CONCAT(AA240,"…",TEXT(P240,"+00;-00;+00;"),"...",TEXT(Q240,"+00;-00;+00;"))</f>
        <v>122-401…-01...+09</v>
      </c>
      <c r="AF240" s="13" t="str">
        <f>_xlfn.CONCAT(R240,"…",TEXT(P240,"+00;-00;+00;"),"...",TEXT(Q240,"+00;-00;+00;"))</f>
        <v>DWDLL…-01...+09</v>
      </c>
    </row>
    <row r="241" spans="1:32" x14ac:dyDescent="0.25">
      <c r="A241" s="12" t="s">
        <v>596</v>
      </c>
      <c r="B241" s="13" t="s">
        <v>117</v>
      </c>
      <c r="C241" s="14" t="s">
        <v>33</v>
      </c>
      <c r="D241" s="13" t="s">
        <v>671</v>
      </c>
      <c r="E241" s="13" t="s">
        <v>672</v>
      </c>
      <c r="F241" s="13" t="s">
        <v>29</v>
      </c>
      <c r="G241" s="13" t="s">
        <v>31</v>
      </c>
      <c r="H241" s="13" t="s">
        <v>30</v>
      </c>
      <c r="I241" s="13" t="s">
        <v>30</v>
      </c>
      <c r="J241" s="13" t="s">
        <v>30</v>
      </c>
      <c r="K241" s="13" t="s">
        <v>29</v>
      </c>
      <c r="L241" s="13" t="s">
        <v>31</v>
      </c>
      <c r="M241" s="13" t="s">
        <v>29</v>
      </c>
      <c r="N241" s="13" t="s">
        <v>30</v>
      </c>
      <c r="O241" s="13" t="s">
        <v>30</v>
      </c>
      <c r="P241" s="16">
        <v>1</v>
      </c>
      <c r="Q241" s="16">
        <v>-3</v>
      </c>
      <c r="R241" s="13" t="str">
        <f>_xlfn.CONCAT(F241,G241,H241,I241,J241)</f>
        <v>DLWWW</v>
      </c>
      <c r="S241" s="13" t="str">
        <f>_xlfn.CONCAT(K241,L241,M241,N241,O241)</f>
        <v>DLDWW</v>
      </c>
      <c r="T241" s="13" t="str">
        <f>_xlfn.CONCAT(R241,"***",S241)</f>
        <v>DLWWW***DLDWW</v>
      </c>
      <c r="U241" s="19">
        <f>(P241-Q241)</f>
        <v>4</v>
      </c>
      <c r="V241" s="14">
        <v>2</v>
      </c>
      <c r="W241" s="14">
        <v>1</v>
      </c>
      <c r="X241" s="20" t="str">
        <f>IF(ISBLANK(V241),"",IF(V241&gt;W241,"1",IF(V241&lt;W241,"2",IF(V241=W241,"X"))))</f>
        <v>1</v>
      </c>
      <c r="Y241" s="23" t="str">
        <f>COUNTIF(F241:J241, "W")&amp;COUNTIF(F241:J241, "d")&amp;COUNTIF(F241:J241, "l")</f>
        <v>311</v>
      </c>
      <c r="Z241" s="13" t="str">
        <f>COUNTIF(K241:O241, "W")&amp;COUNTIF(K241:O241, "d")&amp;COUNTIF(K241:O241, "l")</f>
        <v>221</v>
      </c>
      <c r="AA241" s="23" t="str">
        <f>_xlfn.CONCAT(Y241,"-",Z241)</f>
        <v>311-221</v>
      </c>
      <c r="AB241" s="13" t="str">
        <f>_xlfn.CONCAT(AA241,"…",TEXT(U241,"+00;-00;+00;"))</f>
        <v>311-221…+04</v>
      </c>
      <c r="AC241" s="23" t="str">
        <f>_xlfn.CONCAT(TEXT(P241,"+00;-00;+00;"),"…",TEXT(Q241,"+00;-00;+00;"))</f>
        <v>+01…-03</v>
      </c>
      <c r="AD241" s="14" t="str">
        <f>IF(X241="","?","")</f>
        <v/>
      </c>
      <c r="AE241" s="15" t="str">
        <f>_xlfn.CONCAT(AA241,"…",TEXT(P241,"+00;-00;+00;"),"...",TEXT(Q241,"+00;-00;+00;"))</f>
        <v>311-221…+01...-03</v>
      </c>
      <c r="AF241" s="13" t="str">
        <f>_xlfn.CONCAT(R241,"…",TEXT(P241,"+00;-00;+00;"),"...",TEXT(Q241,"+00;-00;+00;"))</f>
        <v>DLWWW…+01...-03</v>
      </c>
    </row>
    <row r="242" spans="1:32" x14ac:dyDescent="0.25">
      <c r="A242" s="12" t="s">
        <v>596</v>
      </c>
      <c r="B242" s="13" t="s">
        <v>117</v>
      </c>
      <c r="C242" s="14" t="s">
        <v>33</v>
      </c>
      <c r="D242" s="13" t="s">
        <v>674</v>
      </c>
      <c r="E242" s="13" t="s">
        <v>675</v>
      </c>
      <c r="F242" s="13" t="s">
        <v>30</v>
      </c>
      <c r="G242" s="13" t="s">
        <v>30</v>
      </c>
      <c r="H242" s="13" t="s">
        <v>30</v>
      </c>
      <c r="I242" s="13" t="s">
        <v>30</v>
      </c>
      <c r="J242" s="13" t="s">
        <v>31</v>
      </c>
      <c r="K242" s="13" t="s">
        <v>29</v>
      </c>
      <c r="L242" s="13" t="s">
        <v>31</v>
      </c>
      <c r="M242" s="13" t="s">
        <v>31</v>
      </c>
      <c r="N242" s="13" t="s">
        <v>31</v>
      </c>
      <c r="O242" s="13" t="s">
        <v>30</v>
      </c>
      <c r="P242" s="16">
        <v>11</v>
      </c>
      <c r="Q242" s="16">
        <v>-4</v>
      </c>
      <c r="R242" s="13" t="str">
        <f>_xlfn.CONCAT(F242,G242,H242,I242,J242)</f>
        <v>WWWWL</v>
      </c>
      <c r="S242" s="13" t="str">
        <f>_xlfn.CONCAT(K242,L242,M242,N242,O242)</f>
        <v>DLLLW</v>
      </c>
      <c r="T242" s="13" t="str">
        <f>_xlfn.CONCAT(R242,"***",S242)</f>
        <v>WWWWL***DLLLW</v>
      </c>
      <c r="U242" s="19">
        <f>(P242-Q242)</f>
        <v>15</v>
      </c>
      <c r="V242" s="14">
        <v>3</v>
      </c>
      <c r="W242" s="14">
        <v>1</v>
      </c>
      <c r="X242" s="20" t="str">
        <f>IF(ISBLANK(V242),"",IF(V242&gt;W242,"1",IF(V242&lt;W242,"2",IF(V242=W242,"X"))))</f>
        <v>1</v>
      </c>
      <c r="Y242" s="23" t="str">
        <f>COUNTIF(F242:J242, "W")&amp;COUNTIF(F242:J242, "d")&amp;COUNTIF(F242:J242, "l")</f>
        <v>401</v>
      </c>
      <c r="Z242" s="13" t="str">
        <f>COUNTIF(K242:O242, "W")&amp;COUNTIF(K242:O242, "d")&amp;COUNTIF(K242:O242, "l")</f>
        <v>113</v>
      </c>
      <c r="AA242" s="23" t="str">
        <f>_xlfn.CONCAT(Y242,"-",Z242)</f>
        <v>401-113</v>
      </c>
      <c r="AB242" s="13" t="str">
        <f>_xlfn.CONCAT(AA242,"…",TEXT(U242,"+00;-00;+00;"))</f>
        <v>401-113…+15</v>
      </c>
      <c r="AC242" s="23" t="str">
        <f>_xlfn.CONCAT(TEXT(P242,"+00;-00;+00;"),"…",TEXT(Q242,"+00;-00;+00;"))</f>
        <v>+11…-04</v>
      </c>
      <c r="AD242" s="14" t="str">
        <f>IF(X242="","?","")</f>
        <v/>
      </c>
      <c r="AE242" s="15" t="str">
        <f>_xlfn.CONCAT(AA242,"…",TEXT(P242,"+00;-00;+00;"),"...",TEXT(Q242,"+00;-00;+00;"))</f>
        <v>401-113…+11...-04</v>
      </c>
      <c r="AF242" s="13" t="str">
        <f>_xlfn.CONCAT(R242,"…",TEXT(P242,"+00;-00;+00;"),"...",TEXT(Q242,"+00;-00;+00;"))</f>
        <v>WWWWL…+11...-04</v>
      </c>
    </row>
    <row r="243" spans="1:32" s="8" customFormat="1" x14ac:dyDescent="0.25">
      <c r="A243" s="12" t="s">
        <v>596</v>
      </c>
      <c r="B243" s="13" t="s">
        <v>59</v>
      </c>
      <c r="C243" s="14">
        <v>1</v>
      </c>
      <c r="D243" s="13" t="s">
        <v>723</v>
      </c>
      <c r="E243" s="13" t="s">
        <v>724</v>
      </c>
      <c r="F243" s="13" t="s">
        <v>29</v>
      </c>
      <c r="G243" s="13" t="s">
        <v>30</v>
      </c>
      <c r="H243" s="13" t="s">
        <v>30</v>
      </c>
      <c r="I243" s="13" t="s">
        <v>30</v>
      </c>
      <c r="J243" s="13" t="s">
        <v>30</v>
      </c>
      <c r="K243" s="13" t="s">
        <v>29</v>
      </c>
      <c r="L243" s="13" t="s">
        <v>31</v>
      </c>
      <c r="M243" s="13" t="s">
        <v>30</v>
      </c>
      <c r="N243" s="13" t="s">
        <v>29</v>
      </c>
      <c r="O243" s="13" t="s">
        <v>30</v>
      </c>
      <c r="P243" s="16">
        <v>15</v>
      </c>
      <c r="Q243" s="16">
        <v>-2</v>
      </c>
      <c r="R243" s="13" t="str">
        <f>_xlfn.CONCAT(F243,G243,H243,I243,J243)</f>
        <v>DWWWW</v>
      </c>
      <c r="S243" s="13" t="str">
        <f>_xlfn.CONCAT(K243,L243,M243,N243,O243)</f>
        <v>DLWDW</v>
      </c>
      <c r="T243" s="13" t="str">
        <f>_xlfn.CONCAT(R243,"***",S243)</f>
        <v>DWWWW***DLWDW</v>
      </c>
      <c r="U243" s="21">
        <f>(P243-Q243)</f>
        <v>17</v>
      </c>
      <c r="V243" s="14">
        <v>2</v>
      </c>
      <c r="W243" s="14">
        <v>1</v>
      </c>
      <c r="X243" s="20" t="str">
        <f>IF(ISBLANK(V243),"",IF(V243&gt;W243,"1",IF(V243&lt;W243,"2",IF(V243=W243,"X"))))</f>
        <v>1</v>
      </c>
      <c r="Y243" s="23" t="str">
        <f>COUNTIF(F243:J243, "W")&amp;COUNTIF(F243:J243, "d")&amp;COUNTIF(F243:J243, "l")</f>
        <v>410</v>
      </c>
      <c r="Z243" s="13" t="str">
        <f>COUNTIF(K243:O243, "W")&amp;COUNTIF(K243:O243, "d")&amp;COUNTIF(K243:O243, "l")</f>
        <v>221</v>
      </c>
      <c r="AA243" s="23" t="str">
        <f>_xlfn.CONCAT(Y243,"-",Z243)</f>
        <v>410-221</v>
      </c>
      <c r="AB243" s="13" t="str">
        <f>_xlfn.CONCAT(AA243,"…",TEXT(U243,"+00;-00;+00;"))</f>
        <v>410-221…+17</v>
      </c>
      <c r="AC243" s="23" t="str">
        <f>_xlfn.CONCAT(TEXT(P243,"+00;-00;+00;"),"…",TEXT(Q243,"+00;-00;+00;"))</f>
        <v>+15…-02</v>
      </c>
      <c r="AD243" s="14" t="str">
        <f>IF(X243="","?","")</f>
        <v/>
      </c>
      <c r="AE243" s="15" t="str">
        <f>_xlfn.CONCAT(AA243,"…",TEXT(P243,"+00;-00;+00;"),"...",TEXT(Q243,"+00;-00;+00;"))</f>
        <v>410-221…+15...-02</v>
      </c>
      <c r="AF243" s="13" t="str">
        <f>_xlfn.CONCAT(R243,"…",TEXT(P243,"+00;-00;+00;"),"...",TEXT(Q243,"+00;-00;+00;"))</f>
        <v>DWWWW…+15...-02</v>
      </c>
    </row>
    <row r="244" spans="1:32" x14ac:dyDescent="0.25">
      <c r="A244" s="12" t="s">
        <v>624</v>
      </c>
      <c r="B244" s="13" t="s">
        <v>117</v>
      </c>
      <c r="C244" s="14" t="s">
        <v>0</v>
      </c>
      <c r="D244" s="13" t="s">
        <v>631</v>
      </c>
      <c r="E244" s="13" t="s">
        <v>632</v>
      </c>
      <c r="F244" s="15" t="s">
        <v>31</v>
      </c>
      <c r="G244" s="15" t="s">
        <v>30</v>
      </c>
      <c r="H244" s="15" t="s">
        <v>31</v>
      </c>
      <c r="I244" s="15" t="s">
        <v>30</v>
      </c>
      <c r="J244" s="15" t="s">
        <v>31</v>
      </c>
      <c r="K244" s="15" t="s">
        <v>31</v>
      </c>
      <c r="L244" s="15" t="s">
        <v>30</v>
      </c>
      <c r="M244" s="15" t="s">
        <v>31</v>
      </c>
      <c r="N244" s="15" t="s">
        <v>31</v>
      </c>
      <c r="O244" s="15" t="s">
        <v>30</v>
      </c>
      <c r="P244" s="16">
        <v>-4</v>
      </c>
      <c r="Q244" s="16">
        <v>-17</v>
      </c>
      <c r="R244" s="13" t="str">
        <f>_xlfn.CONCAT(F244,G244,H244,I244,J244)</f>
        <v>LWLWL</v>
      </c>
      <c r="S244" s="13" t="str">
        <f>_xlfn.CONCAT(K244,L244,M244,N244,O244)</f>
        <v>LWLLW</v>
      </c>
      <c r="T244" s="13" t="str">
        <f>_xlfn.CONCAT(R244,"***",S244)</f>
        <v>LWLWL***LWLLW</v>
      </c>
      <c r="U244" s="19">
        <f>(P244-Q244)</f>
        <v>13</v>
      </c>
      <c r="V244" s="14">
        <v>1</v>
      </c>
      <c r="W244" s="14">
        <v>1</v>
      </c>
      <c r="X244" s="20" t="str">
        <f>IF(ISBLANK(V244),"",IF(V244&gt;W244,"1",IF(V244&lt;W244,"2",IF(V244=W244,"X"))))</f>
        <v>X</v>
      </c>
      <c r="Y244" s="23" t="str">
        <f>COUNTIF(F244:J244, "W")&amp;COUNTIF(F244:J244, "d")&amp;COUNTIF(F244:J244, "l")</f>
        <v>203</v>
      </c>
      <c r="Z244" s="13" t="str">
        <f>COUNTIF(K244:O244, "W")&amp;COUNTIF(K244:O244, "d")&amp;COUNTIF(K244:O244, "l")</f>
        <v>203</v>
      </c>
      <c r="AA244" s="23" t="str">
        <f>_xlfn.CONCAT(Y244,"-",Z244)</f>
        <v>203-203</v>
      </c>
      <c r="AB244" s="15" t="str">
        <f>_xlfn.CONCAT(AA244,"…",TEXT(U244,"+00;-00;+00;"))</f>
        <v>203-203…+13</v>
      </c>
      <c r="AC244" s="23" t="str">
        <f>_xlfn.CONCAT(TEXT(P244,"+00;-00;+00;"),"…",TEXT(Q244,"+00;-00;+00;"))</f>
        <v>-04…-17</v>
      </c>
      <c r="AD244" s="14" t="str">
        <f>IF(X244="","?","")</f>
        <v/>
      </c>
      <c r="AE244" s="15" t="str">
        <f>_xlfn.CONCAT(AA244,"…",TEXT(P244,"+00;-00;+00;"),"...",TEXT(Q244,"+00;-00;+00;"))</f>
        <v>203-203…-04...-17</v>
      </c>
      <c r="AF244" s="13" t="str">
        <f>_xlfn.CONCAT(R244,"…",TEXT(P244,"+00;-00;+00;"),"...",TEXT(Q244,"+00;-00;+00;"))</f>
        <v>LWLWL…-04...-17</v>
      </c>
    </row>
    <row r="245" spans="1:32" x14ac:dyDescent="0.25">
      <c r="A245" s="12" t="s">
        <v>624</v>
      </c>
      <c r="B245" s="13" t="s">
        <v>167</v>
      </c>
      <c r="C245" s="14">
        <v>2</v>
      </c>
      <c r="D245" s="13" t="s">
        <v>704</v>
      </c>
      <c r="E245" s="13" t="s">
        <v>705</v>
      </c>
      <c r="F245" s="13" t="s">
        <v>30</v>
      </c>
      <c r="G245" s="13" t="s">
        <v>30</v>
      </c>
      <c r="H245" s="13" t="s">
        <v>31</v>
      </c>
      <c r="I245" s="13" t="s">
        <v>29</v>
      </c>
      <c r="J245" s="13" t="s">
        <v>31</v>
      </c>
      <c r="K245" s="13" t="s">
        <v>31</v>
      </c>
      <c r="L245" s="13" t="s">
        <v>31</v>
      </c>
      <c r="M245" s="13" t="s">
        <v>30</v>
      </c>
      <c r="N245" s="13" t="s">
        <v>29</v>
      </c>
      <c r="O245" s="13" t="s">
        <v>29</v>
      </c>
      <c r="P245" s="16">
        <v>-5</v>
      </c>
      <c r="Q245" s="16">
        <v>-3</v>
      </c>
      <c r="R245" s="13" t="str">
        <f>_xlfn.CONCAT(F245,G245,H245,I245,J245)</f>
        <v>WWLDL</v>
      </c>
      <c r="S245" s="13" t="str">
        <f>_xlfn.CONCAT(K245,L245,M245,N245,O245)</f>
        <v>LLWDD</v>
      </c>
      <c r="T245" s="13" t="str">
        <f>_xlfn.CONCAT(R245,"***",S245)</f>
        <v>WWLDL***LLWDD</v>
      </c>
      <c r="U245" s="21">
        <f>(P245-Q245)</f>
        <v>-2</v>
      </c>
      <c r="V245" s="14">
        <v>0</v>
      </c>
      <c r="W245" s="14">
        <v>1</v>
      </c>
      <c r="X245" s="20" t="str">
        <f>IF(ISBLANK(V245),"",IF(V245&gt;W245,"1",IF(V245&lt;W245,"2",IF(V245=W245,"X"))))</f>
        <v>2</v>
      </c>
      <c r="Y245" s="23" t="str">
        <f>COUNTIF(F245:J245, "W")&amp;COUNTIF(F245:J245, "d")&amp;COUNTIF(F245:J245, "l")</f>
        <v>212</v>
      </c>
      <c r="Z245" s="13" t="str">
        <f>COUNTIF(K245:O245, "W")&amp;COUNTIF(K245:O245, "d")&amp;COUNTIF(K245:O245, "l")</f>
        <v>122</v>
      </c>
      <c r="AA245" s="23" t="str">
        <f>_xlfn.CONCAT(Y245,"-",Z245)</f>
        <v>212-122</v>
      </c>
      <c r="AB245" s="13" t="str">
        <f>_xlfn.CONCAT(AA245,"…",TEXT(U245,"+00;-00;+00;"))</f>
        <v>212-122…-02</v>
      </c>
      <c r="AC245" s="23" t="str">
        <f>_xlfn.CONCAT(TEXT(P245,"+00;-00;+00;"),"…",TEXT(Q245,"+00;-00;+00;"))</f>
        <v>-05…-03</v>
      </c>
      <c r="AD245" s="14" t="str">
        <f>IF(X245="","?","")</f>
        <v/>
      </c>
      <c r="AE245" s="15" t="str">
        <f>_xlfn.CONCAT(AA245,"…",TEXT(P245,"+00;-00;+00;"),"...",TEXT(Q245,"+00;-00;+00;"))</f>
        <v>212-122…-05...-03</v>
      </c>
      <c r="AF245" s="13" t="str">
        <f>_xlfn.CONCAT(R245,"…",TEXT(P245,"+00;-00;+00;"),"...",TEXT(Q245,"+00;-00;+00;"))</f>
        <v>WWLDL…-05...-03</v>
      </c>
    </row>
    <row r="246" spans="1:32" x14ac:dyDescent="0.25">
      <c r="A246" s="13" t="s">
        <v>624</v>
      </c>
      <c r="B246" s="13" t="s">
        <v>250</v>
      </c>
      <c r="C246" s="14">
        <v>2</v>
      </c>
      <c r="D246" s="13" t="s">
        <v>857</v>
      </c>
      <c r="E246" s="13" t="s">
        <v>858</v>
      </c>
      <c r="F246" s="13" t="s">
        <v>30</v>
      </c>
      <c r="G246" s="13" t="s">
        <v>30</v>
      </c>
      <c r="H246" s="13" t="s">
        <v>29</v>
      </c>
      <c r="I246" s="13" t="s">
        <v>29</v>
      </c>
      <c r="J246" s="13" t="s">
        <v>30</v>
      </c>
      <c r="K246" s="13" t="s">
        <v>31</v>
      </c>
      <c r="L246" s="13" t="s">
        <v>29</v>
      </c>
      <c r="M246" s="13" t="s">
        <v>30</v>
      </c>
      <c r="N246" s="13" t="s">
        <v>30</v>
      </c>
      <c r="O246" s="13" t="s">
        <v>30</v>
      </c>
      <c r="P246" s="16">
        <v>11</v>
      </c>
      <c r="Q246" s="16">
        <v>1</v>
      </c>
      <c r="R246" s="13" t="str">
        <f>_xlfn.CONCAT(F246,G246,H246,I246,J246)</f>
        <v>WWDDW</v>
      </c>
      <c r="S246" s="13" t="str">
        <f>_xlfn.CONCAT(K246,L246,M246,N246,O246)</f>
        <v>LDWWW</v>
      </c>
      <c r="T246" s="13" t="str">
        <f>_xlfn.CONCAT(R246,"***",S246)</f>
        <v>WWDDW***LDWWW</v>
      </c>
      <c r="U246" s="21">
        <f>(P246-Q246)</f>
        <v>10</v>
      </c>
      <c r="V246" s="14">
        <v>2</v>
      </c>
      <c r="W246" s="14">
        <v>1</v>
      </c>
      <c r="X246" s="20" t="str">
        <f>IF(ISBLANK(V246),"",IF(V246&gt;W246,"1",IF(V246&lt;W246,"2",IF(V246=W246,"X"))))</f>
        <v>1</v>
      </c>
      <c r="Y246" s="23" t="str">
        <f>COUNTIF(F246:J246, "W")&amp;COUNTIF(F246:J246, "d")&amp;COUNTIF(F246:J246, "l")</f>
        <v>320</v>
      </c>
      <c r="Z246" s="13" t="str">
        <f>COUNTIF(K246:O246, "W")&amp;COUNTIF(K246:O246, "d")&amp;COUNTIF(K246:O246, "l")</f>
        <v>311</v>
      </c>
      <c r="AA246" s="23" t="str">
        <f>_xlfn.CONCAT(Y246,"-",Z246)</f>
        <v>320-311</v>
      </c>
      <c r="AB246" s="13" t="str">
        <f>_xlfn.CONCAT(AA246,"…",TEXT(U246,"+00;-00;+00;"))</f>
        <v>320-311…+10</v>
      </c>
      <c r="AC246" s="23" t="str">
        <f>_xlfn.CONCAT(TEXT(P246,"+00;-00;+00;"),"…",TEXT(Q246,"+00;-00;+00;"))</f>
        <v>+11…+01</v>
      </c>
      <c r="AD246" s="14" t="str">
        <f>IF(X246="","?","")</f>
        <v/>
      </c>
      <c r="AE246" s="15" t="str">
        <f>_xlfn.CONCAT(AA246,"…",TEXT(P246,"+00;-00;+00;"),"...",TEXT(Q246,"+00;-00;+00;"))</f>
        <v>320-311…+11...+01</v>
      </c>
      <c r="AF246" s="13" t="str">
        <f>_xlfn.CONCAT(R246,"…",TEXT(P246,"+00;-00;+00;"),"...",TEXT(Q246,"+00;-00;+00;"))</f>
        <v>WWDDW…+11...+01</v>
      </c>
    </row>
    <row r="247" spans="1:32" x14ac:dyDescent="0.25">
      <c r="A247" s="12" t="s">
        <v>560</v>
      </c>
      <c r="B247" s="13" t="s">
        <v>208</v>
      </c>
      <c r="C247" s="14">
        <v>1</v>
      </c>
      <c r="D247" s="13" t="s">
        <v>568</v>
      </c>
      <c r="E247" s="13" t="s">
        <v>569</v>
      </c>
      <c r="F247" s="15" t="s">
        <v>29</v>
      </c>
      <c r="G247" s="15" t="s">
        <v>29</v>
      </c>
      <c r="H247" s="15" t="s">
        <v>30</v>
      </c>
      <c r="I247" s="15" t="s">
        <v>29</v>
      </c>
      <c r="J247" s="15" t="s">
        <v>31</v>
      </c>
      <c r="K247" s="15" t="s">
        <v>30</v>
      </c>
      <c r="L247" s="15" t="s">
        <v>31</v>
      </c>
      <c r="M247" s="15" t="s">
        <v>29</v>
      </c>
      <c r="N247" s="15" t="s">
        <v>31</v>
      </c>
      <c r="O247" s="15" t="s">
        <v>31</v>
      </c>
      <c r="P247" s="16">
        <v>-14</v>
      </c>
      <c r="Q247" s="16">
        <v>-4</v>
      </c>
      <c r="R247" s="13" t="str">
        <f>_xlfn.CONCAT(F247,G247,H247,I247,J247)</f>
        <v>DDWDL</v>
      </c>
      <c r="S247" s="13" t="str">
        <f>_xlfn.CONCAT(K247,L247,M247,N247,O247)</f>
        <v>WLDLL</v>
      </c>
      <c r="T247" s="13" t="str">
        <f>_xlfn.CONCAT(R247,"***",S247)</f>
        <v>DDWDL***WLDLL</v>
      </c>
      <c r="U247" s="19">
        <f>(P247-Q247)</f>
        <v>-10</v>
      </c>
      <c r="V247" s="14">
        <v>3</v>
      </c>
      <c r="W247" s="14">
        <v>1</v>
      </c>
      <c r="X247" s="20" t="str">
        <f>IF(ISBLANK(V247),"",IF(V247&gt;W247,"1",IF(V247&lt;W247,"2",IF(V247=W247,"X"))))</f>
        <v>1</v>
      </c>
      <c r="Y247" s="23" t="str">
        <f>COUNTIF(F247:J247, "W")&amp;COUNTIF(F247:J247, "d")&amp;COUNTIF(F247:J247, "l")</f>
        <v>131</v>
      </c>
      <c r="Z247" s="13" t="str">
        <f>COUNTIF(K247:O247, "W")&amp;COUNTIF(K247:O247, "d")&amp;COUNTIF(K247:O247, "l")</f>
        <v>113</v>
      </c>
      <c r="AA247" s="23" t="str">
        <f>_xlfn.CONCAT(Y247,"-",Z247)</f>
        <v>131-113</v>
      </c>
      <c r="AB247" s="15" t="str">
        <f>_xlfn.CONCAT(AA247,"…",TEXT(U247,"+00;-00;+00;"))</f>
        <v>131-113…-10</v>
      </c>
      <c r="AC247" s="23" t="str">
        <f>_xlfn.CONCAT(TEXT(P247,"+00;-00;+00;"),"…",TEXT(Q247,"+00;-00;+00;"))</f>
        <v>-14…-04</v>
      </c>
      <c r="AD247" s="14" t="str">
        <f>IF(X247="","?","")</f>
        <v/>
      </c>
      <c r="AE247" s="15" t="str">
        <f>_xlfn.CONCAT(AA247,"…",TEXT(P247,"+00;-00;+00;"),"...",TEXT(Q247,"+00;-00;+00;"))</f>
        <v>131-113…-14...-04</v>
      </c>
      <c r="AF247" s="13" t="str">
        <f>_xlfn.CONCAT(R247,"…",TEXT(P247,"+00;-00;+00;"),"...",TEXT(Q247,"+00;-00;+00;"))</f>
        <v>DDWDL…-14...-04</v>
      </c>
    </row>
    <row r="248" spans="1:32" x14ac:dyDescent="0.25">
      <c r="A248" s="12" t="s">
        <v>560</v>
      </c>
      <c r="B248" s="13" t="s">
        <v>208</v>
      </c>
      <c r="C248" s="14">
        <v>1</v>
      </c>
      <c r="D248" s="13" t="s">
        <v>566</v>
      </c>
      <c r="E248" s="13" t="s">
        <v>567</v>
      </c>
      <c r="F248" s="15" t="s">
        <v>31</v>
      </c>
      <c r="G248" s="15" t="s">
        <v>30</v>
      </c>
      <c r="H248" s="15" t="s">
        <v>29</v>
      </c>
      <c r="I248" s="15" t="s">
        <v>30</v>
      </c>
      <c r="J248" s="15" t="s">
        <v>31</v>
      </c>
      <c r="K248" s="15" t="s">
        <v>29</v>
      </c>
      <c r="L248" s="15" t="s">
        <v>31</v>
      </c>
      <c r="M248" s="15" t="s">
        <v>30</v>
      </c>
      <c r="N248" s="15" t="s">
        <v>31</v>
      </c>
      <c r="O248" s="15" t="s">
        <v>31</v>
      </c>
      <c r="P248" s="16">
        <v>-2</v>
      </c>
      <c r="Q248" s="16">
        <v>3</v>
      </c>
      <c r="R248" s="13" t="str">
        <f>_xlfn.CONCAT(F248,G248,H248,I248,J248)</f>
        <v>LWDWL</v>
      </c>
      <c r="S248" s="13" t="str">
        <f>_xlfn.CONCAT(K248,L248,M248,N248,O248)</f>
        <v>DLWLL</v>
      </c>
      <c r="T248" s="13" t="str">
        <f>_xlfn.CONCAT(R248,"***",S248)</f>
        <v>LWDWL***DLWLL</v>
      </c>
      <c r="U248" s="19">
        <f>(P248-Q248)</f>
        <v>-5</v>
      </c>
      <c r="V248" s="14">
        <v>2</v>
      </c>
      <c r="W248" s="14">
        <v>1</v>
      </c>
      <c r="X248" s="20" t="str">
        <f>IF(ISBLANK(V248),"",IF(V248&gt;W248,"1",IF(V248&lt;W248,"2",IF(V248=W248,"X"))))</f>
        <v>1</v>
      </c>
      <c r="Y248" s="23" t="str">
        <f>COUNTIF(F248:J248, "W")&amp;COUNTIF(F248:J248, "d")&amp;COUNTIF(F248:J248, "l")</f>
        <v>212</v>
      </c>
      <c r="Z248" s="13" t="str">
        <f>COUNTIF(K248:O248, "W")&amp;COUNTIF(K248:O248, "d")&amp;COUNTIF(K248:O248, "l")</f>
        <v>113</v>
      </c>
      <c r="AA248" s="23" t="str">
        <f>_xlfn.CONCAT(Y248,"-",Z248)</f>
        <v>212-113</v>
      </c>
      <c r="AB248" s="15" t="str">
        <f>_xlfn.CONCAT(AA248,"…",TEXT(U248,"+00;-00;+00;"))</f>
        <v>212-113…-05</v>
      </c>
      <c r="AC248" s="23" t="str">
        <f>_xlfn.CONCAT(TEXT(P248,"+00;-00;+00;"),"…",TEXT(Q248,"+00;-00;+00;"))</f>
        <v>-02…+03</v>
      </c>
      <c r="AD248" s="14" t="str">
        <f>IF(X248="","?","")</f>
        <v/>
      </c>
      <c r="AE248" s="15" t="str">
        <f>_xlfn.CONCAT(AA248,"…",TEXT(P248,"+00;-00;+00;"),"...",TEXT(Q248,"+00;-00;+00;"))</f>
        <v>212-113…-02...+03</v>
      </c>
      <c r="AF248" s="13" t="str">
        <f>_xlfn.CONCAT(R248,"…",TEXT(P248,"+00;-00;+00;"),"...",TEXT(Q248,"+00;-00;+00;"))</f>
        <v>LWDWL…-02...+03</v>
      </c>
    </row>
    <row r="249" spans="1:32" x14ac:dyDescent="0.25">
      <c r="A249" s="12" t="s">
        <v>560</v>
      </c>
      <c r="B249" s="13" t="s">
        <v>208</v>
      </c>
      <c r="C249" s="14">
        <v>1</v>
      </c>
      <c r="D249" s="13" t="s">
        <v>570</v>
      </c>
      <c r="E249" s="13" t="s">
        <v>571</v>
      </c>
      <c r="F249" s="15" t="s">
        <v>31</v>
      </c>
      <c r="G249" s="15" t="s">
        <v>30</v>
      </c>
      <c r="H249" s="15" t="s">
        <v>31</v>
      </c>
      <c r="I249" s="15" t="s">
        <v>30</v>
      </c>
      <c r="J249" s="15" t="s">
        <v>30</v>
      </c>
      <c r="K249" s="15" t="s">
        <v>29</v>
      </c>
      <c r="L249" s="15" t="s">
        <v>31</v>
      </c>
      <c r="M249" s="15" t="s">
        <v>30</v>
      </c>
      <c r="N249" s="15" t="s">
        <v>31</v>
      </c>
      <c r="O249" s="15" t="s">
        <v>31</v>
      </c>
      <c r="P249" s="16">
        <v>17</v>
      </c>
      <c r="Q249" s="16">
        <v>-9</v>
      </c>
      <c r="R249" s="13" t="str">
        <f>_xlfn.CONCAT(F249,G249,H249,I249,J249)</f>
        <v>LWLWW</v>
      </c>
      <c r="S249" s="13" t="str">
        <f>_xlfn.CONCAT(K249,L249,M249,N249,O249)</f>
        <v>DLWLL</v>
      </c>
      <c r="T249" s="13" t="str">
        <f>_xlfn.CONCAT(R249,"***",S249)</f>
        <v>LWLWW***DLWLL</v>
      </c>
      <c r="U249" s="19">
        <f>(P249-Q249)</f>
        <v>26</v>
      </c>
      <c r="V249" s="14">
        <v>2</v>
      </c>
      <c r="W249" s="14">
        <v>1</v>
      </c>
      <c r="X249" s="20" t="str">
        <f>IF(ISBLANK(V249),"",IF(V249&gt;W249,"1",IF(V249&lt;W249,"2",IF(V249=W249,"X"))))</f>
        <v>1</v>
      </c>
      <c r="Y249" s="23" t="str">
        <f>COUNTIF(F249:J249, "W")&amp;COUNTIF(F249:J249, "d")&amp;COUNTIF(F249:J249, "l")</f>
        <v>302</v>
      </c>
      <c r="Z249" s="13" t="str">
        <f>COUNTIF(K249:O249, "W")&amp;COUNTIF(K249:O249, "d")&amp;COUNTIF(K249:O249, "l")</f>
        <v>113</v>
      </c>
      <c r="AA249" s="23" t="str">
        <f>_xlfn.CONCAT(Y249,"-",Z249)</f>
        <v>302-113</v>
      </c>
      <c r="AB249" s="15" t="str">
        <f>_xlfn.CONCAT(AA249,"…",TEXT(U249,"+00;-00;+00;"))</f>
        <v>302-113…+26</v>
      </c>
      <c r="AC249" s="23" t="str">
        <f>_xlfn.CONCAT(TEXT(P249,"+00;-00;+00;"),"…",TEXT(Q249,"+00;-00;+00;"))</f>
        <v>+17…-09</v>
      </c>
      <c r="AD249" s="14" t="str">
        <f>IF(X249="","?","")</f>
        <v/>
      </c>
      <c r="AE249" s="15" t="str">
        <f>_xlfn.CONCAT(AA249,"…",TEXT(P249,"+00;-00;+00;"),"...",TEXT(Q249,"+00;-00;+00;"))</f>
        <v>302-113…+17...-09</v>
      </c>
      <c r="AF249" s="13" t="str">
        <f>_xlfn.CONCAT(R249,"…",TEXT(P249,"+00;-00;+00;"),"...",TEXT(Q249,"+00;-00;+00;"))</f>
        <v>LWLWW…+17...-09</v>
      </c>
    </row>
    <row r="250" spans="1:32" x14ac:dyDescent="0.25">
      <c r="A250" s="12" t="s">
        <v>605</v>
      </c>
      <c r="B250" s="13" t="s">
        <v>7</v>
      </c>
      <c r="C250" s="14" t="s">
        <v>8</v>
      </c>
      <c r="D250" s="13" t="s">
        <v>610</v>
      </c>
      <c r="E250" s="13" t="s">
        <v>611</v>
      </c>
      <c r="F250" s="15" t="s">
        <v>31</v>
      </c>
      <c r="G250" s="15" t="s">
        <v>31</v>
      </c>
      <c r="H250" s="15" t="s">
        <v>31</v>
      </c>
      <c r="I250" s="15" t="s">
        <v>31</v>
      </c>
      <c r="J250" s="15" t="s">
        <v>31</v>
      </c>
      <c r="K250" s="15" t="s">
        <v>31</v>
      </c>
      <c r="L250" s="15" t="s">
        <v>29</v>
      </c>
      <c r="M250" s="15" t="s">
        <v>30</v>
      </c>
      <c r="N250" s="15" t="s">
        <v>31</v>
      </c>
      <c r="O250" s="15" t="s">
        <v>31</v>
      </c>
      <c r="P250" s="16">
        <v>-22</v>
      </c>
      <c r="Q250" s="16">
        <v>-23</v>
      </c>
      <c r="R250" s="13" t="str">
        <f>_xlfn.CONCAT(F250,G250,H250,I250,J250)</f>
        <v>LLLLL</v>
      </c>
      <c r="S250" s="13" t="str">
        <f>_xlfn.CONCAT(K250,L250,M250,N250,O250)</f>
        <v>LDWLL</v>
      </c>
      <c r="T250" s="13" t="str">
        <f>_xlfn.CONCAT(R250,"***",S250)</f>
        <v>LLLLL***LDWLL</v>
      </c>
      <c r="U250" s="19">
        <f>(P250-Q250)</f>
        <v>1</v>
      </c>
      <c r="V250" s="14">
        <v>5</v>
      </c>
      <c r="W250" s="14">
        <v>0</v>
      </c>
      <c r="X250" s="20" t="str">
        <f>IF(ISBLANK(V250),"",IF(V250&gt;W250,"1",IF(V250&lt;W250,"2",IF(V250=W250,"X"))))</f>
        <v>1</v>
      </c>
      <c r="Y250" s="23" t="str">
        <f>COUNTIF(F250:J250, "W")&amp;COUNTIF(F250:J250, "d")&amp;COUNTIF(F250:J250, "l")</f>
        <v>005</v>
      </c>
      <c r="Z250" s="13" t="str">
        <f>COUNTIF(K250:O250, "W")&amp;COUNTIF(K250:O250, "d")&amp;COUNTIF(K250:O250, "l")</f>
        <v>113</v>
      </c>
      <c r="AA250" s="23" t="str">
        <f>_xlfn.CONCAT(Y250,"-",Z250)</f>
        <v>005-113</v>
      </c>
      <c r="AB250" s="15" t="str">
        <f>_xlfn.CONCAT(AA250,"…",TEXT(U250,"+00;-00;+00;"))</f>
        <v>005-113…+01</v>
      </c>
      <c r="AC250" s="23" t="str">
        <f>_xlfn.CONCAT(TEXT(P250,"+00;-00;+00;"),"…",TEXT(Q250,"+00;-00;+00;"))</f>
        <v>-22…-23</v>
      </c>
      <c r="AD250" s="14" t="str">
        <f>IF(X250="","?","")</f>
        <v/>
      </c>
      <c r="AE250" s="15" t="str">
        <f>_xlfn.CONCAT(AA250,"…",TEXT(P250,"+00;-00;+00;"),"...",TEXT(Q250,"+00;-00;+00;"))</f>
        <v>005-113…-22...-23</v>
      </c>
      <c r="AF250" s="13" t="str">
        <f>_xlfn.CONCAT(R250,"…",TEXT(P250,"+00;-00;+00;"),"...",TEXT(Q250,"+00;-00;+00;"))</f>
        <v>LLLLL…-22...-23</v>
      </c>
    </row>
    <row r="251" spans="1:32" x14ac:dyDescent="0.25">
      <c r="A251" s="12" t="s">
        <v>605</v>
      </c>
      <c r="B251" s="13" t="s">
        <v>7</v>
      </c>
      <c r="C251" s="14" t="s">
        <v>32</v>
      </c>
      <c r="D251" s="13" t="s">
        <v>501</v>
      </c>
      <c r="E251" s="13" t="s">
        <v>492</v>
      </c>
      <c r="F251" s="13" t="s">
        <v>31</v>
      </c>
      <c r="G251" s="13" t="s">
        <v>30</v>
      </c>
      <c r="H251" s="13" t="s">
        <v>31</v>
      </c>
      <c r="I251" s="13" t="s">
        <v>29</v>
      </c>
      <c r="J251" s="13" t="s">
        <v>31</v>
      </c>
      <c r="K251" s="13" t="s">
        <v>31</v>
      </c>
      <c r="L251" s="13" t="s">
        <v>29</v>
      </c>
      <c r="M251" s="13" t="s">
        <v>31</v>
      </c>
      <c r="N251" s="13" t="s">
        <v>29</v>
      </c>
      <c r="O251" s="13" t="s">
        <v>29</v>
      </c>
      <c r="P251" s="16">
        <v>-4</v>
      </c>
      <c r="Q251" s="16">
        <v>-20</v>
      </c>
      <c r="R251" s="13" t="str">
        <f>_xlfn.CONCAT(F251,G251,H251,I251,J251)</f>
        <v>LWLDL</v>
      </c>
      <c r="S251" s="13" t="str">
        <f>_xlfn.CONCAT(K251,L251,M251,N251,O251)</f>
        <v>LDLDD</v>
      </c>
      <c r="T251" s="13" t="str">
        <f>_xlfn.CONCAT(R251,"***",S251)</f>
        <v>LWLDL***LDLDD</v>
      </c>
      <c r="U251" s="19">
        <f>(P251-Q251)</f>
        <v>16</v>
      </c>
      <c r="V251" s="14">
        <v>0</v>
      </c>
      <c r="W251" s="14">
        <v>0</v>
      </c>
      <c r="X251" s="20" t="str">
        <f>IF(ISBLANK(V251),"",IF(V251&gt;W251,"1",IF(V251&lt;W251,"2",IF(V251=W251,"X"))))</f>
        <v>X</v>
      </c>
      <c r="Y251" s="23" t="str">
        <f>COUNTIF(F251:J251, "W")&amp;COUNTIF(F251:J251, "d")&amp;COUNTIF(F251:J251, "l")</f>
        <v>113</v>
      </c>
      <c r="Z251" s="13" t="str">
        <f>COUNTIF(K251:O251, "W")&amp;COUNTIF(K251:O251, "d")&amp;COUNTIF(K251:O251, "l")</f>
        <v>032</v>
      </c>
      <c r="AA251" s="23" t="str">
        <f>_xlfn.CONCAT(Y251,"-",Z251)</f>
        <v>113-032</v>
      </c>
      <c r="AB251" s="13" t="str">
        <f>_xlfn.CONCAT(AA251,"…",TEXT(U251,"+00;-00;+00;"))</f>
        <v>113-032…+16</v>
      </c>
      <c r="AC251" s="23" t="str">
        <f>_xlfn.CONCAT(TEXT(P251,"+00;-00;+00;"),"…",TEXT(Q251,"+00;-00;+00;"))</f>
        <v>-04…-20</v>
      </c>
      <c r="AD251" s="14" t="str">
        <f>IF(X251="","?","")</f>
        <v/>
      </c>
      <c r="AE251" s="15" t="str">
        <f>_xlfn.CONCAT(AA251,"…",TEXT(P251,"+00;-00;+00;"),"...",TEXT(Q251,"+00;-00;+00;"))</f>
        <v>113-032…-04...-20</v>
      </c>
      <c r="AF251" s="13" t="str">
        <f>_xlfn.CONCAT(R251,"…",TEXT(P251,"+00;-00;+00;"),"...",TEXT(Q251,"+00;-00;+00;"))</f>
        <v>LWLDL…-04...-20</v>
      </c>
    </row>
    <row r="252" spans="1:32" x14ac:dyDescent="0.25">
      <c r="A252" s="12" t="s">
        <v>605</v>
      </c>
      <c r="B252" s="13" t="s">
        <v>7</v>
      </c>
      <c r="C252" s="14" t="s">
        <v>32</v>
      </c>
      <c r="D252" s="13" t="s">
        <v>491</v>
      </c>
      <c r="E252" s="13" t="s">
        <v>53</v>
      </c>
      <c r="F252" s="13" t="s">
        <v>31</v>
      </c>
      <c r="G252" s="13" t="s">
        <v>30</v>
      </c>
      <c r="H252" s="13" t="s">
        <v>31</v>
      </c>
      <c r="I252" s="13" t="s">
        <v>29</v>
      </c>
      <c r="J252" s="13" t="s">
        <v>31</v>
      </c>
      <c r="K252" s="13" t="s">
        <v>31</v>
      </c>
      <c r="L252" s="13" t="s">
        <v>31</v>
      </c>
      <c r="M252" s="13" t="s">
        <v>29</v>
      </c>
      <c r="N252" s="13" t="s">
        <v>29</v>
      </c>
      <c r="O252" s="13" t="s">
        <v>30</v>
      </c>
      <c r="P252" s="16">
        <v>1</v>
      </c>
      <c r="Q252" s="16">
        <v>-7</v>
      </c>
      <c r="R252" s="13" t="str">
        <f>_xlfn.CONCAT(F252,G252,H252,I252,J252)</f>
        <v>LWLDL</v>
      </c>
      <c r="S252" s="13" t="str">
        <f>_xlfn.CONCAT(K252,L252,M252,N252,O252)</f>
        <v>LLDDW</v>
      </c>
      <c r="T252" s="13" t="str">
        <f>_xlfn.CONCAT(R252,"***",S252)</f>
        <v>LWLDL***LLDDW</v>
      </c>
      <c r="U252" s="19">
        <f>(P252-Q252)</f>
        <v>8</v>
      </c>
      <c r="V252" s="14">
        <v>2</v>
      </c>
      <c r="W252" s="14">
        <v>1</v>
      </c>
      <c r="X252" s="20" t="str">
        <f>IF(ISBLANK(V252),"",IF(V252&gt;W252,"1",IF(V252&lt;W252,"2",IF(V252=W252,"X"))))</f>
        <v>1</v>
      </c>
      <c r="Y252" s="23" t="str">
        <f>COUNTIF(F252:J252, "W")&amp;COUNTIF(F252:J252, "d")&amp;COUNTIF(F252:J252, "l")</f>
        <v>113</v>
      </c>
      <c r="Z252" s="13" t="str">
        <f>COUNTIF(K252:O252, "W")&amp;COUNTIF(K252:O252, "d")&amp;COUNTIF(K252:O252, "l")</f>
        <v>122</v>
      </c>
      <c r="AA252" s="23" t="str">
        <f>_xlfn.CONCAT(Y252,"-",Z252)</f>
        <v>113-122</v>
      </c>
      <c r="AB252" s="13" t="str">
        <f>_xlfn.CONCAT(AA252,"…",TEXT(U252,"+00;-00;+00;"))</f>
        <v>113-122…+08</v>
      </c>
      <c r="AC252" s="23" t="str">
        <f>_xlfn.CONCAT(TEXT(P252,"+00;-00;+00;"),"…",TEXT(Q252,"+00;-00;+00;"))</f>
        <v>+01…-07</v>
      </c>
      <c r="AD252" s="14" t="str">
        <f>IF(X252="","?","")</f>
        <v/>
      </c>
      <c r="AE252" s="15" t="str">
        <f>_xlfn.CONCAT(AA252,"…",TEXT(P252,"+00;-00;+00;"),"...",TEXT(Q252,"+00;-00;+00;"))</f>
        <v>113-122…+01...-07</v>
      </c>
      <c r="AF252" s="13" t="str">
        <f>_xlfn.CONCAT(R252,"…",TEXT(P252,"+00;-00;+00;"),"...",TEXT(Q252,"+00;-00;+00;"))</f>
        <v>LWLDL…+01...-07</v>
      </c>
    </row>
    <row r="253" spans="1:32" x14ac:dyDescent="0.25">
      <c r="A253" s="12" t="s">
        <v>605</v>
      </c>
      <c r="B253" s="13" t="s">
        <v>7</v>
      </c>
      <c r="C253" s="14" t="s">
        <v>32</v>
      </c>
      <c r="D253" s="13" t="s">
        <v>507</v>
      </c>
      <c r="E253" s="13" t="s">
        <v>504</v>
      </c>
      <c r="F253" s="13" t="s">
        <v>31</v>
      </c>
      <c r="G253" s="13" t="s">
        <v>31</v>
      </c>
      <c r="H253" s="13" t="s">
        <v>30</v>
      </c>
      <c r="I253" s="13" t="s">
        <v>31</v>
      </c>
      <c r="J253" s="13" t="s">
        <v>29</v>
      </c>
      <c r="K253" s="13" t="s">
        <v>31</v>
      </c>
      <c r="L253" s="13" t="s">
        <v>31</v>
      </c>
      <c r="M253" s="13" t="s">
        <v>30</v>
      </c>
      <c r="N253" s="13" t="s">
        <v>29</v>
      </c>
      <c r="O253" s="13" t="s">
        <v>30</v>
      </c>
      <c r="P253" s="16">
        <v>-5</v>
      </c>
      <c r="Q253" s="16">
        <v>7</v>
      </c>
      <c r="R253" s="13" t="str">
        <f>_xlfn.CONCAT(F253,G253,H253,I253,J253)</f>
        <v>LLWLD</v>
      </c>
      <c r="S253" s="13" t="str">
        <f>_xlfn.CONCAT(K253,L253,M253,N253,O253)</f>
        <v>LLWDW</v>
      </c>
      <c r="T253" s="13" t="str">
        <f>_xlfn.CONCAT(R253,"***",S253)</f>
        <v>LLWLD***LLWDW</v>
      </c>
      <c r="U253" s="19">
        <f>(P253-Q253)</f>
        <v>-12</v>
      </c>
      <c r="V253" s="14">
        <v>1</v>
      </c>
      <c r="W253" s="14">
        <v>1</v>
      </c>
      <c r="X253" s="20" t="str">
        <f>IF(ISBLANK(V253),"",IF(V253&gt;W253,"1",IF(V253&lt;W253,"2",IF(V253=W253,"X"))))</f>
        <v>X</v>
      </c>
      <c r="Y253" s="23" t="str">
        <f>COUNTIF(F253:J253, "W")&amp;COUNTIF(F253:J253, "d")&amp;COUNTIF(F253:J253, "l")</f>
        <v>113</v>
      </c>
      <c r="Z253" s="13" t="str">
        <f>COUNTIF(K253:O253, "W")&amp;COUNTIF(K253:O253, "d")&amp;COUNTIF(K253:O253, "l")</f>
        <v>212</v>
      </c>
      <c r="AA253" s="23" t="str">
        <f>_xlfn.CONCAT(Y253,"-",Z253)</f>
        <v>113-212</v>
      </c>
      <c r="AB253" s="13" t="str">
        <f>_xlfn.CONCAT(AA253,"…",TEXT(U253,"+00;-00;+00;"))</f>
        <v>113-212…-12</v>
      </c>
      <c r="AC253" s="23" t="str">
        <f>_xlfn.CONCAT(TEXT(P253,"+00;-00;+00;"),"…",TEXT(Q253,"+00;-00;+00;"))</f>
        <v>-05…+07</v>
      </c>
      <c r="AD253" s="14" t="str">
        <f>IF(X253="","?","")</f>
        <v/>
      </c>
      <c r="AE253" s="15" t="str">
        <f>_xlfn.CONCAT(AA253,"…",TEXT(P253,"+00;-00;+00;"),"...",TEXT(Q253,"+00;-00;+00;"))</f>
        <v>113-212…-05...+07</v>
      </c>
      <c r="AF253" s="13" t="str">
        <f>_xlfn.CONCAT(R253,"…",TEXT(P253,"+00;-00;+00;"),"...",TEXT(Q253,"+00;-00;+00;"))</f>
        <v>LLWLD…-05...+07</v>
      </c>
    </row>
    <row r="254" spans="1:32" x14ac:dyDescent="0.25">
      <c r="A254" s="12" t="s">
        <v>605</v>
      </c>
      <c r="B254" s="13" t="s">
        <v>7</v>
      </c>
      <c r="C254" s="14" t="s">
        <v>8</v>
      </c>
      <c r="D254" s="13" t="s">
        <v>612</v>
      </c>
      <c r="E254" s="13" t="s">
        <v>613</v>
      </c>
      <c r="F254" s="15" t="s">
        <v>31</v>
      </c>
      <c r="G254" s="15" t="s">
        <v>31</v>
      </c>
      <c r="H254" s="15" t="s">
        <v>30</v>
      </c>
      <c r="I254" s="15" t="s">
        <v>31</v>
      </c>
      <c r="J254" s="15" t="s">
        <v>29</v>
      </c>
      <c r="K254" s="15" t="s">
        <v>31</v>
      </c>
      <c r="L254" s="15" t="s">
        <v>30</v>
      </c>
      <c r="M254" s="15" t="s">
        <v>29</v>
      </c>
      <c r="N254" s="15" t="s">
        <v>30</v>
      </c>
      <c r="O254" s="15" t="s">
        <v>31</v>
      </c>
      <c r="P254" s="16">
        <v>-5</v>
      </c>
      <c r="Q254" s="16">
        <v>-6</v>
      </c>
      <c r="R254" s="13" t="str">
        <f>_xlfn.CONCAT(F254,G254,H254,I254,J254)</f>
        <v>LLWLD</v>
      </c>
      <c r="S254" s="13" t="str">
        <f>_xlfn.CONCAT(K254,L254,M254,N254,O254)</f>
        <v>LWDWL</v>
      </c>
      <c r="T254" s="13" t="str">
        <f>_xlfn.CONCAT(R254,"***",S254)</f>
        <v>LLWLD***LWDWL</v>
      </c>
      <c r="U254" s="19">
        <f>(P254-Q254)</f>
        <v>1</v>
      </c>
      <c r="V254" s="14">
        <v>0</v>
      </c>
      <c r="W254" s="14">
        <v>3</v>
      </c>
      <c r="X254" s="20" t="str">
        <f>IF(ISBLANK(V254),"",IF(V254&gt;W254,"1",IF(V254&lt;W254,"2",IF(V254=W254,"X"))))</f>
        <v>2</v>
      </c>
      <c r="Y254" s="23" t="str">
        <f>COUNTIF(F254:J254, "W")&amp;COUNTIF(F254:J254, "d")&amp;COUNTIF(F254:J254, "l")</f>
        <v>113</v>
      </c>
      <c r="Z254" s="13" t="str">
        <f>COUNTIF(K254:O254, "W")&amp;COUNTIF(K254:O254, "d")&amp;COUNTIF(K254:O254, "l")</f>
        <v>212</v>
      </c>
      <c r="AA254" s="23" t="str">
        <f>_xlfn.CONCAT(Y254,"-",Z254)</f>
        <v>113-212</v>
      </c>
      <c r="AB254" s="15" t="str">
        <f>_xlfn.CONCAT(AA254,"…",TEXT(U254,"+00;-00;+00;"))</f>
        <v>113-212…+01</v>
      </c>
      <c r="AC254" s="23" t="str">
        <f>_xlfn.CONCAT(TEXT(P254,"+00;-00;+00;"),"…",TEXT(Q254,"+00;-00;+00;"))</f>
        <v>-05…-06</v>
      </c>
      <c r="AD254" s="14" t="str">
        <f>IF(X254="","?","")</f>
        <v/>
      </c>
      <c r="AE254" s="15" t="str">
        <f>_xlfn.CONCAT(AA254,"…",TEXT(P254,"+00;-00;+00;"),"...",TEXT(Q254,"+00;-00;+00;"))</f>
        <v>113-212…-05...-06</v>
      </c>
      <c r="AF254" s="13" t="str">
        <f>_xlfn.CONCAT(R254,"…",TEXT(P254,"+00;-00;+00;"),"...",TEXT(Q254,"+00;-00;+00;"))</f>
        <v>LLWLD…-05...-06</v>
      </c>
    </row>
    <row r="255" spans="1:32" x14ac:dyDescent="0.25">
      <c r="A255" s="12" t="s">
        <v>605</v>
      </c>
      <c r="B255" s="13" t="s">
        <v>7</v>
      </c>
      <c r="C255" s="14" t="s">
        <v>32</v>
      </c>
      <c r="D255" s="13" t="s">
        <v>38</v>
      </c>
      <c r="E255" s="13" t="s">
        <v>54</v>
      </c>
      <c r="F255" s="13" t="s">
        <v>29</v>
      </c>
      <c r="G255" s="13" t="s">
        <v>31</v>
      </c>
      <c r="H255" s="13" t="s">
        <v>31</v>
      </c>
      <c r="I255" s="13" t="s">
        <v>31</v>
      </c>
      <c r="J255" s="13" t="s">
        <v>30</v>
      </c>
      <c r="K255" s="13" t="s">
        <v>30</v>
      </c>
      <c r="L255" s="13" t="s">
        <v>30</v>
      </c>
      <c r="M255" s="13" t="s">
        <v>31</v>
      </c>
      <c r="N255" s="13" t="s">
        <v>30</v>
      </c>
      <c r="O255" s="13" t="s">
        <v>31</v>
      </c>
      <c r="P255" s="16">
        <v>-21</v>
      </c>
      <c r="Q255" s="16">
        <v>3</v>
      </c>
      <c r="R255" s="13" t="str">
        <f>_xlfn.CONCAT(F255,G255,H255,I255,J255)</f>
        <v>DLLLW</v>
      </c>
      <c r="S255" s="13" t="str">
        <f>_xlfn.CONCAT(K255,L255,M255,N255,O255)</f>
        <v>WWLWL</v>
      </c>
      <c r="T255" s="13" t="str">
        <f>_xlfn.CONCAT(R255,"***",S255)</f>
        <v>DLLLW***WWLWL</v>
      </c>
      <c r="U255" s="19">
        <f>(P255-Q255)</f>
        <v>-24</v>
      </c>
      <c r="V255" s="14">
        <v>3</v>
      </c>
      <c r="W255" s="14">
        <v>1</v>
      </c>
      <c r="X255" s="20" t="str">
        <f>IF(ISBLANK(V255),"",IF(V255&gt;W255,"1",IF(V255&lt;W255,"2",IF(V255=W255,"X"))))</f>
        <v>1</v>
      </c>
      <c r="Y255" s="23" t="str">
        <f>COUNTIF(F255:J255, "W")&amp;COUNTIF(F255:J255, "d")&amp;COUNTIF(F255:J255, "l")</f>
        <v>113</v>
      </c>
      <c r="Z255" s="13" t="str">
        <f>COUNTIF(K255:O255, "W")&amp;COUNTIF(K255:O255, "d")&amp;COUNTIF(K255:O255, "l")</f>
        <v>302</v>
      </c>
      <c r="AA255" s="23" t="str">
        <f>_xlfn.CONCAT(Y255,"-",Z255)</f>
        <v>113-302</v>
      </c>
      <c r="AB255" s="13" t="str">
        <f>_xlfn.CONCAT(AA255,"…",TEXT(U255,"+00;-00;+00;"))</f>
        <v>113-302…-24</v>
      </c>
      <c r="AC255" s="23" t="str">
        <f>_xlfn.CONCAT(TEXT(P255,"+00;-00;+00;"),"…",TEXT(Q255,"+00;-00;+00;"))</f>
        <v>-21…+03</v>
      </c>
      <c r="AD255" s="14" t="str">
        <f>IF(X255="","?","")</f>
        <v/>
      </c>
      <c r="AE255" s="15" t="str">
        <f>_xlfn.CONCAT(AA255,"…",TEXT(P255,"+00;-00;+00;"),"...",TEXT(Q255,"+00;-00;+00;"))</f>
        <v>113-302…-21...+03</v>
      </c>
      <c r="AF255" s="13" t="str">
        <f>_xlfn.CONCAT(R255,"…",TEXT(P255,"+00;-00;+00;"),"...",TEXT(Q255,"+00;-00;+00;"))</f>
        <v>DLLLW…-21...+03</v>
      </c>
    </row>
    <row r="256" spans="1:32" x14ac:dyDescent="0.25">
      <c r="A256" s="12" t="s">
        <v>605</v>
      </c>
      <c r="B256" s="13" t="s">
        <v>7</v>
      </c>
      <c r="C256" s="14" t="s">
        <v>32</v>
      </c>
      <c r="D256" s="13" t="s">
        <v>661</v>
      </c>
      <c r="E256" s="13" t="s">
        <v>505</v>
      </c>
      <c r="F256" s="13" t="s">
        <v>31</v>
      </c>
      <c r="G256" s="13" t="s">
        <v>29</v>
      </c>
      <c r="H256" s="13" t="s">
        <v>31</v>
      </c>
      <c r="I256" s="13" t="s">
        <v>29</v>
      </c>
      <c r="J256" s="13" t="s">
        <v>30</v>
      </c>
      <c r="K256" s="13" t="s">
        <v>30</v>
      </c>
      <c r="L256" s="13" t="s">
        <v>29</v>
      </c>
      <c r="M256" s="13" t="s">
        <v>31</v>
      </c>
      <c r="N256" s="13" t="s">
        <v>29</v>
      </c>
      <c r="O256" s="13" t="s">
        <v>31</v>
      </c>
      <c r="P256" s="16">
        <v>-1</v>
      </c>
      <c r="Q256" s="16">
        <v>-13</v>
      </c>
      <c r="R256" s="13" t="str">
        <f>_xlfn.CONCAT(F256,G256,H256,I256,J256)</f>
        <v>LDLDW</v>
      </c>
      <c r="S256" s="13" t="str">
        <f>_xlfn.CONCAT(K256,L256,M256,N256,O256)</f>
        <v>WDLDL</v>
      </c>
      <c r="T256" s="13" t="str">
        <f>_xlfn.CONCAT(R256,"***",S256)</f>
        <v>LDLDW***WDLDL</v>
      </c>
      <c r="U256" s="19">
        <f>(P256-Q256)</f>
        <v>12</v>
      </c>
      <c r="V256" s="14">
        <v>1</v>
      </c>
      <c r="W256" s="14">
        <v>1</v>
      </c>
      <c r="X256" s="20" t="str">
        <f>IF(ISBLANK(V256),"",IF(V256&gt;W256,"1",IF(V256&lt;W256,"2",IF(V256=W256,"X"))))</f>
        <v>X</v>
      </c>
      <c r="Y256" s="23" t="str">
        <f>COUNTIF(F256:J256, "W")&amp;COUNTIF(F256:J256, "d")&amp;COUNTIF(F256:J256, "l")</f>
        <v>122</v>
      </c>
      <c r="Z256" s="13" t="str">
        <f>COUNTIF(K256:O256, "W")&amp;COUNTIF(K256:O256, "d")&amp;COUNTIF(K256:O256, "l")</f>
        <v>122</v>
      </c>
      <c r="AA256" s="23" t="str">
        <f>_xlfn.CONCAT(Y256,"-",Z256)</f>
        <v>122-122</v>
      </c>
      <c r="AB256" s="13" t="str">
        <f>_xlfn.CONCAT(AA256,"…",TEXT(U256,"+00;-00;+00;"))</f>
        <v>122-122…+12</v>
      </c>
      <c r="AC256" s="23" t="str">
        <f>_xlfn.CONCAT(TEXT(P256,"+00;-00;+00;"),"…",TEXT(Q256,"+00;-00;+00;"))</f>
        <v>-01…-13</v>
      </c>
      <c r="AD256" s="14" t="str">
        <f>IF(X256="","?","")</f>
        <v/>
      </c>
      <c r="AE256" s="15" t="str">
        <f>_xlfn.CONCAT(AA256,"…",TEXT(P256,"+00;-00;+00;"),"...",TEXT(Q256,"+00;-00;+00;"))</f>
        <v>122-122…-01...-13</v>
      </c>
      <c r="AF256" s="13" t="str">
        <f>_xlfn.CONCAT(R256,"…",TEXT(P256,"+00;-00;+00;"),"...",TEXT(Q256,"+00;-00;+00;"))</f>
        <v>LDLDW…-01...-13</v>
      </c>
    </row>
    <row r="257" spans="1:32" x14ac:dyDescent="0.25">
      <c r="A257" s="12" t="s">
        <v>605</v>
      </c>
      <c r="B257" s="13" t="s">
        <v>318</v>
      </c>
      <c r="C257" s="14">
        <v>1</v>
      </c>
      <c r="D257" s="13" t="s">
        <v>336</v>
      </c>
      <c r="E257" s="13" t="s">
        <v>758</v>
      </c>
      <c r="F257" s="13" t="s">
        <v>31</v>
      </c>
      <c r="G257" s="13" t="s">
        <v>30</v>
      </c>
      <c r="H257" s="13" t="s">
        <v>29</v>
      </c>
      <c r="I257" s="13" t="s">
        <v>31</v>
      </c>
      <c r="J257" s="13" t="s">
        <v>29</v>
      </c>
      <c r="K257" s="13" t="s">
        <v>30</v>
      </c>
      <c r="L257" s="13" t="s">
        <v>31</v>
      </c>
      <c r="M257" s="13" t="s">
        <v>31</v>
      </c>
      <c r="N257" s="13" t="s">
        <v>31</v>
      </c>
      <c r="O257" s="13" t="s">
        <v>30</v>
      </c>
      <c r="P257" s="16">
        <v>-9</v>
      </c>
      <c r="Q257" s="16">
        <v>-8</v>
      </c>
      <c r="R257" s="13" t="str">
        <f>_xlfn.CONCAT(F257,G257,H257,I257,J257)</f>
        <v>LWDLD</v>
      </c>
      <c r="S257" s="13" t="str">
        <f>_xlfn.CONCAT(K257,L257,M257,N257,O257)</f>
        <v>WLLLW</v>
      </c>
      <c r="T257" s="13" t="str">
        <f>_xlfn.CONCAT(R257,"***",S257)</f>
        <v>LWDLD***WLLLW</v>
      </c>
      <c r="U257" s="21">
        <f>(P257-Q257)</f>
        <v>-1</v>
      </c>
      <c r="V257" s="14">
        <v>0</v>
      </c>
      <c r="W257" s="14">
        <v>0</v>
      </c>
      <c r="X257" s="20" t="str">
        <f>IF(ISBLANK(V257),"",IF(V257&gt;W257,"1",IF(V257&lt;W257,"2",IF(V257=W257,"X"))))</f>
        <v>X</v>
      </c>
      <c r="Y257" s="23" t="str">
        <f>COUNTIF(F257:J257, "W")&amp;COUNTIF(F257:J257, "d")&amp;COUNTIF(F257:J257, "l")</f>
        <v>122</v>
      </c>
      <c r="Z257" s="13" t="str">
        <f>COUNTIF(K257:O257, "W")&amp;COUNTIF(K257:O257, "d")&amp;COUNTIF(K257:O257, "l")</f>
        <v>203</v>
      </c>
      <c r="AA257" s="23" t="str">
        <f>_xlfn.CONCAT(Y257,"-",Z257)</f>
        <v>122-203</v>
      </c>
      <c r="AB257" s="13" t="str">
        <f>_xlfn.CONCAT(AA257,"…",TEXT(U257,"+00;-00;+00;"))</f>
        <v>122-203…-01</v>
      </c>
      <c r="AC257" s="23" t="str">
        <f>_xlfn.CONCAT(TEXT(P257,"+00;-00;+00;"),"…",TEXT(Q257,"+00;-00;+00;"))</f>
        <v>-09…-08</v>
      </c>
      <c r="AD257" s="14" t="str">
        <f>IF(X257="","?","")</f>
        <v/>
      </c>
      <c r="AE257" s="15" t="str">
        <f>_xlfn.CONCAT(AA257,"…",TEXT(P257,"+00;-00;+00;"),"...",TEXT(Q257,"+00;-00;+00;"))</f>
        <v>122-203…-09...-08</v>
      </c>
      <c r="AF257" s="13" t="str">
        <f>_xlfn.CONCAT(R257,"…",TEXT(P257,"+00;-00;+00;"),"...",TEXT(Q257,"+00;-00;+00;"))</f>
        <v>LWDLD…-09...-08</v>
      </c>
    </row>
    <row r="258" spans="1:32" x14ac:dyDescent="0.25">
      <c r="A258" s="12" t="s">
        <v>605</v>
      </c>
      <c r="B258" s="13" t="s">
        <v>7</v>
      </c>
      <c r="C258" s="14" t="s">
        <v>32</v>
      </c>
      <c r="D258" s="13" t="s">
        <v>506</v>
      </c>
      <c r="E258" s="13" t="s">
        <v>658</v>
      </c>
      <c r="F258" s="13" t="s">
        <v>30</v>
      </c>
      <c r="G258" s="13" t="s">
        <v>31</v>
      </c>
      <c r="H258" s="13" t="s">
        <v>30</v>
      </c>
      <c r="I258" s="13" t="s">
        <v>29</v>
      </c>
      <c r="J258" s="13" t="s">
        <v>29</v>
      </c>
      <c r="K258" s="13" t="s">
        <v>30</v>
      </c>
      <c r="L258" s="13" t="s">
        <v>30</v>
      </c>
      <c r="M258" s="13" t="s">
        <v>29</v>
      </c>
      <c r="N258" s="13" t="s">
        <v>31</v>
      </c>
      <c r="O258" s="13" t="s">
        <v>31</v>
      </c>
      <c r="P258" s="16">
        <v>15</v>
      </c>
      <c r="Q258" s="16">
        <v>2</v>
      </c>
      <c r="R258" s="13" t="str">
        <f>_xlfn.CONCAT(F258,G258,H258,I258,J258)</f>
        <v>WLWDD</v>
      </c>
      <c r="S258" s="13" t="str">
        <f>_xlfn.CONCAT(K258,L258,M258,N258,O258)</f>
        <v>WWDLL</v>
      </c>
      <c r="T258" s="13" t="str">
        <f>_xlfn.CONCAT(R258,"***",S258)</f>
        <v>WLWDD***WWDLL</v>
      </c>
      <c r="U258" s="19">
        <f>(P258-Q258)</f>
        <v>13</v>
      </c>
      <c r="V258" s="14">
        <v>2</v>
      </c>
      <c r="W258" s="14">
        <v>1</v>
      </c>
      <c r="X258" s="20" t="str">
        <f>IF(ISBLANK(V258),"",IF(V258&gt;W258,"1",IF(V258&lt;W258,"2",IF(V258=W258,"X"))))</f>
        <v>1</v>
      </c>
      <c r="Y258" s="23" t="str">
        <f>COUNTIF(F258:J258, "W")&amp;COUNTIF(F258:J258, "d")&amp;COUNTIF(F258:J258, "l")</f>
        <v>221</v>
      </c>
      <c r="Z258" s="13" t="str">
        <f>COUNTIF(K258:O258, "W")&amp;COUNTIF(K258:O258, "d")&amp;COUNTIF(K258:O258, "l")</f>
        <v>212</v>
      </c>
      <c r="AA258" s="23" t="str">
        <f>_xlfn.CONCAT(Y258,"-",Z258)</f>
        <v>221-212</v>
      </c>
      <c r="AB258" s="13" t="str">
        <f>_xlfn.CONCAT(AA258,"…",TEXT(U258,"+00;-00;+00;"))</f>
        <v>221-212…+13</v>
      </c>
      <c r="AC258" s="23" t="str">
        <f>_xlfn.CONCAT(TEXT(P258,"+00;-00;+00;"),"…",TEXT(Q258,"+00;-00;+00;"))</f>
        <v>+15…+02</v>
      </c>
      <c r="AD258" s="14" t="str">
        <f>IF(X258="","?","")</f>
        <v/>
      </c>
      <c r="AE258" s="15" t="str">
        <f>_xlfn.CONCAT(AA258,"…",TEXT(P258,"+00;-00;+00;"),"...",TEXT(Q258,"+00;-00;+00;"))</f>
        <v>221-212…+15...+02</v>
      </c>
      <c r="AF258" s="13" t="str">
        <f>_xlfn.CONCAT(R258,"…",TEXT(P258,"+00;-00;+00;"),"...",TEXT(Q258,"+00;-00;+00;"))</f>
        <v>WLWDD…+15...+02</v>
      </c>
    </row>
    <row r="259" spans="1:32" x14ac:dyDescent="0.25">
      <c r="A259" s="12" t="s">
        <v>605</v>
      </c>
      <c r="B259" s="13" t="s">
        <v>7</v>
      </c>
      <c r="C259" s="14" t="s">
        <v>8</v>
      </c>
      <c r="D259" s="13" t="s">
        <v>609</v>
      </c>
      <c r="E259" s="13" t="s">
        <v>11</v>
      </c>
      <c r="F259" s="15" t="s">
        <v>31</v>
      </c>
      <c r="G259" s="15" t="s">
        <v>31</v>
      </c>
      <c r="H259" s="15" t="s">
        <v>30</v>
      </c>
      <c r="I259" s="15" t="s">
        <v>30</v>
      </c>
      <c r="J259" s="15" t="s">
        <v>30</v>
      </c>
      <c r="K259" s="15" t="s">
        <v>30</v>
      </c>
      <c r="L259" s="15" t="s">
        <v>31</v>
      </c>
      <c r="M259" s="15" t="s">
        <v>29</v>
      </c>
      <c r="N259" s="15" t="s">
        <v>31</v>
      </c>
      <c r="O259" s="15" t="s">
        <v>29</v>
      </c>
      <c r="P259" s="16">
        <v>1</v>
      </c>
      <c r="Q259" s="16">
        <v>-11</v>
      </c>
      <c r="R259" s="13" t="str">
        <f>_xlfn.CONCAT(F259,G259,H259,I259,J259)</f>
        <v>LLWWW</v>
      </c>
      <c r="S259" s="13" t="str">
        <f>_xlfn.CONCAT(K259,L259,M259,N259,O259)</f>
        <v>WLDLD</v>
      </c>
      <c r="T259" s="13" t="str">
        <f>_xlfn.CONCAT(R259,"***",S259)</f>
        <v>LLWWW***WLDLD</v>
      </c>
      <c r="U259" s="19">
        <f>(P259-Q259)</f>
        <v>12</v>
      </c>
      <c r="V259" s="14">
        <v>3</v>
      </c>
      <c r="W259" s="14">
        <v>1</v>
      </c>
      <c r="X259" s="20" t="str">
        <f>IF(ISBLANK(V259),"",IF(V259&gt;W259,"1",IF(V259&lt;W259,"2",IF(V259=W259,"X"))))</f>
        <v>1</v>
      </c>
      <c r="Y259" s="23" t="str">
        <f>COUNTIF(F259:J259, "W")&amp;COUNTIF(F259:J259, "d")&amp;COUNTIF(F259:J259, "l")</f>
        <v>302</v>
      </c>
      <c r="Z259" s="13" t="str">
        <f>COUNTIF(K259:O259, "W")&amp;COUNTIF(K259:O259, "d")&amp;COUNTIF(K259:O259, "l")</f>
        <v>122</v>
      </c>
      <c r="AA259" s="23" t="str">
        <f>_xlfn.CONCAT(Y259,"-",Z259)</f>
        <v>302-122</v>
      </c>
      <c r="AB259" s="15" t="str">
        <f>_xlfn.CONCAT(AA259,"…",TEXT(U259,"+00;-00;+00;"))</f>
        <v>302-122…+12</v>
      </c>
      <c r="AC259" s="23" t="str">
        <f>_xlfn.CONCAT(TEXT(P259,"+00;-00;+00;"),"…",TEXT(Q259,"+00;-00;+00;"))</f>
        <v>+01…-11</v>
      </c>
      <c r="AD259" s="14" t="str">
        <f>IF(X259="","?","")</f>
        <v/>
      </c>
      <c r="AE259" s="15" t="str">
        <f>_xlfn.CONCAT(AA259,"…",TEXT(P259,"+00;-00;+00;"),"...",TEXT(Q259,"+00;-00;+00;"))</f>
        <v>302-122…+01...-11</v>
      </c>
      <c r="AF259" s="13" t="str">
        <f>_xlfn.CONCAT(R259,"…",TEXT(P259,"+00;-00;+00;"),"...",TEXT(Q259,"+00;-00;+00;"))</f>
        <v>LLWWW…+01...-11</v>
      </c>
    </row>
    <row r="260" spans="1:32" x14ac:dyDescent="0.25">
      <c r="A260" s="12" t="s">
        <v>605</v>
      </c>
      <c r="B260" s="13" t="s">
        <v>7</v>
      </c>
      <c r="C260" s="14">
        <v>1</v>
      </c>
      <c r="D260" s="13" t="s">
        <v>512</v>
      </c>
      <c r="E260" s="13" t="s">
        <v>516</v>
      </c>
      <c r="F260" s="15" t="s">
        <v>30</v>
      </c>
      <c r="G260" s="15" t="s">
        <v>30</v>
      </c>
      <c r="H260" s="15" t="s">
        <v>30</v>
      </c>
      <c r="I260" s="15" t="s">
        <v>31</v>
      </c>
      <c r="J260" s="15" t="s">
        <v>31</v>
      </c>
      <c r="K260" s="15" t="s">
        <v>30</v>
      </c>
      <c r="L260" s="15" t="s">
        <v>31</v>
      </c>
      <c r="M260" s="15" t="s">
        <v>29</v>
      </c>
      <c r="N260" s="15" t="s">
        <v>30</v>
      </c>
      <c r="O260" s="15" t="s">
        <v>29</v>
      </c>
      <c r="P260" s="16">
        <v>-2</v>
      </c>
      <c r="Q260" s="16">
        <v>13</v>
      </c>
      <c r="R260" s="13" t="str">
        <f>_xlfn.CONCAT(F260,G260,H260,I260,J260)</f>
        <v>WWWLL</v>
      </c>
      <c r="S260" s="13" t="str">
        <f>_xlfn.CONCAT(K260,L260,M260,N260,O260)</f>
        <v>WLDWD</v>
      </c>
      <c r="T260" s="13" t="str">
        <f>_xlfn.CONCAT(R260,"***",S260)</f>
        <v>WWWLL***WLDWD</v>
      </c>
      <c r="U260" s="19">
        <f>(P260-Q260)</f>
        <v>-15</v>
      </c>
      <c r="V260" s="14">
        <v>0</v>
      </c>
      <c r="W260" s="14">
        <v>3</v>
      </c>
      <c r="X260" s="20" t="str">
        <f>IF(ISBLANK(V260),"",IF(V260&gt;W260,"1",IF(V260&lt;W260,"2",IF(V260=W260,"X"))))</f>
        <v>2</v>
      </c>
      <c r="Y260" s="23" t="str">
        <f>COUNTIF(F260:J260, "W")&amp;COUNTIF(F260:J260, "d")&amp;COUNTIF(F260:J260, "l")</f>
        <v>302</v>
      </c>
      <c r="Z260" s="13" t="str">
        <f>COUNTIF(K260:O260, "W")&amp;COUNTIF(K260:O260, "d")&amp;COUNTIF(K260:O260, "l")</f>
        <v>221</v>
      </c>
      <c r="AA260" s="23" t="str">
        <f>_xlfn.CONCAT(Y260,"-",Z260)</f>
        <v>302-221</v>
      </c>
      <c r="AB260" s="15" t="str">
        <f>_xlfn.CONCAT(AA260,"…",TEXT(U260,"+00;-00;+00;"))</f>
        <v>302-221…-15</v>
      </c>
      <c r="AC260" s="23" t="str">
        <f>_xlfn.CONCAT(TEXT(P260,"+00;-00;+00;"),"…",TEXT(Q260,"+00;-00;+00;"))</f>
        <v>-02…+13</v>
      </c>
      <c r="AD260" s="14" t="str">
        <f>IF(X260="","?","")</f>
        <v/>
      </c>
      <c r="AE260" s="15" t="str">
        <f>_xlfn.CONCAT(AA260,"…",TEXT(P260,"+00;-00;+00;"),"...",TEXT(Q260,"+00;-00;+00;"))</f>
        <v>302-221…-02...+13</v>
      </c>
      <c r="AF260" s="13" t="str">
        <f>_xlfn.CONCAT(R260,"…",TEXT(P260,"+00;-00;+00;"),"...",TEXT(Q260,"+00;-00;+00;"))</f>
        <v>WWWLL…-02...+13</v>
      </c>
    </row>
    <row r="261" spans="1:32" x14ac:dyDescent="0.25">
      <c r="A261" s="12" t="s">
        <v>605</v>
      </c>
      <c r="B261" s="13" t="s">
        <v>7</v>
      </c>
      <c r="C261" s="14" t="s">
        <v>8</v>
      </c>
      <c r="D261" s="13" t="s">
        <v>607</v>
      </c>
      <c r="E261" s="13" t="s">
        <v>608</v>
      </c>
      <c r="F261" s="15" t="s">
        <v>30</v>
      </c>
      <c r="G261" s="15" t="s">
        <v>30</v>
      </c>
      <c r="H261" s="15" t="s">
        <v>31</v>
      </c>
      <c r="I261" s="15" t="s">
        <v>30</v>
      </c>
      <c r="J261" s="15" t="s">
        <v>29</v>
      </c>
      <c r="K261" s="15" t="s">
        <v>31</v>
      </c>
      <c r="L261" s="15" t="s">
        <v>30</v>
      </c>
      <c r="M261" s="15" t="s">
        <v>31</v>
      </c>
      <c r="N261" s="15" t="s">
        <v>29</v>
      </c>
      <c r="O261" s="15" t="s">
        <v>30</v>
      </c>
      <c r="P261" s="16">
        <v>17</v>
      </c>
      <c r="Q261" s="16">
        <v>-5</v>
      </c>
      <c r="R261" s="13" t="str">
        <f>_xlfn.CONCAT(F261,G261,H261,I261,J261)</f>
        <v>WWLWD</v>
      </c>
      <c r="S261" s="13" t="str">
        <f>_xlfn.CONCAT(K261,L261,M261,N261,O261)</f>
        <v>LWLDW</v>
      </c>
      <c r="T261" s="13" t="str">
        <f>_xlfn.CONCAT(R261,"***",S261)</f>
        <v>WWLWD***LWLDW</v>
      </c>
      <c r="U261" s="19">
        <f>(P261-Q261)</f>
        <v>22</v>
      </c>
      <c r="V261" s="14">
        <v>2</v>
      </c>
      <c r="W261" s="14">
        <v>1</v>
      </c>
      <c r="X261" s="20" t="str">
        <f>IF(ISBLANK(V261),"",IF(V261&gt;W261,"1",IF(V261&lt;W261,"2",IF(V261=W261,"X"))))</f>
        <v>1</v>
      </c>
      <c r="Y261" s="23" t="str">
        <f>COUNTIF(F261:J261, "W")&amp;COUNTIF(F261:J261, "d")&amp;COUNTIF(F261:J261, "l")</f>
        <v>311</v>
      </c>
      <c r="Z261" s="13" t="str">
        <f>COUNTIF(K261:O261, "W")&amp;COUNTIF(K261:O261, "d")&amp;COUNTIF(K261:O261, "l")</f>
        <v>212</v>
      </c>
      <c r="AA261" s="23" t="str">
        <f>_xlfn.CONCAT(Y261,"-",Z261)</f>
        <v>311-212</v>
      </c>
      <c r="AB261" s="15" t="str">
        <f>_xlfn.CONCAT(AA261,"…",TEXT(U261,"+00;-00;+00;"))</f>
        <v>311-212…+22</v>
      </c>
      <c r="AC261" s="23" t="str">
        <f>_xlfn.CONCAT(TEXT(P261,"+00;-00;+00;"),"…",TEXT(Q261,"+00;-00;+00;"))</f>
        <v>+17…-05</v>
      </c>
      <c r="AD261" s="14" t="str">
        <f>IF(X261="","?","")</f>
        <v/>
      </c>
      <c r="AE261" s="15" t="str">
        <f>_xlfn.CONCAT(AA261,"…",TEXT(P261,"+00;-00;+00;"),"...",TEXT(Q261,"+00;-00;+00;"))</f>
        <v>311-212…+17...-05</v>
      </c>
      <c r="AF261" s="13" t="str">
        <f>_xlfn.CONCAT(R261,"…",TEXT(P261,"+00;-00;+00;"),"...",TEXT(Q261,"+00;-00;+00;"))</f>
        <v>WWLWD…+17...-05</v>
      </c>
    </row>
    <row r="262" spans="1:32" x14ac:dyDescent="0.25">
      <c r="A262" s="12" t="s">
        <v>605</v>
      </c>
      <c r="B262" s="13" t="s">
        <v>7</v>
      </c>
      <c r="C262" s="14" t="s">
        <v>32</v>
      </c>
      <c r="D262" s="13" t="s">
        <v>56</v>
      </c>
      <c r="E262" s="13" t="s">
        <v>657</v>
      </c>
      <c r="F262" s="13" t="s">
        <v>30</v>
      </c>
      <c r="G262" s="13" t="s">
        <v>29</v>
      </c>
      <c r="H262" s="13" t="s">
        <v>30</v>
      </c>
      <c r="I262" s="13" t="s">
        <v>31</v>
      </c>
      <c r="J262" s="13" t="s">
        <v>30</v>
      </c>
      <c r="K262" s="13" t="s">
        <v>30</v>
      </c>
      <c r="L262" s="13" t="s">
        <v>31</v>
      </c>
      <c r="M262" s="13" t="s">
        <v>30</v>
      </c>
      <c r="N262" s="13" t="s">
        <v>29</v>
      </c>
      <c r="O262" s="13" t="s">
        <v>29</v>
      </c>
      <c r="P262" s="16">
        <v>6</v>
      </c>
      <c r="Q262" s="16">
        <v>4</v>
      </c>
      <c r="R262" s="13" t="str">
        <f>_xlfn.CONCAT(F262,G262,H262,I262,J262)</f>
        <v>WDWLW</v>
      </c>
      <c r="S262" s="13" t="str">
        <f>_xlfn.CONCAT(K262,L262,M262,N262,O262)</f>
        <v>WLWDD</v>
      </c>
      <c r="T262" s="13" t="str">
        <f>_xlfn.CONCAT(R262,"***",S262)</f>
        <v>WDWLW***WLWDD</v>
      </c>
      <c r="U262" s="19">
        <f>(P262-Q262)</f>
        <v>2</v>
      </c>
      <c r="V262" s="14">
        <v>1</v>
      </c>
      <c r="W262" s="14">
        <v>2</v>
      </c>
      <c r="X262" s="20" t="str">
        <f>IF(ISBLANK(V262),"",IF(V262&gt;W262,"1",IF(V262&lt;W262,"2",IF(V262=W262,"X"))))</f>
        <v>2</v>
      </c>
      <c r="Y262" s="23" t="str">
        <f>COUNTIF(F262:J262, "W")&amp;COUNTIF(F262:J262, "d")&amp;COUNTIF(F262:J262, "l")</f>
        <v>311</v>
      </c>
      <c r="Z262" s="13" t="str">
        <f>COUNTIF(K262:O262, "W")&amp;COUNTIF(K262:O262, "d")&amp;COUNTIF(K262:O262, "l")</f>
        <v>221</v>
      </c>
      <c r="AA262" s="23" t="str">
        <f>_xlfn.CONCAT(Y262,"-",Z262)</f>
        <v>311-221</v>
      </c>
      <c r="AB262" s="13" t="str">
        <f>_xlfn.CONCAT(AA262,"…",TEXT(U262,"+00;-00;+00;"))</f>
        <v>311-221…+02</v>
      </c>
      <c r="AC262" s="23" t="str">
        <f>_xlfn.CONCAT(TEXT(P262,"+00;-00;+00;"),"…",TEXT(Q262,"+00;-00;+00;"))</f>
        <v>+06…+04</v>
      </c>
      <c r="AD262" s="14" t="str">
        <f>IF(X262="","?","")</f>
        <v/>
      </c>
      <c r="AE262" s="15" t="str">
        <f>_xlfn.CONCAT(AA262,"…",TEXT(P262,"+00;-00;+00;"),"...",TEXT(Q262,"+00;-00;+00;"))</f>
        <v>311-221…+06...+04</v>
      </c>
      <c r="AF262" s="13" t="str">
        <f>_xlfn.CONCAT(R262,"…",TEXT(P262,"+00;-00;+00;"),"...",TEXT(Q262,"+00;-00;+00;"))</f>
        <v>WDWLW…+06...+04</v>
      </c>
    </row>
    <row r="263" spans="1:32" x14ac:dyDescent="0.25">
      <c r="A263" s="12" t="s">
        <v>605</v>
      </c>
      <c r="B263" s="13" t="s">
        <v>7</v>
      </c>
      <c r="C263" s="14" t="s">
        <v>32</v>
      </c>
      <c r="D263" s="13" t="s">
        <v>660</v>
      </c>
      <c r="E263" s="13" t="s">
        <v>489</v>
      </c>
      <c r="F263" s="13" t="s">
        <v>30</v>
      </c>
      <c r="G263" s="13" t="s">
        <v>29</v>
      </c>
      <c r="H263" s="13" t="s">
        <v>30</v>
      </c>
      <c r="I263" s="13" t="s">
        <v>30</v>
      </c>
      <c r="J263" s="13" t="s">
        <v>30</v>
      </c>
      <c r="K263" s="13" t="s">
        <v>31</v>
      </c>
      <c r="L263" s="13" t="s">
        <v>30</v>
      </c>
      <c r="M263" s="13" t="s">
        <v>31</v>
      </c>
      <c r="N263" s="13" t="s">
        <v>29</v>
      </c>
      <c r="O263" s="13" t="s">
        <v>30</v>
      </c>
      <c r="P263" s="16">
        <v>2</v>
      </c>
      <c r="Q263" s="16">
        <v>6</v>
      </c>
      <c r="R263" s="13" t="str">
        <f>_xlfn.CONCAT(F263,G263,H263,I263,J263)</f>
        <v>WDWWW</v>
      </c>
      <c r="S263" s="13" t="str">
        <f>_xlfn.CONCAT(K263,L263,M263,N263,O263)</f>
        <v>LWLDW</v>
      </c>
      <c r="T263" s="13" t="str">
        <f>_xlfn.CONCAT(R263,"***",S263)</f>
        <v>WDWWW***LWLDW</v>
      </c>
      <c r="U263" s="19">
        <f>(P263-Q263)</f>
        <v>-4</v>
      </c>
      <c r="V263" s="14">
        <v>2</v>
      </c>
      <c r="W263" s="14">
        <v>0</v>
      </c>
      <c r="X263" s="20" t="str">
        <f>IF(ISBLANK(V263),"",IF(V263&gt;W263,"1",IF(V263&lt;W263,"2",IF(V263=W263,"X"))))</f>
        <v>1</v>
      </c>
      <c r="Y263" s="23" t="str">
        <f>COUNTIF(F263:J263, "W")&amp;COUNTIF(F263:J263, "d")&amp;COUNTIF(F263:J263, "l")</f>
        <v>410</v>
      </c>
      <c r="Z263" s="13" t="str">
        <f>COUNTIF(K263:O263, "W")&amp;COUNTIF(K263:O263, "d")&amp;COUNTIF(K263:O263, "l")</f>
        <v>212</v>
      </c>
      <c r="AA263" s="23" t="str">
        <f>_xlfn.CONCAT(Y263,"-",Z263)</f>
        <v>410-212</v>
      </c>
      <c r="AB263" s="13" t="str">
        <f>_xlfn.CONCAT(AA263,"…",TEXT(U263,"+00;-00;+00;"))</f>
        <v>410-212…-04</v>
      </c>
      <c r="AC263" s="23" t="str">
        <f>_xlfn.CONCAT(TEXT(P263,"+00;-00;+00;"),"…",TEXT(Q263,"+00;-00;+00;"))</f>
        <v>+02…+06</v>
      </c>
      <c r="AD263" s="14" t="str">
        <f>IF(X263="","?","")</f>
        <v/>
      </c>
      <c r="AE263" s="15" t="str">
        <f>_xlfn.CONCAT(AA263,"…",TEXT(P263,"+00;-00;+00;"),"...",TEXT(Q263,"+00;-00;+00;"))</f>
        <v>410-212…+02...+06</v>
      </c>
      <c r="AF263" s="13" t="str">
        <f>_xlfn.CONCAT(R263,"…",TEXT(P263,"+00;-00;+00;"),"...",TEXT(Q263,"+00;-00;+00;"))</f>
        <v>WDWWW…+02...+06</v>
      </c>
    </row>
    <row r="264" spans="1:32" x14ac:dyDescent="0.25">
      <c r="A264" s="12" t="s">
        <v>605</v>
      </c>
      <c r="B264" s="13" t="s">
        <v>7</v>
      </c>
      <c r="C264" s="14" t="s">
        <v>32</v>
      </c>
      <c r="D264" s="13" t="s">
        <v>36</v>
      </c>
      <c r="E264" s="13" t="s">
        <v>659</v>
      </c>
      <c r="F264" s="13" t="s">
        <v>30</v>
      </c>
      <c r="G264" s="13" t="s">
        <v>29</v>
      </c>
      <c r="H264" s="13" t="s">
        <v>30</v>
      </c>
      <c r="I264" s="13" t="s">
        <v>30</v>
      </c>
      <c r="J264" s="13" t="s">
        <v>30</v>
      </c>
      <c r="K264" s="13" t="s">
        <v>30</v>
      </c>
      <c r="L264" s="13" t="s">
        <v>31</v>
      </c>
      <c r="M264" s="13" t="s">
        <v>30</v>
      </c>
      <c r="N264" s="13" t="s">
        <v>29</v>
      </c>
      <c r="O264" s="13" t="s">
        <v>31</v>
      </c>
      <c r="P264" s="16">
        <v>13</v>
      </c>
      <c r="Q264" s="16">
        <v>3</v>
      </c>
      <c r="R264" s="13" t="str">
        <f>_xlfn.CONCAT(F264,G264,H264,I264,J264)</f>
        <v>WDWWW</v>
      </c>
      <c r="S264" s="13" t="str">
        <f>_xlfn.CONCAT(K264,L264,M264,N264,O264)</f>
        <v>WLWDL</v>
      </c>
      <c r="T264" s="13" t="str">
        <f>_xlfn.CONCAT(R264,"***",S264)</f>
        <v>WDWWW***WLWDL</v>
      </c>
      <c r="U264" s="19">
        <f>(P264-Q264)</f>
        <v>10</v>
      </c>
      <c r="V264" s="14">
        <v>3</v>
      </c>
      <c r="W264" s="14">
        <v>2</v>
      </c>
      <c r="X264" s="20" t="str">
        <f>IF(ISBLANK(V264),"",IF(V264&gt;W264,"1",IF(V264&lt;W264,"2",IF(V264=W264,"X"))))</f>
        <v>1</v>
      </c>
      <c r="Y264" s="23" t="str">
        <f>COUNTIF(F264:J264, "W")&amp;COUNTIF(F264:J264, "d")&amp;COUNTIF(F264:J264, "l")</f>
        <v>410</v>
      </c>
      <c r="Z264" s="13" t="str">
        <f>COUNTIF(K264:O264, "W")&amp;COUNTIF(K264:O264, "d")&amp;COUNTIF(K264:O264, "l")</f>
        <v>212</v>
      </c>
      <c r="AA264" s="23" t="str">
        <f>_xlfn.CONCAT(Y264,"-",Z264)</f>
        <v>410-212</v>
      </c>
      <c r="AB264" s="13" t="str">
        <f>_xlfn.CONCAT(AA264,"…",TEXT(U264,"+00;-00;+00;"))</f>
        <v>410-212…+10</v>
      </c>
      <c r="AC264" s="23" t="str">
        <f>_xlfn.CONCAT(TEXT(P264,"+00;-00;+00;"),"…",TEXT(Q264,"+00;-00;+00;"))</f>
        <v>+13…+03</v>
      </c>
      <c r="AD264" s="14" t="str">
        <f>IF(X264="","?","")</f>
        <v/>
      </c>
      <c r="AE264" s="15" t="str">
        <f>_xlfn.CONCAT(AA264,"…",TEXT(P264,"+00;-00;+00;"),"...",TEXT(Q264,"+00;-00;+00;"))</f>
        <v>410-212…+13...+03</v>
      </c>
      <c r="AF264" s="13" t="str">
        <f>_xlfn.CONCAT(R264,"…",TEXT(P264,"+00;-00;+00;"),"...",TEXT(Q264,"+00;-00;+00;"))</f>
        <v>WDWWW…+13...+03</v>
      </c>
    </row>
    <row r="265" spans="1:32" x14ac:dyDescent="0.25">
      <c r="A265" s="12" t="s">
        <v>663</v>
      </c>
      <c r="B265" s="13" t="s">
        <v>117</v>
      </c>
      <c r="C265" s="14" t="s">
        <v>33</v>
      </c>
      <c r="D265" s="13" t="s">
        <v>676</v>
      </c>
      <c r="E265" s="13" t="s">
        <v>157</v>
      </c>
      <c r="F265" s="13" t="s">
        <v>31</v>
      </c>
      <c r="G265" s="13" t="s">
        <v>29</v>
      </c>
      <c r="H265" s="13" t="s">
        <v>29</v>
      </c>
      <c r="I265" s="13" t="s">
        <v>31</v>
      </c>
      <c r="J265" s="13" t="s">
        <v>29</v>
      </c>
      <c r="K265" s="13" t="s">
        <v>29</v>
      </c>
      <c r="L265" s="13" t="s">
        <v>31</v>
      </c>
      <c r="M265" s="13" t="s">
        <v>30</v>
      </c>
      <c r="N265" s="13" t="s">
        <v>30</v>
      </c>
      <c r="O265" s="13" t="s">
        <v>30</v>
      </c>
      <c r="P265" s="16">
        <v>-9</v>
      </c>
      <c r="Q265" s="16">
        <v>15</v>
      </c>
      <c r="R265" s="13" t="str">
        <f>_xlfn.CONCAT(F265,G265,H265,I265,J265)</f>
        <v>LDDLD</v>
      </c>
      <c r="S265" s="13" t="str">
        <f>_xlfn.CONCAT(K265,L265,M265,N265,O265)</f>
        <v>DLWWW</v>
      </c>
      <c r="T265" s="13" t="str">
        <f>_xlfn.CONCAT(R265,"***",S265)</f>
        <v>LDDLD***DLWWW</v>
      </c>
      <c r="U265" s="19">
        <f>(P265-Q265)</f>
        <v>-24</v>
      </c>
      <c r="V265" s="14">
        <v>0</v>
      </c>
      <c r="W265" s="14">
        <v>1</v>
      </c>
      <c r="X265" s="20" t="str">
        <f>IF(ISBLANK(V265),"",IF(V265&gt;W265,"1",IF(V265&lt;W265,"2",IF(V265=W265,"X"))))</f>
        <v>2</v>
      </c>
      <c r="Y265" s="23" t="str">
        <f>COUNTIF(F265:J265, "W")&amp;COUNTIF(F265:J265, "d")&amp;COUNTIF(F265:J265, "l")</f>
        <v>032</v>
      </c>
      <c r="Z265" s="13" t="str">
        <f>COUNTIF(K265:O265, "W")&amp;COUNTIF(K265:O265, "d")&amp;COUNTIF(K265:O265, "l")</f>
        <v>311</v>
      </c>
      <c r="AA265" s="23" t="str">
        <f>_xlfn.CONCAT(Y265,"-",Z265)</f>
        <v>032-311</v>
      </c>
      <c r="AB265" s="13" t="str">
        <f>_xlfn.CONCAT(AA265,"…",TEXT(U265,"+00;-00;+00;"))</f>
        <v>032-311…-24</v>
      </c>
      <c r="AC265" s="23" t="str">
        <f>_xlfn.CONCAT(TEXT(P265,"+00;-00;+00;"),"…",TEXT(Q265,"+00;-00;+00;"))</f>
        <v>-09…+15</v>
      </c>
      <c r="AD265" s="14" t="str">
        <f>IF(X265="","?","")</f>
        <v/>
      </c>
      <c r="AE265" s="15" t="str">
        <f>_xlfn.CONCAT(AA265,"…",TEXT(P265,"+00;-00;+00;"),"...",TEXT(Q265,"+00;-00;+00;"))</f>
        <v>032-311…-09...+15</v>
      </c>
      <c r="AF265" s="13" t="str">
        <f>_xlfn.CONCAT(R265,"…",TEXT(P265,"+00;-00;+00;"),"...",TEXT(Q265,"+00;-00;+00;"))</f>
        <v>LDDLD…-09...+15</v>
      </c>
    </row>
    <row r="266" spans="1:32" x14ac:dyDescent="0.25">
      <c r="A266" s="17" t="s">
        <v>663</v>
      </c>
      <c r="B266" s="15" t="s">
        <v>59</v>
      </c>
      <c r="C266" s="14">
        <v>2</v>
      </c>
      <c r="D266" s="13" t="s">
        <v>740</v>
      </c>
      <c r="E266" s="13" t="s">
        <v>98</v>
      </c>
      <c r="F266" s="13" t="s">
        <v>29</v>
      </c>
      <c r="G266" s="13" t="s">
        <v>29</v>
      </c>
      <c r="H266" s="13" t="s">
        <v>29</v>
      </c>
      <c r="I266" s="13" t="s">
        <v>31</v>
      </c>
      <c r="J266" s="13" t="s">
        <v>31</v>
      </c>
      <c r="K266" s="13" t="s">
        <v>30</v>
      </c>
      <c r="L266" s="13" t="s">
        <v>29</v>
      </c>
      <c r="M266" s="13" t="s">
        <v>29</v>
      </c>
      <c r="N266" s="13" t="s">
        <v>30</v>
      </c>
      <c r="O266" s="13" t="s">
        <v>30</v>
      </c>
      <c r="P266" s="16">
        <v>-13</v>
      </c>
      <c r="Q266" s="16">
        <v>12</v>
      </c>
      <c r="R266" s="13" t="str">
        <f>_xlfn.CONCAT(F266,G266,H266,I266,J266)</f>
        <v>DDDLL</v>
      </c>
      <c r="S266" s="13" t="str">
        <f>_xlfn.CONCAT(K266,L266,M266,N266,O266)</f>
        <v>WDDWW</v>
      </c>
      <c r="T266" s="13" t="str">
        <f>_xlfn.CONCAT(R266,"***",S266)</f>
        <v>DDDLL***WDDWW</v>
      </c>
      <c r="U266" s="21">
        <f>(P266-Q266)</f>
        <v>-25</v>
      </c>
      <c r="V266" s="14">
        <v>1</v>
      </c>
      <c r="W266" s="14">
        <v>0</v>
      </c>
      <c r="X266" s="20" t="str">
        <f>IF(ISBLANK(V266),"",IF(V266&gt;W266,"1",IF(V266&lt;W266,"2",IF(V266=W266,"X"))))</f>
        <v>1</v>
      </c>
      <c r="Y266" s="23" t="str">
        <f>COUNTIF(F266:J266, "W")&amp;COUNTIF(F266:J266, "d")&amp;COUNTIF(F266:J266, "l")</f>
        <v>032</v>
      </c>
      <c r="Z266" s="13" t="str">
        <f>COUNTIF(K266:O266, "W")&amp;COUNTIF(K266:O266, "d")&amp;COUNTIF(K266:O266, "l")</f>
        <v>320</v>
      </c>
      <c r="AA266" s="23" t="str">
        <f>_xlfn.CONCAT(Y266,"-",Z266)</f>
        <v>032-320</v>
      </c>
      <c r="AB266" s="13" t="str">
        <f>_xlfn.CONCAT(AA266,"…",TEXT(U266,"+00;-00;+00;"))</f>
        <v>032-320…-25</v>
      </c>
      <c r="AC266" s="23" t="str">
        <f>_xlfn.CONCAT(TEXT(P266,"+00;-00;+00;"),"…",TEXT(Q266,"+00;-00;+00;"))</f>
        <v>-13…+12</v>
      </c>
      <c r="AD266" s="14" t="str">
        <f>IF(X266="","?","")</f>
        <v/>
      </c>
      <c r="AE266" s="15" t="str">
        <f>_xlfn.CONCAT(AA266,"…",TEXT(P266,"+00;-00;+00;"),"...",TEXT(Q266,"+00;-00;+00;"))</f>
        <v>032-320…-13...+12</v>
      </c>
      <c r="AF266" s="13" t="str">
        <f>_xlfn.CONCAT(R266,"…",TEXT(P266,"+00;-00;+00;"),"...",TEXT(Q266,"+00;-00;+00;"))</f>
        <v>DDDLL…-13...+12</v>
      </c>
    </row>
    <row r="267" spans="1:32" x14ac:dyDescent="0.25">
      <c r="A267" s="12" t="s">
        <v>663</v>
      </c>
      <c r="B267" s="13" t="s">
        <v>59</v>
      </c>
      <c r="C267" s="14">
        <v>1</v>
      </c>
      <c r="D267" s="13" t="s">
        <v>725</v>
      </c>
      <c r="E267" s="13" t="s">
        <v>726</v>
      </c>
      <c r="F267" s="13" t="s">
        <v>29</v>
      </c>
      <c r="G267" s="13" t="s">
        <v>30</v>
      </c>
      <c r="H267" s="13" t="s">
        <v>30</v>
      </c>
      <c r="I267" s="13" t="s">
        <v>29</v>
      </c>
      <c r="J267" s="13" t="s">
        <v>31</v>
      </c>
      <c r="K267" s="13" t="s">
        <v>29</v>
      </c>
      <c r="L267" s="13" t="s">
        <v>31</v>
      </c>
      <c r="M267" s="13" t="s">
        <v>29</v>
      </c>
      <c r="N267" s="13" t="s">
        <v>29</v>
      </c>
      <c r="O267" s="13" t="s">
        <v>30</v>
      </c>
      <c r="P267" s="16">
        <v>8</v>
      </c>
      <c r="Q267" s="16">
        <v>-2</v>
      </c>
      <c r="R267" s="13" t="str">
        <f>_xlfn.CONCAT(F267,G267,H267,I267,J267)</f>
        <v>DWWDL</v>
      </c>
      <c r="S267" s="13" t="str">
        <f>_xlfn.CONCAT(K267,L267,M267,N267,O267)</f>
        <v>DLDDW</v>
      </c>
      <c r="T267" s="13" t="str">
        <f>_xlfn.CONCAT(R267,"***",S267)</f>
        <v>DWWDL***DLDDW</v>
      </c>
      <c r="U267" s="21">
        <f>(P267-Q267)</f>
        <v>10</v>
      </c>
      <c r="V267" s="14">
        <v>4</v>
      </c>
      <c r="W267" s="14">
        <v>0</v>
      </c>
      <c r="X267" s="20" t="str">
        <f>IF(ISBLANK(V267),"",IF(V267&gt;W267,"1",IF(V267&lt;W267,"2",IF(V267=W267,"X"))))</f>
        <v>1</v>
      </c>
      <c r="Y267" s="23" t="str">
        <f>COUNTIF(F267:J267, "W")&amp;COUNTIF(F267:J267, "d")&amp;COUNTIF(F267:J267, "l")</f>
        <v>221</v>
      </c>
      <c r="Z267" s="13" t="str">
        <f>COUNTIF(K267:O267, "W")&amp;COUNTIF(K267:O267, "d")&amp;COUNTIF(K267:O267, "l")</f>
        <v>131</v>
      </c>
      <c r="AA267" s="23" t="str">
        <f>_xlfn.CONCAT(Y267,"-",Z267)</f>
        <v>221-131</v>
      </c>
      <c r="AB267" s="13" t="str">
        <f>_xlfn.CONCAT(AA267,"…",TEXT(U267,"+00;-00;+00;"))</f>
        <v>221-131…+10</v>
      </c>
      <c r="AC267" s="23" t="str">
        <f>_xlfn.CONCAT(TEXT(P267,"+00;-00;+00;"),"…",TEXT(Q267,"+00;-00;+00;"))</f>
        <v>+08…-02</v>
      </c>
      <c r="AD267" s="14" t="str">
        <f>IF(X267="","?","")</f>
        <v/>
      </c>
      <c r="AE267" s="15" t="str">
        <f>_xlfn.CONCAT(AA267,"…",TEXT(P267,"+00;-00;+00;"),"...",TEXT(Q267,"+00;-00;+00;"))</f>
        <v>221-131…+08...-02</v>
      </c>
      <c r="AF267" s="13" t="str">
        <f>_xlfn.CONCAT(R267,"…",TEXT(P267,"+00;-00;+00;"),"...",TEXT(Q267,"+00;-00;+00;"))</f>
        <v>DWWDL…+08...-02</v>
      </c>
    </row>
    <row r="268" spans="1:32" x14ac:dyDescent="0.25">
      <c r="A268" s="17" t="s">
        <v>663</v>
      </c>
      <c r="B268" s="15" t="s">
        <v>59</v>
      </c>
      <c r="C268" s="14">
        <v>2</v>
      </c>
      <c r="D268" s="13" t="s">
        <v>738</v>
      </c>
      <c r="E268" s="13" t="s">
        <v>739</v>
      </c>
      <c r="F268" s="13" t="s">
        <v>31</v>
      </c>
      <c r="G268" s="13" t="s">
        <v>29</v>
      </c>
      <c r="H268" s="13" t="s">
        <v>30</v>
      </c>
      <c r="I268" s="13" t="s">
        <v>30</v>
      </c>
      <c r="J268" s="13" t="s">
        <v>30</v>
      </c>
      <c r="K268" s="13" t="s">
        <v>29</v>
      </c>
      <c r="L268" s="13" t="s">
        <v>31</v>
      </c>
      <c r="M268" s="13" t="s">
        <v>31</v>
      </c>
      <c r="N268" s="13" t="s">
        <v>31</v>
      </c>
      <c r="O268" s="13" t="s">
        <v>31</v>
      </c>
      <c r="P268" s="16">
        <v>-2</v>
      </c>
      <c r="Q268" s="16">
        <v>-1</v>
      </c>
      <c r="R268" s="13" t="str">
        <f>_xlfn.CONCAT(F268,G268,H268,I268,J268)</f>
        <v>LDWWW</v>
      </c>
      <c r="S268" s="13" t="str">
        <f>_xlfn.CONCAT(K268,L268,M268,N268,O268)</f>
        <v>DLLLL</v>
      </c>
      <c r="T268" s="13" t="str">
        <f>_xlfn.CONCAT(R268,"***",S268)</f>
        <v>LDWWW***DLLLL</v>
      </c>
      <c r="U268" s="21">
        <f>(P268-Q268)</f>
        <v>-1</v>
      </c>
      <c r="V268" s="14">
        <v>0</v>
      </c>
      <c r="W268" s="14">
        <v>3</v>
      </c>
      <c r="X268" s="20" t="str">
        <f>IF(ISBLANK(V268),"",IF(V268&gt;W268,"1",IF(V268&lt;W268,"2",IF(V268=W268,"X"))))</f>
        <v>2</v>
      </c>
      <c r="Y268" s="23" t="str">
        <f>COUNTIF(F268:J268, "W")&amp;COUNTIF(F268:J268, "d")&amp;COUNTIF(F268:J268, "l")</f>
        <v>311</v>
      </c>
      <c r="Z268" s="13" t="str">
        <f>COUNTIF(K268:O268, "W")&amp;COUNTIF(K268:O268, "d")&amp;COUNTIF(K268:O268, "l")</f>
        <v>014</v>
      </c>
      <c r="AA268" s="23" t="str">
        <f>_xlfn.CONCAT(Y268,"-",Z268)</f>
        <v>311-014</v>
      </c>
      <c r="AB268" s="13" t="str">
        <f>_xlfn.CONCAT(AA268,"…",TEXT(U268,"+00;-00;+00;"))</f>
        <v>311-014…-01</v>
      </c>
      <c r="AC268" s="23" t="str">
        <f>_xlfn.CONCAT(TEXT(P268,"+00;-00;+00;"),"…",TEXT(Q268,"+00;-00;+00;"))</f>
        <v>-02…-01</v>
      </c>
      <c r="AD268" s="14" t="str">
        <f>IF(X268="","?","")</f>
        <v/>
      </c>
      <c r="AE268" s="15" t="str">
        <f>_xlfn.CONCAT(AA268,"…",TEXT(P268,"+00;-00;+00;"),"...",TEXT(Q268,"+00;-00;+00;"))</f>
        <v>311-014…-02...-01</v>
      </c>
      <c r="AF268" s="13" t="str">
        <f>_xlfn.CONCAT(R268,"…",TEXT(P268,"+00;-00;+00;"),"...",TEXT(Q268,"+00;-00;+00;"))</f>
        <v>LDWWW…-02...-01</v>
      </c>
    </row>
    <row r="269" spans="1:32" x14ac:dyDescent="0.25">
      <c r="A269" s="12" t="s">
        <v>252</v>
      </c>
      <c r="B269" s="13" t="s">
        <v>401</v>
      </c>
      <c r="C269" s="14">
        <v>1</v>
      </c>
      <c r="D269" s="13" t="s">
        <v>789</v>
      </c>
      <c r="E269" s="13" t="s">
        <v>407</v>
      </c>
      <c r="F269" s="13" t="s">
        <v>31</v>
      </c>
      <c r="G269" s="13" t="s">
        <v>31</v>
      </c>
      <c r="H269" s="13" t="s">
        <v>31</v>
      </c>
      <c r="I269" s="13" t="s">
        <v>31</v>
      </c>
      <c r="J269" s="13" t="s">
        <v>30</v>
      </c>
      <c r="K269" s="13" t="s">
        <v>31</v>
      </c>
      <c r="L269" s="13" t="s">
        <v>31</v>
      </c>
      <c r="M269" s="13" t="s">
        <v>29</v>
      </c>
      <c r="N269" s="13" t="s">
        <v>31</v>
      </c>
      <c r="O269" s="13" t="s">
        <v>29</v>
      </c>
      <c r="P269" s="16">
        <v>-15</v>
      </c>
      <c r="Q269" s="16">
        <v>-11</v>
      </c>
      <c r="R269" s="13" t="str">
        <f>_xlfn.CONCAT(F269,G269,H269,I269,J269)</f>
        <v>LLLLW</v>
      </c>
      <c r="S269" s="13" t="str">
        <f>_xlfn.CONCAT(K269,L269,M269,N269,O269)</f>
        <v>LLDLD</v>
      </c>
      <c r="T269" s="13" t="str">
        <f>_xlfn.CONCAT(R269,"***",S269)</f>
        <v>LLLLW***LLDLD</v>
      </c>
      <c r="U269" s="21">
        <f>(P269-Q269)</f>
        <v>-4</v>
      </c>
      <c r="V269" s="14">
        <v>2</v>
      </c>
      <c r="W269" s="14">
        <v>2</v>
      </c>
      <c r="X269" s="20" t="str">
        <f>IF(ISBLANK(V269),"",IF(V269&gt;W269,"1",IF(V269&lt;W269,"2",IF(V269=W269,"X"))))</f>
        <v>X</v>
      </c>
      <c r="Y269" s="23" t="str">
        <f>COUNTIF(F269:J269, "W")&amp;COUNTIF(F269:J269, "d")&amp;COUNTIF(F269:J269, "l")</f>
        <v>104</v>
      </c>
      <c r="Z269" s="13" t="str">
        <f>COUNTIF(K269:O269, "W")&amp;COUNTIF(K269:O269, "d")&amp;COUNTIF(K269:O269, "l")</f>
        <v>023</v>
      </c>
      <c r="AA269" s="23" t="str">
        <f>_xlfn.CONCAT(Y269,"-",Z269)</f>
        <v>104-023</v>
      </c>
      <c r="AB269" s="13" t="str">
        <f>_xlfn.CONCAT(AA269,"…",TEXT(U269,"+00;-00;+00;"))</f>
        <v>104-023…-04</v>
      </c>
      <c r="AC269" s="23" t="str">
        <f>_xlfn.CONCAT(TEXT(P269,"+00;-00;+00;"),"…",TEXT(Q269,"+00;-00;+00;"))</f>
        <v>-15…-11</v>
      </c>
      <c r="AD269" s="14" t="str">
        <f>IF(X269="","?","")</f>
        <v/>
      </c>
      <c r="AE269" s="15" t="str">
        <f>_xlfn.CONCAT(AA269,"…",TEXT(P269,"+00;-00;+00;"),"...",TEXT(Q269,"+00;-00;+00;"))</f>
        <v>104-023…-15...-11</v>
      </c>
      <c r="AF269" s="13" t="str">
        <f>_xlfn.CONCAT(R269,"…",TEXT(P269,"+00;-00;+00;"),"...",TEXT(Q269,"+00;-00;+00;"))</f>
        <v>LLLLW…-15...-11</v>
      </c>
    </row>
    <row r="270" spans="1:32" x14ac:dyDescent="0.25">
      <c r="A270" s="12" t="s">
        <v>252</v>
      </c>
      <c r="B270" s="13" t="s">
        <v>250</v>
      </c>
      <c r="C270" s="14">
        <v>1</v>
      </c>
      <c r="D270" s="13" t="s">
        <v>261</v>
      </c>
      <c r="E270" s="13" t="s">
        <v>262</v>
      </c>
      <c r="F270" s="15" t="s">
        <v>29</v>
      </c>
      <c r="G270" s="15" t="s">
        <v>30</v>
      </c>
      <c r="H270" s="15" t="s">
        <v>31</v>
      </c>
      <c r="I270" s="15" t="s">
        <v>31</v>
      </c>
      <c r="J270" s="15" t="s">
        <v>31</v>
      </c>
      <c r="K270" s="15" t="s">
        <v>31</v>
      </c>
      <c r="L270" s="15" t="s">
        <v>31</v>
      </c>
      <c r="M270" s="15" t="s">
        <v>30</v>
      </c>
      <c r="N270" s="15" t="s">
        <v>30</v>
      </c>
      <c r="O270" s="15" t="s">
        <v>31</v>
      </c>
      <c r="P270" s="16">
        <v>-7</v>
      </c>
      <c r="Q270" s="16">
        <v>-5</v>
      </c>
      <c r="R270" s="13" t="str">
        <f>_xlfn.CONCAT(F270,G270,H270,I270,J270)</f>
        <v>DWLLL</v>
      </c>
      <c r="S270" s="13" t="str">
        <f>_xlfn.CONCAT(K270,L270,M270,N270,O270)</f>
        <v>LLWWL</v>
      </c>
      <c r="T270" s="13" t="str">
        <f>_xlfn.CONCAT(R270,"***",S270)</f>
        <v>DWLLL***LLWWL</v>
      </c>
      <c r="U270" s="19">
        <f>(P270-Q270)</f>
        <v>-2</v>
      </c>
      <c r="V270" s="14">
        <v>1</v>
      </c>
      <c r="W270" s="14">
        <v>1</v>
      </c>
      <c r="X270" s="20" t="str">
        <f>IF(ISBLANK(V270),"",IF(V270&gt;W270,"1",IF(V270&lt;W270,"2",IF(V270=W270,"X"))))</f>
        <v>X</v>
      </c>
      <c r="Y270" s="23" t="str">
        <f>COUNTIF(F270:J270, "W")&amp;COUNTIF(F270:J270, "d")&amp;COUNTIF(F270:J270, "l")</f>
        <v>113</v>
      </c>
      <c r="Z270" s="13" t="str">
        <f>COUNTIF(K270:O270, "W")&amp;COUNTIF(K270:O270, "d")&amp;COUNTIF(K270:O270, "l")</f>
        <v>203</v>
      </c>
      <c r="AA270" s="23" t="str">
        <f>_xlfn.CONCAT(Y270,"-",Z270)</f>
        <v>113-203</v>
      </c>
      <c r="AB270" s="15" t="str">
        <f>_xlfn.CONCAT(AA270,"…",TEXT(U270,"+00;-00;+00;"))</f>
        <v>113-203…-02</v>
      </c>
      <c r="AC270" s="23" t="str">
        <f>_xlfn.CONCAT(TEXT(P270,"+00;-00;+00;"),"…",TEXT(Q270,"+00;-00;+00;"))</f>
        <v>-07…-05</v>
      </c>
      <c r="AD270" s="14" t="str">
        <f>IF(X270="","?","")</f>
        <v/>
      </c>
      <c r="AE270" s="15" t="str">
        <f>_xlfn.CONCAT(AA270,"…",TEXT(P270,"+00;-00;+00;"),"...",TEXT(Q270,"+00;-00;+00;"))</f>
        <v>113-203…-07...-05</v>
      </c>
      <c r="AF270" s="13" t="str">
        <f>_xlfn.CONCAT(R270,"…",TEXT(P270,"+00;-00;+00;"),"...",TEXT(Q270,"+00;-00;+00;"))</f>
        <v>DWLLL…-07...-05</v>
      </c>
    </row>
    <row r="271" spans="1:32" x14ac:dyDescent="0.25">
      <c r="A271" s="12" t="s">
        <v>252</v>
      </c>
      <c r="B271" s="13" t="s">
        <v>250</v>
      </c>
      <c r="C271" s="14">
        <v>1</v>
      </c>
      <c r="D271" s="13" t="s">
        <v>263</v>
      </c>
      <c r="E271" s="13" t="s">
        <v>264</v>
      </c>
      <c r="F271" s="15" t="s">
        <v>30</v>
      </c>
      <c r="G271" s="15" t="s">
        <v>30</v>
      </c>
      <c r="H271" s="15" t="s">
        <v>30</v>
      </c>
      <c r="I271" s="15" t="s">
        <v>29</v>
      </c>
      <c r="J271" s="15" t="s">
        <v>31</v>
      </c>
      <c r="K271" s="15" t="s">
        <v>31</v>
      </c>
      <c r="L271" s="15" t="s">
        <v>31</v>
      </c>
      <c r="M271" s="15" t="s">
        <v>30</v>
      </c>
      <c r="N271" s="15" t="s">
        <v>30</v>
      </c>
      <c r="O271" s="15" t="s">
        <v>30</v>
      </c>
      <c r="P271" s="16">
        <v>5</v>
      </c>
      <c r="Q271" s="16">
        <v>5</v>
      </c>
      <c r="R271" s="13" t="str">
        <f>_xlfn.CONCAT(F271,G271,H271,I271,J271)</f>
        <v>WWWDL</v>
      </c>
      <c r="S271" s="13" t="str">
        <f>_xlfn.CONCAT(K271,L271,M271,N271,O271)</f>
        <v>LLWWW</v>
      </c>
      <c r="T271" s="13" t="str">
        <f>_xlfn.CONCAT(R271,"***",S271)</f>
        <v>WWWDL***LLWWW</v>
      </c>
      <c r="U271" s="19">
        <f>(P271-Q271)</f>
        <v>0</v>
      </c>
      <c r="V271" s="14">
        <v>1</v>
      </c>
      <c r="W271" s="14">
        <v>2</v>
      </c>
      <c r="X271" s="20" t="str">
        <f>IF(ISBLANK(V271),"",IF(V271&gt;W271,"1",IF(V271&lt;W271,"2",IF(V271=W271,"X"))))</f>
        <v>2</v>
      </c>
      <c r="Y271" s="23" t="str">
        <f>COUNTIF(F271:J271, "W")&amp;COUNTIF(F271:J271, "d")&amp;COUNTIF(F271:J271, "l")</f>
        <v>311</v>
      </c>
      <c r="Z271" s="13" t="str">
        <f>COUNTIF(K271:O271, "W")&amp;COUNTIF(K271:O271, "d")&amp;COUNTIF(K271:O271, "l")</f>
        <v>302</v>
      </c>
      <c r="AA271" s="23" t="str">
        <f>_xlfn.CONCAT(Y271,"-",Z271)</f>
        <v>311-302</v>
      </c>
      <c r="AB271" s="15" t="str">
        <f>_xlfn.CONCAT(AA271,"…",TEXT(U271,"+00;-00;+00;"))</f>
        <v>311-302…+00</v>
      </c>
      <c r="AC271" s="23" t="str">
        <f>_xlfn.CONCAT(TEXT(P271,"+00;-00;+00;"),"…",TEXT(Q271,"+00;-00;+00;"))</f>
        <v>+05…+05</v>
      </c>
      <c r="AD271" s="14" t="str">
        <f>IF(X271="","?","")</f>
        <v/>
      </c>
      <c r="AE271" s="15" t="str">
        <f>_xlfn.CONCAT(AA271,"…",TEXT(P271,"+00;-00;+00;"),"...",TEXT(Q271,"+00;-00;+00;"))</f>
        <v>311-302…+05...+05</v>
      </c>
      <c r="AF271" s="13" t="str">
        <f>_xlfn.CONCAT(R271,"…",TEXT(P271,"+00;-00;+00;"),"...",TEXT(Q271,"+00;-00;+00;"))</f>
        <v>WWWDL…+05...+05</v>
      </c>
    </row>
    <row r="272" spans="1:32" x14ac:dyDescent="0.25">
      <c r="A272" s="12" t="s">
        <v>593</v>
      </c>
      <c r="B272" s="13" t="s">
        <v>339</v>
      </c>
      <c r="C272" s="14">
        <v>1</v>
      </c>
      <c r="D272" s="13" t="s">
        <v>353</v>
      </c>
      <c r="E272" s="13" t="s">
        <v>356</v>
      </c>
      <c r="F272" s="15" t="s">
        <v>29</v>
      </c>
      <c r="G272" s="15" t="s">
        <v>29</v>
      </c>
      <c r="H272" s="15" t="s">
        <v>29</v>
      </c>
      <c r="I272" s="15" t="s">
        <v>30</v>
      </c>
      <c r="J272" s="15" t="s">
        <v>31</v>
      </c>
      <c r="K272" s="15" t="s">
        <v>31</v>
      </c>
      <c r="L272" s="15" t="s">
        <v>31</v>
      </c>
      <c r="M272" s="15" t="s">
        <v>30</v>
      </c>
      <c r="N272" s="15" t="s">
        <v>30</v>
      </c>
      <c r="O272" s="15" t="s">
        <v>31</v>
      </c>
      <c r="P272" s="16">
        <v>11</v>
      </c>
      <c r="Q272" s="16">
        <v>-11</v>
      </c>
      <c r="R272" s="13" t="str">
        <f>_xlfn.CONCAT(F272,G272,H272,I272,J272)</f>
        <v>DDDWL</v>
      </c>
      <c r="S272" s="13" t="str">
        <f>_xlfn.CONCAT(K272,L272,M272,N272,O272)</f>
        <v>LLWWL</v>
      </c>
      <c r="T272" s="13" t="str">
        <f>_xlfn.CONCAT(R272,"***",S272)</f>
        <v>DDDWL***LLWWL</v>
      </c>
      <c r="U272" s="19">
        <f>(P272-Q272)</f>
        <v>22</v>
      </c>
      <c r="V272" s="14">
        <v>2</v>
      </c>
      <c r="W272" s="14">
        <v>3</v>
      </c>
      <c r="X272" s="20" t="str">
        <f>IF(ISBLANK(V272),"",IF(V272&gt;W272,"1",IF(V272&lt;W272,"2",IF(V272=W272,"X"))))</f>
        <v>2</v>
      </c>
      <c r="Y272" s="23" t="str">
        <f>COUNTIF(F272:J272, "W")&amp;COUNTIF(F272:J272, "d")&amp;COUNTIF(F272:J272, "l")</f>
        <v>131</v>
      </c>
      <c r="Z272" s="13" t="str">
        <f>COUNTIF(K272:O272, "W")&amp;COUNTIF(K272:O272, "d")&amp;COUNTIF(K272:O272, "l")</f>
        <v>203</v>
      </c>
      <c r="AA272" s="23" t="str">
        <f>_xlfn.CONCAT(Y272,"-",Z272)</f>
        <v>131-203</v>
      </c>
      <c r="AB272" s="15" t="str">
        <f>_xlfn.CONCAT(AA272,"…",TEXT(U272,"+00;-00;+00;"))</f>
        <v>131-203…+22</v>
      </c>
      <c r="AC272" s="23" t="str">
        <f>_xlfn.CONCAT(TEXT(P272,"+00;-00;+00;"),"…",TEXT(Q272,"+00;-00;+00;"))</f>
        <v>+11…-11</v>
      </c>
      <c r="AD272" s="14" t="str">
        <f>IF(X272="","?","")</f>
        <v/>
      </c>
      <c r="AE272" s="15" t="str">
        <f>_xlfn.CONCAT(AA272,"…",TEXT(P272,"+00;-00;+00;"),"...",TEXT(Q272,"+00;-00;+00;"))</f>
        <v>131-203…+11...-11</v>
      </c>
      <c r="AF272" s="13" t="str">
        <f>_xlfn.CONCAT(R272,"…",TEXT(P272,"+00;-00;+00;"),"...",TEXT(Q272,"+00;-00;+00;"))</f>
        <v>DDDWL…+11...-11</v>
      </c>
    </row>
    <row r="273" spans="1:32" x14ac:dyDescent="0.25">
      <c r="A273" s="12" t="s">
        <v>593</v>
      </c>
      <c r="B273" s="13" t="s">
        <v>339</v>
      </c>
      <c r="C273" s="14">
        <v>1</v>
      </c>
      <c r="D273" s="13" t="s">
        <v>361</v>
      </c>
      <c r="E273" s="13" t="s">
        <v>350</v>
      </c>
      <c r="F273" s="15" t="s">
        <v>31</v>
      </c>
      <c r="G273" s="15" t="s">
        <v>30</v>
      </c>
      <c r="H273" s="15" t="s">
        <v>30</v>
      </c>
      <c r="I273" s="15" t="s">
        <v>31</v>
      </c>
      <c r="J273" s="15" t="s">
        <v>30</v>
      </c>
      <c r="K273" s="15" t="s">
        <v>30</v>
      </c>
      <c r="L273" s="15" t="s">
        <v>31</v>
      </c>
      <c r="M273" s="15" t="s">
        <v>30</v>
      </c>
      <c r="N273" s="15" t="s">
        <v>30</v>
      </c>
      <c r="O273" s="15" t="s">
        <v>30</v>
      </c>
      <c r="P273" s="16">
        <v>-13</v>
      </c>
      <c r="Q273" s="16">
        <v>18</v>
      </c>
      <c r="R273" s="13" t="str">
        <f>_xlfn.CONCAT(F273,G273,H273,I273,J273)</f>
        <v>LWWLW</v>
      </c>
      <c r="S273" s="13" t="str">
        <f>_xlfn.CONCAT(K273,L273,M273,N273,O273)</f>
        <v>WLWWW</v>
      </c>
      <c r="T273" s="13" t="str">
        <f>_xlfn.CONCAT(R273,"***",S273)</f>
        <v>LWWLW***WLWWW</v>
      </c>
      <c r="U273" s="19">
        <f>(P273-Q273)</f>
        <v>-31</v>
      </c>
      <c r="V273" s="14">
        <v>0</v>
      </c>
      <c r="W273" s="14">
        <v>2</v>
      </c>
      <c r="X273" s="20" t="str">
        <f>IF(ISBLANK(V273),"",IF(V273&gt;W273,"1",IF(V273&lt;W273,"2",IF(V273=W273,"X"))))</f>
        <v>2</v>
      </c>
      <c r="Y273" s="23" t="str">
        <f>COUNTIF(F273:J273, "W")&amp;COUNTIF(F273:J273, "d")&amp;COUNTIF(F273:J273, "l")</f>
        <v>302</v>
      </c>
      <c r="Z273" s="13" t="str">
        <f>COUNTIF(K273:O273, "W")&amp;COUNTIF(K273:O273, "d")&amp;COUNTIF(K273:O273, "l")</f>
        <v>401</v>
      </c>
      <c r="AA273" s="23" t="str">
        <f>_xlfn.CONCAT(Y273,"-",Z273)</f>
        <v>302-401</v>
      </c>
      <c r="AB273" s="15" t="str">
        <f>_xlfn.CONCAT(AA273,"…",TEXT(U273,"+00;-00;+00;"))</f>
        <v>302-401…-31</v>
      </c>
      <c r="AC273" s="23" t="str">
        <f>_xlfn.CONCAT(TEXT(P273,"+00;-00;+00;"),"…",TEXT(Q273,"+00;-00;+00;"))</f>
        <v>-13…+18</v>
      </c>
      <c r="AD273" s="14" t="str">
        <f>IF(X273="","?","")</f>
        <v/>
      </c>
      <c r="AE273" s="15" t="str">
        <f>_xlfn.CONCAT(AA273,"…",TEXT(P273,"+00;-00;+00;"),"...",TEXT(Q273,"+00;-00;+00;"))</f>
        <v>302-401…-13...+18</v>
      </c>
      <c r="AF273" s="13" t="str">
        <f>_xlfn.CONCAT(R273,"…",TEXT(P273,"+00;-00;+00;"),"...",TEXT(Q273,"+00;-00;+00;"))</f>
        <v>LWWLW…-13...+18</v>
      </c>
    </row>
    <row r="274" spans="1:32" x14ac:dyDescent="0.25">
      <c r="A274" s="12" t="s">
        <v>593</v>
      </c>
      <c r="B274" s="13" t="s">
        <v>167</v>
      </c>
      <c r="C274" s="14">
        <v>1</v>
      </c>
      <c r="D274" s="13" t="s">
        <v>172</v>
      </c>
      <c r="E274" s="13" t="s">
        <v>185</v>
      </c>
      <c r="F274" s="13" t="s">
        <v>30</v>
      </c>
      <c r="G274" s="13" t="s">
        <v>30</v>
      </c>
      <c r="H274" s="13" t="s">
        <v>29</v>
      </c>
      <c r="I274" s="13" t="s">
        <v>30</v>
      </c>
      <c r="J274" s="13" t="s">
        <v>29</v>
      </c>
      <c r="K274" s="13" t="s">
        <v>31</v>
      </c>
      <c r="L274" s="13" t="s">
        <v>30</v>
      </c>
      <c r="M274" s="13" t="s">
        <v>29</v>
      </c>
      <c r="N274" s="13" t="s">
        <v>31</v>
      </c>
      <c r="O274" s="13" t="s">
        <v>29</v>
      </c>
      <c r="P274" s="16">
        <v>3</v>
      </c>
      <c r="Q274" s="16">
        <v>-12</v>
      </c>
      <c r="R274" s="13" t="str">
        <f>_xlfn.CONCAT(F274,G274,H274,I274,J274)</f>
        <v>WWDWD</v>
      </c>
      <c r="S274" s="13" t="str">
        <f>_xlfn.CONCAT(K274,L274,M274,N274,O274)</f>
        <v>LWDLD</v>
      </c>
      <c r="T274" s="13" t="str">
        <f>_xlfn.CONCAT(R274,"***",S274)</f>
        <v>WWDWD***LWDLD</v>
      </c>
      <c r="U274" s="21">
        <f>(P274-Q274)</f>
        <v>15</v>
      </c>
      <c r="V274" s="14">
        <v>3</v>
      </c>
      <c r="W274" s="14">
        <v>2</v>
      </c>
      <c r="X274" s="20" t="str">
        <f>IF(ISBLANK(V274),"",IF(V274&gt;W274,"1",IF(V274&lt;W274,"2",IF(V274=W274,"X"))))</f>
        <v>1</v>
      </c>
      <c r="Y274" s="23" t="str">
        <f>COUNTIF(F274:J274, "W")&amp;COUNTIF(F274:J274, "d")&amp;COUNTIF(F274:J274, "l")</f>
        <v>320</v>
      </c>
      <c r="Z274" s="13" t="str">
        <f>COUNTIF(K274:O274, "W")&amp;COUNTIF(K274:O274, "d")&amp;COUNTIF(K274:O274, "l")</f>
        <v>122</v>
      </c>
      <c r="AA274" s="23" t="str">
        <f>_xlfn.CONCAT(Y274,"-",Z274)</f>
        <v>320-122</v>
      </c>
      <c r="AB274" s="13" t="str">
        <f>_xlfn.CONCAT(AA274,"…",TEXT(U274,"+00;-00;+00;"))</f>
        <v>320-122…+15</v>
      </c>
      <c r="AC274" s="23" t="str">
        <f>_xlfn.CONCAT(TEXT(P274,"+00;-00;+00;"),"…",TEXT(Q274,"+00;-00;+00;"))</f>
        <v>+03…-12</v>
      </c>
      <c r="AD274" s="14" t="str">
        <f>IF(X274="","?","")</f>
        <v/>
      </c>
      <c r="AE274" s="15" t="str">
        <f>_xlfn.CONCAT(AA274,"…",TEXT(P274,"+00;-00;+00;"),"...",TEXT(Q274,"+00;-00;+00;"))</f>
        <v>320-122…+03...-12</v>
      </c>
      <c r="AF274" s="13" t="str">
        <f>_xlfn.CONCAT(R274,"…",TEXT(P274,"+00;-00;+00;"),"...",TEXT(Q274,"+00;-00;+00;"))</f>
        <v>WWDWD…+03...-12</v>
      </c>
    </row>
    <row r="275" spans="1:32" x14ac:dyDescent="0.25">
      <c r="A275" s="12" t="s">
        <v>835</v>
      </c>
      <c r="B275" s="13" t="s">
        <v>414</v>
      </c>
      <c r="C275" s="14">
        <v>1</v>
      </c>
      <c r="D275" s="13" t="s">
        <v>836</v>
      </c>
      <c r="E275" s="13" t="s">
        <v>837</v>
      </c>
      <c r="F275" s="13" t="s">
        <v>30</v>
      </c>
      <c r="G275" s="13" t="s">
        <v>30</v>
      </c>
      <c r="H275" s="13" t="s">
        <v>29</v>
      </c>
      <c r="I275" s="13" t="s">
        <v>31</v>
      </c>
      <c r="J275" s="13" t="s">
        <v>29</v>
      </c>
      <c r="K275" s="13" t="s">
        <v>31</v>
      </c>
      <c r="L275" s="13" t="s">
        <v>29</v>
      </c>
      <c r="M275" s="13" t="s">
        <v>31</v>
      </c>
      <c r="N275" s="13" t="s">
        <v>30</v>
      </c>
      <c r="O275" s="13" t="s">
        <v>29</v>
      </c>
      <c r="P275" s="16">
        <v>0</v>
      </c>
      <c r="Q275" s="16">
        <v>-2</v>
      </c>
      <c r="R275" s="13" t="str">
        <f>_xlfn.CONCAT(F275,G275,H275,I275,J275)</f>
        <v>WWDLD</v>
      </c>
      <c r="S275" s="13" t="str">
        <f>_xlfn.CONCAT(K275,L275,M275,N275,O275)</f>
        <v>LDLWD</v>
      </c>
      <c r="T275" s="13" t="str">
        <f>_xlfn.CONCAT(R275,"***",S275)</f>
        <v>WWDLD***LDLWD</v>
      </c>
      <c r="U275" s="21">
        <f>(P275-Q275)</f>
        <v>2</v>
      </c>
      <c r="V275" s="14">
        <v>0</v>
      </c>
      <c r="W275" s="14">
        <v>3</v>
      </c>
      <c r="X275" s="20" t="str">
        <f>IF(ISBLANK(V275),"",IF(V275&gt;W275,"1",IF(V275&lt;W275,"2",IF(V275=W275,"X"))))</f>
        <v>2</v>
      </c>
      <c r="Y275" s="23" t="str">
        <f>COUNTIF(F275:J275, "W")&amp;COUNTIF(F275:J275, "d")&amp;COUNTIF(F275:J275, "l")</f>
        <v>221</v>
      </c>
      <c r="Z275" s="13" t="str">
        <f>COUNTIF(K275:O275, "W")&amp;COUNTIF(K275:O275, "d")&amp;COUNTIF(K275:O275, "l")</f>
        <v>122</v>
      </c>
      <c r="AA275" s="23" t="str">
        <f>_xlfn.CONCAT(Y275,"-",Z275)</f>
        <v>221-122</v>
      </c>
      <c r="AB275" s="13" t="str">
        <f>_xlfn.CONCAT(AA275,"…",TEXT(U275,"+00;-00;+00;"))</f>
        <v>221-122…+02</v>
      </c>
      <c r="AC275" s="23" t="str">
        <f>_xlfn.CONCAT(TEXT(P275,"+00;-00;+00;"),"…",TEXT(Q275,"+00;-00;+00;"))</f>
        <v>+00…-02</v>
      </c>
      <c r="AD275" s="14" t="str">
        <f>IF(X275="","?","")</f>
        <v/>
      </c>
      <c r="AE275" s="15" t="str">
        <f>_xlfn.CONCAT(AA275,"…",TEXT(P275,"+00;-00;+00;"),"...",TEXT(Q275,"+00;-00;+00;"))</f>
        <v>221-122…+00...-02</v>
      </c>
      <c r="AF275" s="13" t="str">
        <f>_xlfn.CONCAT(R275,"…",TEXT(P275,"+00;-00;+00;"),"...",TEXT(Q275,"+00;-00;+00;"))</f>
        <v>WWDLD…+00...-02</v>
      </c>
    </row>
    <row r="276" spans="1:32" x14ac:dyDescent="0.25">
      <c r="A276" s="12" t="s">
        <v>625</v>
      </c>
      <c r="B276" s="13" t="s">
        <v>117</v>
      </c>
      <c r="C276" s="14" t="s">
        <v>0</v>
      </c>
      <c r="D276" s="13" t="s">
        <v>127</v>
      </c>
      <c r="E276" s="13" t="s">
        <v>633</v>
      </c>
      <c r="F276" s="15" t="s">
        <v>31</v>
      </c>
      <c r="G276" s="15" t="s">
        <v>29</v>
      </c>
      <c r="H276" s="15" t="s">
        <v>31</v>
      </c>
      <c r="I276" s="15" t="s">
        <v>30</v>
      </c>
      <c r="J276" s="15" t="s">
        <v>30</v>
      </c>
      <c r="K276" s="15" t="s">
        <v>29</v>
      </c>
      <c r="L276" s="15" t="s">
        <v>31</v>
      </c>
      <c r="M276" s="15" t="s">
        <v>30</v>
      </c>
      <c r="N276" s="15" t="s">
        <v>30</v>
      </c>
      <c r="O276" s="15" t="s">
        <v>29</v>
      </c>
      <c r="P276" s="16">
        <v>-1</v>
      </c>
      <c r="Q276" s="16">
        <v>-12</v>
      </c>
      <c r="R276" s="13" t="str">
        <f>_xlfn.CONCAT(F276,G276,H276,I276,J276)</f>
        <v>LDLWW</v>
      </c>
      <c r="S276" s="13" t="str">
        <f>_xlfn.CONCAT(K276,L276,M276,N276,O276)</f>
        <v>DLWWD</v>
      </c>
      <c r="T276" s="13" t="str">
        <f>_xlfn.CONCAT(R276,"***",S276)</f>
        <v>LDLWW***DLWWD</v>
      </c>
      <c r="U276" s="19">
        <f>(P276-Q276)</f>
        <v>11</v>
      </c>
      <c r="V276" s="14">
        <v>1</v>
      </c>
      <c r="W276" s="14">
        <v>0</v>
      </c>
      <c r="X276" s="20" t="str">
        <f>IF(ISBLANK(V276),"",IF(V276&gt;W276,"1",IF(V276&lt;W276,"2",IF(V276=W276,"X"))))</f>
        <v>1</v>
      </c>
      <c r="Y276" s="23" t="str">
        <f>COUNTIF(F276:J276, "W")&amp;COUNTIF(F276:J276, "d")&amp;COUNTIF(F276:J276, "l")</f>
        <v>212</v>
      </c>
      <c r="Z276" s="13" t="str">
        <f>COUNTIF(K276:O276, "W")&amp;COUNTIF(K276:O276, "d")&amp;COUNTIF(K276:O276, "l")</f>
        <v>221</v>
      </c>
      <c r="AA276" s="23" t="str">
        <f>_xlfn.CONCAT(Y276,"-",Z276)</f>
        <v>212-221</v>
      </c>
      <c r="AB276" s="15" t="str">
        <f>_xlfn.CONCAT(AA276,"…",TEXT(U276,"+00;-00;+00;"))</f>
        <v>212-221…+11</v>
      </c>
      <c r="AC276" s="23" t="str">
        <f>_xlfn.CONCAT(TEXT(P276,"+00;-00;+00;"),"…",TEXT(Q276,"+00;-00;+00;"))</f>
        <v>-01…-12</v>
      </c>
      <c r="AD276" s="14" t="str">
        <f>IF(X276="","?","")</f>
        <v/>
      </c>
      <c r="AE276" s="15" t="str">
        <f>_xlfn.CONCAT(AA276,"…",TEXT(P276,"+00;-00;+00;"),"...",TEXT(Q276,"+00;-00;+00;"))</f>
        <v>212-221…-01...-12</v>
      </c>
      <c r="AF276" s="13" t="str">
        <f>_xlfn.CONCAT(R276,"…",TEXT(P276,"+00;-00;+00;"),"...",TEXT(Q276,"+00;-00;+00;"))</f>
        <v>LDLWW…-01...-12</v>
      </c>
    </row>
    <row r="277" spans="1:32" x14ac:dyDescent="0.25">
      <c r="A277" s="12" t="s">
        <v>754</v>
      </c>
      <c r="B277" s="13" t="s">
        <v>318</v>
      </c>
      <c r="C277" s="14">
        <v>1</v>
      </c>
      <c r="D277" s="13" t="s">
        <v>325</v>
      </c>
      <c r="E277" s="13" t="s">
        <v>337</v>
      </c>
      <c r="F277" s="13" t="s">
        <v>31</v>
      </c>
      <c r="G277" s="13" t="s">
        <v>31</v>
      </c>
      <c r="H277" s="13" t="s">
        <v>29</v>
      </c>
      <c r="I277" s="13" t="s">
        <v>30</v>
      </c>
      <c r="J277" s="13" t="s">
        <v>31</v>
      </c>
      <c r="K277" s="13" t="s">
        <v>31</v>
      </c>
      <c r="L277" s="13" t="s">
        <v>31</v>
      </c>
      <c r="M277" s="13" t="s">
        <v>29</v>
      </c>
      <c r="N277" s="13" t="s">
        <v>31</v>
      </c>
      <c r="O277" s="13" t="s">
        <v>30</v>
      </c>
      <c r="P277" s="16">
        <v>-14</v>
      </c>
      <c r="Q277" s="16">
        <v>-22</v>
      </c>
      <c r="R277" s="13" t="str">
        <f>_xlfn.CONCAT(F277,G277,H277,I277,J277)</f>
        <v>LLDWL</v>
      </c>
      <c r="S277" s="13" t="str">
        <f>_xlfn.CONCAT(K277,L277,M277,N277,O277)</f>
        <v>LLDLW</v>
      </c>
      <c r="T277" s="13" t="str">
        <f>_xlfn.CONCAT(R277,"***",S277)</f>
        <v>LLDWL***LLDLW</v>
      </c>
      <c r="U277" s="21">
        <f>(P277-Q277)</f>
        <v>8</v>
      </c>
      <c r="V277" s="14">
        <v>1</v>
      </c>
      <c r="W277" s="14">
        <v>1</v>
      </c>
      <c r="X277" s="20" t="str">
        <f>IF(ISBLANK(V277),"",IF(V277&gt;W277,"1",IF(V277&lt;W277,"2",IF(V277=W277,"X"))))</f>
        <v>X</v>
      </c>
      <c r="Y277" s="23" t="str">
        <f>COUNTIF(F277:J277, "W")&amp;COUNTIF(F277:J277, "d")&amp;COUNTIF(F277:J277, "l")</f>
        <v>113</v>
      </c>
      <c r="Z277" s="13" t="str">
        <f>COUNTIF(K277:O277, "W")&amp;COUNTIF(K277:O277, "d")&amp;COUNTIF(K277:O277, "l")</f>
        <v>113</v>
      </c>
      <c r="AA277" s="23" t="str">
        <f>_xlfn.CONCAT(Y277,"-",Z277)</f>
        <v>113-113</v>
      </c>
      <c r="AB277" s="13" t="str">
        <f>_xlfn.CONCAT(AA277,"…",TEXT(U277,"+00;-00;+00;"))</f>
        <v>113-113…+08</v>
      </c>
      <c r="AC277" s="23" t="str">
        <f>_xlfn.CONCAT(TEXT(P277,"+00;-00;+00;"),"…",TEXT(Q277,"+00;-00;+00;"))</f>
        <v>-14…-22</v>
      </c>
      <c r="AD277" s="14" t="str">
        <f>IF(X277="","?","")</f>
        <v/>
      </c>
      <c r="AE277" s="15" t="str">
        <f>_xlfn.CONCAT(AA277,"…",TEXT(P277,"+00;-00;+00;"),"...",TEXT(Q277,"+00;-00;+00;"))</f>
        <v>113-113…-14...-22</v>
      </c>
      <c r="AF277" s="13" t="str">
        <f>_xlfn.CONCAT(R277,"…",TEXT(P277,"+00;-00;+00;"),"...",TEXT(Q277,"+00;-00;+00;"))</f>
        <v>LLDWL…-14...-22</v>
      </c>
    </row>
    <row r="278" spans="1:32" x14ac:dyDescent="0.25">
      <c r="A278" s="17" t="s">
        <v>562</v>
      </c>
      <c r="B278" s="15" t="s">
        <v>59</v>
      </c>
      <c r="C278" s="14">
        <v>2</v>
      </c>
      <c r="D278" s="13" t="s">
        <v>741</v>
      </c>
      <c r="E278" s="13" t="s">
        <v>742</v>
      </c>
      <c r="F278" s="13" t="s">
        <v>31</v>
      </c>
      <c r="G278" s="13" t="s">
        <v>31</v>
      </c>
      <c r="H278" s="13" t="s">
        <v>31</v>
      </c>
      <c r="I278" s="13" t="s">
        <v>29</v>
      </c>
      <c r="J278" s="13" t="s">
        <v>29</v>
      </c>
      <c r="K278" s="13" t="s">
        <v>29</v>
      </c>
      <c r="L278" s="13" t="s">
        <v>29</v>
      </c>
      <c r="M278" s="13" t="s">
        <v>30</v>
      </c>
      <c r="N278" s="13" t="s">
        <v>30</v>
      </c>
      <c r="O278" s="13" t="s">
        <v>30</v>
      </c>
      <c r="P278" s="16">
        <v>-1</v>
      </c>
      <c r="Q278" s="16">
        <v>19</v>
      </c>
      <c r="R278" s="13" t="str">
        <f>_xlfn.CONCAT(F278,G278,H278,I278,J278)</f>
        <v>LLLDD</v>
      </c>
      <c r="S278" s="13" t="str">
        <f>_xlfn.CONCAT(K278,L278,M278,N278,O278)</f>
        <v>DDWWW</v>
      </c>
      <c r="T278" s="13" t="str">
        <f>_xlfn.CONCAT(R278,"***",S278)</f>
        <v>LLLDD***DDWWW</v>
      </c>
      <c r="U278" s="21">
        <f>(P278-Q278)</f>
        <v>-20</v>
      </c>
      <c r="V278" s="14">
        <v>1</v>
      </c>
      <c r="W278" s="14">
        <v>0</v>
      </c>
      <c r="X278" s="20" t="str">
        <f>IF(ISBLANK(V278),"",IF(V278&gt;W278,"1",IF(V278&lt;W278,"2",IF(V278=W278,"X"))))</f>
        <v>1</v>
      </c>
      <c r="Y278" s="23" t="str">
        <f>COUNTIF(F278:J278, "W")&amp;COUNTIF(F278:J278, "d")&amp;COUNTIF(F278:J278, "l")</f>
        <v>023</v>
      </c>
      <c r="Z278" s="13" t="str">
        <f>COUNTIF(K278:O278, "W")&amp;COUNTIF(K278:O278, "d")&amp;COUNTIF(K278:O278, "l")</f>
        <v>320</v>
      </c>
      <c r="AA278" s="23" t="str">
        <f>_xlfn.CONCAT(Y278,"-",Z278)</f>
        <v>023-320</v>
      </c>
      <c r="AB278" s="13" t="str">
        <f>_xlfn.CONCAT(AA278,"…",TEXT(U278,"+00;-00;+00;"))</f>
        <v>023-320…-20</v>
      </c>
      <c r="AC278" s="23" t="str">
        <f>_xlfn.CONCAT(TEXT(P278,"+00;-00;+00;"),"…",TEXT(Q278,"+00;-00;+00;"))</f>
        <v>-01…+19</v>
      </c>
      <c r="AD278" s="14" t="str">
        <f>IF(X278="","?","")</f>
        <v/>
      </c>
      <c r="AE278" s="15" t="str">
        <f>_xlfn.CONCAT(AA278,"…",TEXT(P278,"+00;-00;+00;"),"...",TEXT(Q278,"+00;-00;+00;"))</f>
        <v>023-320…-01...+19</v>
      </c>
      <c r="AF278" s="13" t="str">
        <f>_xlfn.CONCAT(R278,"…",TEXT(P278,"+00;-00;+00;"),"...",TEXT(Q278,"+00;-00;+00;"))</f>
        <v>LLLDD…-01...+19</v>
      </c>
    </row>
    <row r="279" spans="1:32" x14ac:dyDescent="0.25">
      <c r="A279" s="12" t="s">
        <v>562</v>
      </c>
      <c r="B279" s="13" t="s">
        <v>208</v>
      </c>
      <c r="C279" s="14">
        <v>1</v>
      </c>
      <c r="D279" s="13" t="s">
        <v>572</v>
      </c>
      <c r="E279" s="13" t="s">
        <v>575</v>
      </c>
      <c r="F279" s="15" t="s">
        <v>30</v>
      </c>
      <c r="G279" s="15" t="s">
        <v>30</v>
      </c>
      <c r="H279" s="15" t="s">
        <v>31</v>
      </c>
      <c r="I279" s="15" t="s">
        <v>31</v>
      </c>
      <c r="J279" s="15" t="s">
        <v>30</v>
      </c>
      <c r="K279" s="15" t="s">
        <v>31</v>
      </c>
      <c r="L279" s="15" t="s">
        <v>29</v>
      </c>
      <c r="M279" s="15" t="s">
        <v>29</v>
      </c>
      <c r="N279" s="15" t="s">
        <v>30</v>
      </c>
      <c r="O279" s="15" t="s">
        <v>31</v>
      </c>
      <c r="P279" s="16">
        <v>16</v>
      </c>
      <c r="Q279" s="16">
        <v>-7</v>
      </c>
      <c r="R279" s="13" t="str">
        <f>_xlfn.CONCAT(F279,G279,H279,I279,J279)</f>
        <v>WWLLW</v>
      </c>
      <c r="S279" s="13" t="str">
        <f>_xlfn.CONCAT(K279,L279,M279,N279,O279)</f>
        <v>LDDWL</v>
      </c>
      <c r="T279" s="13" t="str">
        <f>_xlfn.CONCAT(R279,"***",S279)</f>
        <v>WWLLW***LDDWL</v>
      </c>
      <c r="U279" s="19">
        <f>(P279-Q279)</f>
        <v>23</v>
      </c>
      <c r="V279" s="14">
        <v>2</v>
      </c>
      <c r="W279" s="14">
        <v>0</v>
      </c>
      <c r="X279" s="20" t="str">
        <f>IF(ISBLANK(V279),"",IF(V279&gt;W279,"1",IF(V279&lt;W279,"2",IF(V279=W279,"X"))))</f>
        <v>1</v>
      </c>
      <c r="Y279" s="23" t="str">
        <f>COUNTIF(F279:J279, "W")&amp;COUNTIF(F279:J279, "d")&amp;COUNTIF(F279:J279, "l")</f>
        <v>302</v>
      </c>
      <c r="Z279" s="13" t="str">
        <f>COUNTIF(K279:O279, "W")&amp;COUNTIF(K279:O279, "d")&amp;COUNTIF(K279:O279, "l")</f>
        <v>122</v>
      </c>
      <c r="AA279" s="23" t="str">
        <f>_xlfn.CONCAT(Y279,"-",Z279)</f>
        <v>302-122</v>
      </c>
      <c r="AB279" s="15" t="str">
        <f>_xlfn.CONCAT(AA279,"…",TEXT(U279,"+00;-00;+00;"))</f>
        <v>302-122…+23</v>
      </c>
      <c r="AC279" s="23" t="str">
        <f>_xlfn.CONCAT(TEXT(P279,"+00;-00;+00;"),"…",TEXT(Q279,"+00;-00;+00;"))</f>
        <v>+16…-07</v>
      </c>
      <c r="AD279" s="14" t="str">
        <f>IF(X279="","?","")</f>
        <v/>
      </c>
      <c r="AE279" s="15" t="str">
        <f>_xlfn.CONCAT(AA279,"…",TEXT(P279,"+00;-00;+00;"),"...",TEXT(Q279,"+00;-00;+00;"))</f>
        <v>302-122…+16...-07</v>
      </c>
      <c r="AF279" s="13" t="str">
        <f>_xlfn.CONCAT(R279,"…",TEXT(P279,"+00;-00;+00;"),"...",TEXT(Q279,"+00;-00;+00;"))</f>
        <v>WWLLW…+16...-07</v>
      </c>
    </row>
    <row r="280" spans="1:32" x14ac:dyDescent="0.25">
      <c r="A280" s="12" t="s">
        <v>562</v>
      </c>
      <c r="B280" s="13" t="s">
        <v>7</v>
      </c>
      <c r="C280" s="14" t="s">
        <v>8</v>
      </c>
      <c r="D280" s="13" t="s">
        <v>615</v>
      </c>
      <c r="E280" s="13" t="s">
        <v>614</v>
      </c>
      <c r="F280" s="15" t="s">
        <v>30</v>
      </c>
      <c r="G280" s="15" t="s">
        <v>31</v>
      </c>
      <c r="H280" s="15" t="s">
        <v>30</v>
      </c>
      <c r="I280" s="15" t="s">
        <v>29</v>
      </c>
      <c r="J280" s="15" t="s">
        <v>30</v>
      </c>
      <c r="K280" s="15" t="s">
        <v>30</v>
      </c>
      <c r="L280" s="15" t="s">
        <v>30</v>
      </c>
      <c r="M280" s="15" t="s">
        <v>30</v>
      </c>
      <c r="N280" s="15" t="s">
        <v>31</v>
      </c>
      <c r="O280" s="15" t="s">
        <v>30</v>
      </c>
      <c r="P280" s="16">
        <v>17</v>
      </c>
      <c r="Q280" s="16">
        <v>0</v>
      </c>
      <c r="R280" s="13" t="str">
        <f>_xlfn.CONCAT(F280,G280,H280,I280,J280)</f>
        <v>WLWDW</v>
      </c>
      <c r="S280" s="13" t="str">
        <f>_xlfn.CONCAT(K280,L280,M280,N280,O280)</f>
        <v>WWWLW</v>
      </c>
      <c r="T280" s="13" t="str">
        <f>_xlfn.CONCAT(R280,"***",S280)</f>
        <v>WLWDW***WWWLW</v>
      </c>
      <c r="U280" s="19">
        <f>(P280-Q280)</f>
        <v>17</v>
      </c>
      <c r="V280" s="14">
        <v>1</v>
      </c>
      <c r="W280" s="14">
        <v>0</v>
      </c>
      <c r="X280" s="20" t="str">
        <f>IF(ISBLANK(V280),"",IF(V280&gt;W280,"1",IF(V280&lt;W280,"2",IF(V280=W280,"X"))))</f>
        <v>1</v>
      </c>
      <c r="Y280" s="23" t="str">
        <f>COUNTIF(F280:J280, "W")&amp;COUNTIF(F280:J280, "d")&amp;COUNTIF(F280:J280, "l")</f>
        <v>311</v>
      </c>
      <c r="Z280" s="13" t="str">
        <f>COUNTIF(K280:O280, "W")&amp;COUNTIF(K280:O280, "d")&amp;COUNTIF(K280:O280, "l")</f>
        <v>401</v>
      </c>
      <c r="AA280" s="23" t="str">
        <f>_xlfn.CONCAT(Y280,"-",Z280)</f>
        <v>311-401</v>
      </c>
      <c r="AB280" s="15" t="str">
        <f>_xlfn.CONCAT(AA280,"…",TEXT(U280,"+00;-00;+00;"))</f>
        <v>311-401…+17</v>
      </c>
      <c r="AC280" s="23" t="str">
        <f>_xlfn.CONCAT(TEXT(P280,"+00;-00;+00;"),"…",TEXT(Q280,"+00;-00;+00;"))</f>
        <v>+17…+00</v>
      </c>
      <c r="AD280" s="14" t="str">
        <f>IF(X280="","?","")</f>
        <v/>
      </c>
      <c r="AE280" s="15" t="str">
        <f>_xlfn.CONCAT(AA280,"…",TEXT(P280,"+00;-00;+00;"),"...",TEXT(Q280,"+00;-00;+00;"))</f>
        <v>311-401…+17...+00</v>
      </c>
      <c r="AF280" s="13" t="str">
        <f>_xlfn.CONCAT(R280,"…",TEXT(P280,"+00;-00;+00;"),"...",TEXT(Q280,"+00;-00;+00;"))</f>
        <v>WLWDW…+17...+00</v>
      </c>
    </row>
    <row r="281" spans="1:32" x14ac:dyDescent="0.25">
      <c r="A281" s="12" t="s">
        <v>562</v>
      </c>
      <c r="B281" s="13" t="s">
        <v>59</v>
      </c>
      <c r="C281" s="14">
        <v>1</v>
      </c>
      <c r="D281" s="13" t="s">
        <v>82</v>
      </c>
      <c r="E281" s="13" t="s">
        <v>727</v>
      </c>
      <c r="F281" s="13" t="s">
        <v>30</v>
      </c>
      <c r="G281" s="13" t="s">
        <v>30</v>
      </c>
      <c r="H281" s="13" t="s">
        <v>29</v>
      </c>
      <c r="I281" s="13" t="s">
        <v>30</v>
      </c>
      <c r="J281" s="13" t="s">
        <v>29</v>
      </c>
      <c r="K281" s="13" t="s">
        <v>31</v>
      </c>
      <c r="L281" s="13" t="s">
        <v>29</v>
      </c>
      <c r="M281" s="13" t="s">
        <v>31</v>
      </c>
      <c r="N281" s="13" t="s">
        <v>31</v>
      </c>
      <c r="O281" s="13" t="s">
        <v>31</v>
      </c>
      <c r="P281" s="16">
        <v>22</v>
      </c>
      <c r="Q281" s="16">
        <v>-14</v>
      </c>
      <c r="R281" s="13" t="str">
        <f>_xlfn.CONCAT(F281,G281,H281,I281,J281)</f>
        <v>WWDWD</v>
      </c>
      <c r="S281" s="13" t="str">
        <f>_xlfn.CONCAT(K281,L281,M281,N281,O281)</f>
        <v>LDLLL</v>
      </c>
      <c r="T281" s="13" t="str">
        <f>_xlfn.CONCAT(R281,"***",S281)</f>
        <v>WWDWD***LDLLL</v>
      </c>
      <c r="U281" s="21">
        <f>(P281-Q281)</f>
        <v>36</v>
      </c>
      <c r="V281" s="14">
        <v>2</v>
      </c>
      <c r="W281" s="14">
        <v>0</v>
      </c>
      <c r="X281" s="20" t="str">
        <f>IF(ISBLANK(V281),"",IF(V281&gt;W281,"1",IF(V281&lt;W281,"2",IF(V281=W281,"X"))))</f>
        <v>1</v>
      </c>
      <c r="Y281" s="23" t="str">
        <f>COUNTIF(F281:J281, "W")&amp;COUNTIF(F281:J281, "d")&amp;COUNTIF(F281:J281, "l")</f>
        <v>320</v>
      </c>
      <c r="Z281" s="13" t="str">
        <f>COUNTIF(K281:O281, "W")&amp;COUNTIF(K281:O281, "d")&amp;COUNTIF(K281:O281, "l")</f>
        <v>014</v>
      </c>
      <c r="AA281" s="23" t="str">
        <f>_xlfn.CONCAT(Y281,"-",Z281)</f>
        <v>320-014</v>
      </c>
      <c r="AB281" s="13" t="str">
        <f>_xlfn.CONCAT(AA281,"…",TEXT(U281,"+00;-00;+00;"))</f>
        <v>320-014…+36</v>
      </c>
      <c r="AC281" s="23" t="str">
        <f>_xlfn.CONCAT(TEXT(P281,"+00;-00;+00;"),"…",TEXT(Q281,"+00;-00;+00;"))</f>
        <v>+22…-14</v>
      </c>
      <c r="AD281" s="14" t="str">
        <f>IF(X281="","?","")</f>
        <v/>
      </c>
      <c r="AE281" s="15" t="str">
        <f>_xlfn.CONCAT(AA281,"…",TEXT(P281,"+00;-00;+00;"),"...",TEXT(Q281,"+00;-00;+00;"))</f>
        <v>320-014…+22...-14</v>
      </c>
      <c r="AF281" s="13" t="str">
        <f>_xlfn.CONCAT(R281,"…",TEXT(P281,"+00;-00;+00;"),"...",TEXT(Q281,"+00;-00;+00;"))</f>
        <v>WWDWD…+22...-14</v>
      </c>
    </row>
    <row r="282" spans="1:32" x14ac:dyDescent="0.25">
      <c r="A282" s="12" t="s">
        <v>680</v>
      </c>
      <c r="B282" s="13" t="s">
        <v>295</v>
      </c>
      <c r="C282" s="14">
        <v>1</v>
      </c>
      <c r="D282" s="13" t="s">
        <v>313</v>
      </c>
      <c r="E282" s="13" t="s">
        <v>684</v>
      </c>
      <c r="F282" s="13" t="s">
        <v>31</v>
      </c>
      <c r="G282" s="13" t="s">
        <v>31</v>
      </c>
      <c r="H282" s="13" t="s">
        <v>29</v>
      </c>
      <c r="I282" s="13" t="s">
        <v>31</v>
      </c>
      <c r="J282" s="13" t="s">
        <v>30</v>
      </c>
      <c r="K282" s="13" t="s">
        <v>31</v>
      </c>
      <c r="L282" s="13" t="s">
        <v>31</v>
      </c>
      <c r="M282" s="13" t="s">
        <v>30</v>
      </c>
      <c r="N282" s="13" t="s">
        <v>29</v>
      </c>
      <c r="O282" s="13" t="s">
        <v>30</v>
      </c>
      <c r="P282" s="16">
        <v>-16</v>
      </c>
      <c r="Q282" s="16">
        <v>-8</v>
      </c>
      <c r="R282" s="13" t="str">
        <f>_xlfn.CONCAT(F282,G282,H282,I282,J282)</f>
        <v>LLDLW</v>
      </c>
      <c r="S282" s="13" t="str">
        <f>_xlfn.CONCAT(K282,L282,M282,N282,O282)</f>
        <v>LLWDW</v>
      </c>
      <c r="T282" s="13" t="str">
        <f>_xlfn.CONCAT(R282,"***",S282)</f>
        <v>LLDLW***LLWDW</v>
      </c>
      <c r="U282" s="19">
        <f>(P282-Q282)</f>
        <v>-8</v>
      </c>
      <c r="V282" s="14">
        <v>0</v>
      </c>
      <c r="W282" s="14">
        <v>5</v>
      </c>
      <c r="X282" s="20" t="str">
        <f>IF(ISBLANK(V282),"",IF(V282&gt;W282,"1",IF(V282&lt;W282,"2",IF(V282=W282,"X"))))</f>
        <v>2</v>
      </c>
      <c r="Y282" s="23" t="str">
        <f>COUNTIF(F282:J282, "W")&amp;COUNTIF(F282:J282, "d")&amp;COUNTIF(F282:J282, "l")</f>
        <v>113</v>
      </c>
      <c r="Z282" s="13" t="str">
        <f>COUNTIF(K282:O282, "W")&amp;COUNTIF(K282:O282, "d")&amp;COUNTIF(K282:O282, "l")</f>
        <v>212</v>
      </c>
      <c r="AA282" s="23" t="str">
        <f>_xlfn.CONCAT(Y282,"-",Z282)</f>
        <v>113-212</v>
      </c>
      <c r="AB282" s="13" t="str">
        <f>_xlfn.CONCAT(AA282,"…",TEXT(U282,"+00;-00;+00;"))</f>
        <v>113-212…-08</v>
      </c>
      <c r="AC282" s="23" t="str">
        <f>_xlfn.CONCAT(TEXT(P282,"+00;-00;+00;"),"…",TEXT(Q282,"+00;-00;+00;"))</f>
        <v>-16…-08</v>
      </c>
      <c r="AD282" s="14" t="str">
        <f>IF(X282="","?","")</f>
        <v/>
      </c>
      <c r="AE282" s="15" t="str">
        <f>_xlfn.CONCAT(AA282,"…",TEXT(P282,"+00;-00;+00;"),"...",TEXT(Q282,"+00;-00;+00;"))</f>
        <v>113-212…-16...-08</v>
      </c>
      <c r="AF282" s="13" t="str">
        <f>_xlfn.CONCAT(R282,"…",TEXT(P282,"+00;-00;+00;"),"...",TEXT(Q282,"+00;-00;+00;"))</f>
        <v>LLDLW…-16...-08</v>
      </c>
    </row>
    <row r="283" spans="1:32" x14ac:dyDescent="0.25">
      <c r="A283" s="12" t="s">
        <v>253</v>
      </c>
      <c r="B283" s="13" t="s">
        <v>167</v>
      </c>
      <c r="C283" s="14">
        <v>2</v>
      </c>
      <c r="D283" s="13" t="s">
        <v>207</v>
      </c>
      <c r="E283" s="13" t="s">
        <v>712</v>
      </c>
      <c r="F283" s="13" t="s">
        <v>31</v>
      </c>
      <c r="G283" s="13" t="s">
        <v>29</v>
      </c>
      <c r="H283" s="13" t="s">
        <v>31</v>
      </c>
      <c r="I283" s="13" t="s">
        <v>29</v>
      </c>
      <c r="J283" s="13" t="s">
        <v>29</v>
      </c>
      <c r="K283" s="13" t="s">
        <v>29</v>
      </c>
      <c r="L283" s="13" t="s">
        <v>31</v>
      </c>
      <c r="M283" s="13" t="s">
        <v>30</v>
      </c>
      <c r="N283" s="13" t="s">
        <v>29</v>
      </c>
      <c r="O283" s="13" t="s">
        <v>29</v>
      </c>
      <c r="P283" s="16">
        <v>-1</v>
      </c>
      <c r="Q283" s="16">
        <v>-5</v>
      </c>
      <c r="R283" s="13" t="str">
        <f>_xlfn.CONCAT(F283,G283,H283,I283,J283)</f>
        <v>LDLDD</v>
      </c>
      <c r="S283" s="13" t="str">
        <f>_xlfn.CONCAT(K283,L283,M283,N283,O283)</f>
        <v>DLWDD</v>
      </c>
      <c r="T283" s="13" t="str">
        <f>_xlfn.CONCAT(R283,"***",S283)</f>
        <v>LDLDD***DLWDD</v>
      </c>
      <c r="U283" s="21">
        <f>(P283-Q283)</f>
        <v>4</v>
      </c>
      <c r="V283" s="14">
        <v>1</v>
      </c>
      <c r="W283" s="14">
        <v>0</v>
      </c>
      <c r="X283" s="20" t="str">
        <f>IF(ISBLANK(V283),"",IF(V283&gt;W283,"1",IF(V283&lt;W283,"2",IF(V283=W283,"X"))))</f>
        <v>1</v>
      </c>
      <c r="Y283" s="23" t="str">
        <f>COUNTIF(F283:J283, "W")&amp;COUNTIF(F283:J283, "d")&amp;COUNTIF(F283:J283, "l")</f>
        <v>032</v>
      </c>
      <c r="Z283" s="13" t="str">
        <f>COUNTIF(K283:O283, "W")&amp;COUNTIF(K283:O283, "d")&amp;COUNTIF(K283:O283, "l")</f>
        <v>131</v>
      </c>
      <c r="AA283" s="23" t="str">
        <f>_xlfn.CONCAT(Y283,"-",Z283)</f>
        <v>032-131</v>
      </c>
      <c r="AB283" s="13" t="str">
        <f>_xlfn.CONCAT(AA283,"…",TEXT(U283,"+00;-00;+00;"))</f>
        <v>032-131…+04</v>
      </c>
      <c r="AC283" s="23" t="str">
        <f>_xlfn.CONCAT(TEXT(P283,"+00;-00;+00;"),"…",TEXT(Q283,"+00;-00;+00;"))</f>
        <v>-01…-05</v>
      </c>
      <c r="AD283" s="14" t="str">
        <f>IF(X283="","?","")</f>
        <v/>
      </c>
      <c r="AE283" s="15" t="str">
        <f>_xlfn.CONCAT(AA283,"…",TEXT(P283,"+00;-00;+00;"),"...",TEXT(Q283,"+00;-00;+00;"))</f>
        <v>032-131…-01...-05</v>
      </c>
      <c r="AF283" s="13" t="str">
        <f>_xlfn.CONCAT(R283,"…",TEXT(P283,"+00;-00;+00;"),"...",TEXT(Q283,"+00;-00;+00;"))</f>
        <v>LDLDD…-01...-05</v>
      </c>
    </row>
    <row r="284" spans="1:32" x14ac:dyDescent="0.25">
      <c r="A284" s="12" t="s">
        <v>253</v>
      </c>
      <c r="B284" s="13" t="s">
        <v>167</v>
      </c>
      <c r="C284" s="14">
        <v>2</v>
      </c>
      <c r="D284" s="13" t="s">
        <v>716</v>
      </c>
      <c r="E284" s="13" t="s">
        <v>717</v>
      </c>
      <c r="F284" s="13" t="s">
        <v>29</v>
      </c>
      <c r="G284" s="13" t="s">
        <v>31</v>
      </c>
      <c r="H284" s="13" t="s">
        <v>31</v>
      </c>
      <c r="I284" s="13" t="s">
        <v>29</v>
      </c>
      <c r="J284" s="13" t="s">
        <v>29</v>
      </c>
      <c r="K284" s="13" t="s">
        <v>30</v>
      </c>
      <c r="L284" s="13" t="s">
        <v>31</v>
      </c>
      <c r="M284" s="13" t="s">
        <v>31</v>
      </c>
      <c r="N284" s="13" t="s">
        <v>30</v>
      </c>
      <c r="O284" s="13" t="s">
        <v>29</v>
      </c>
      <c r="P284" s="16">
        <v>-11</v>
      </c>
      <c r="Q284" s="16">
        <v>-3</v>
      </c>
      <c r="R284" s="13" t="str">
        <f>_xlfn.CONCAT(F284,G284,H284,I284,J284)</f>
        <v>DLLDD</v>
      </c>
      <c r="S284" s="13" t="str">
        <f>_xlfn.CONCAT(K284,L284,M284,N284,O284)</f>
        <v>WLLWD</v>
      </c>
      <c r="T284" s="13" t="str">
        <f>_xlfn.CONCAT(R284,"***",S284)</f>
        <v>DLLDD***WLLWD</v>
      </c>
      <c r="U284" s="21">
        <f>(P284-Q284)</f>
        <v>-8</v>
      </c>
      <c r="V284" s="14">
        <v>0</v>
      </c>
      <c r="W284" s="14">
        <v>0</v>
      </c>
      <c r="X284" s="20" t="str">
        <f>IF(ISBLANK(V284),"",IF(V284&gt;W284,"1",IF(V284&lt;W284,"2",IF(V284=W284,"X"))))</f>
        <v>X</v>
      </c>
      <c r="Y284" s="23" t="str">
        <f>COUNTIF(F284:J284, "W")&amp;COUNTIF(F284:J284, "d")&amp;COUNTIF(F284:J284, "l")</f>
        <v>032</v>
      </c>
      <c r="Z284" s="13" t="str">
        <f>COUNTIF(K284:O284, "W")&amp;COUNTIF(K284:O284, "d")&amp;COUNTIF(K284:O284, "l")</f>
        <v>212</v>
      </c>
      <c r="AA284" s="23" t="str">
        <f>_xlfn.CONCAT(Y284,"-",Z284)</f>
        <v>032-212</v>
      </c>
      <c r="AB284" s="13" t="str">
        <f>_xlfn.CONCAT(AA284,"…",TEXT(U284,"+00;-00;+00;"))</f>
        <v>032-212…-08</v>
      </c>
      <c r="AC284" s="23" t="str">
        <f>_xlfn.CONCAT(TEXT(P284,"+00;-00;+00;"),"…",TEXT(Q284,"+00;-00;+00;"))</f>
        <v>-11…-03</v>
      </c>
      <c r="AD284" s="14" t="str">
        <f>IF(X284="","?","")</f>
        <v/>
      </c>
      <c r="AE284" s="15" t="str">
        <f>_xlfn.CONCAT(AA284,"…",TEXT(P284,"+00;-00;+00;"),"...",TEXT(Q284,"+00;-00;+00;"))</f>
        <v>032-212…-11...-03</v>
      </c>
      <c r="AF284" s="13" t="str">
        <f>_xlfn.CONCAT(R284,"…",TEXT(P284,"+00;-00;+00;"),"...",TEXT(Q284,"+00;-00;+00;"))</f>
        <v>DLLDD…-11...-03</v>
      </c>
    </row>
    <row r="285" spans="1:32" x14ac:dyDescent="0.25">
      <c r="A285" s="12" t="s">
        <v>253</v>
      </c>
      <c r="B285" s="13" t="s">
        <v>167</v>
      </c>
      <c r="C285" s="14">
        <v>2</v>
      </c>
      <c r="D285" s="13" t="s">
        <v>200</v>
      </c>
      <c r="E285" s="13" t="s">
        <v>648</v>
      </c>
      <c r="F285" s="13" t="s">
        <v>31</v>
      </c>
      <c r="G285" s="13" t="s">
        <v>29</v>
      </c>
      <c r="H285" s="13" t="s">
        <v>31</v>
      </c>
      <c r="I285" s="13" t="s">
        <v>29</v>
      </c>
      <c r="J285" s="13" t="s">
        <v>29</v>
      </c>
      <c r="K285" s="13" t="s">
        <v>31</v>
      </c>
      <c r="L285" s="13" t="s">
        <v>29</v>
      </c>
      <c r="M285" s="13" t="s">
        <v>30</v>
      </c>
      <c r="N285" s="13" t="s">
        <v>30</v>
      </c>
      <c r="O285" s="13" t="s">
        <v>29</v>
      </c>
      <c r="P285" s="16">
        <v>1</v>
      </c>
      <c r="Q285" s="16">
        <v>-3</v>
      </c>
      <c r="R285" s="13" t="str">
        <f>_xlfn.CONCAT(F285,G285,H285,I285,J285)</f>
        <v>LDLDD</v>
      </c>
      <c r="S285" s="13" t="str">
        <f>_xlfn.CONCAT(K285,L285,M285,N285,O285)</f>
        <v>LDWWD</v>
      </c>
      <c r="T285" s="13" t="str">
        <f>_xlfn.CONCAT(R285,"***",S285)</f>
        <v>LDLDD***LDWWD</v>
      </c>
      <c r="U285" s="21">
        <f>(P285-Q285)</f>
        <v>4</v>
      </c>
      <c r="V285" s="14">
        <v>2</v>
      </c>
      <c r="W285" s="14">
        <v>0</v>
      </c>
      <c r="X285" s="20" t="str">
        <f>IF(ISBLANK(V285),"",IF(V285&gt;W285,"1",IF(V285&lt;W285,"2",IF(V285=W285,"X"))))</f>
        <v>1</v>
      </c>
      <c r="Y285" s="23" t="str">
        <f>COUNTIF(F285:J285, "W")&amp;COUNTIF(F285:J285, "d")&amp;COUNTIF(F285:J285, "l")</f>
        <v>032</v>
      </c>
      <c r="Z285" s="13" t="str">
        <f>COUNTIF(K285:O285, "W")&amp;COUNTIF(K285:O285, "d")&amp;COUNTIF(K285:O285, "l")</f>
        <v>221</v>
      </c>
      <c r="AA285" s="23" t="str">
        <f>_xlfn.CONCAT(Y285,"-",Z285)</f>
        <v>032-221</v>
      </c>
      <c r="AB285" s="13" t="str">
        <f>_xlfn.CONCAT(AA285,"…",TEXT(U285,"+00;-00;+00;"))</f>
        <v>032-221…+04</v>
      </c>
      <c r="AC285" s="23" t="str">
        <f>_xlfn.CONCAT(TEXT(P285,"+00;-00;+00;"),"…",TEXT(Q285,"+00;-00;+00;"))</f>
        <v>+01…-03</v>
      </c>
      <c r="AD285" s="14" t="str">
        <f>IF(X285="","?","")</f>
        <v/>
      </c>
      <c r="AE285" s="15" t="str">
        <f>_xlfn.CONCAT(AA285,"…",TEXT(P285,"+00;-00;+00;"),"...",TEXT(Q285,"+00;-00;+00;"))</f>
        <v>032-221…+01...-03</v>
      </c>
      <c r="AF285" s="13" t="str">
        <f>_xlfn.CONCAT(R285,"…",TEXT(P285,"+00;-00;+00;"),"...",TEXT(Q285,"+00;-00;+00;"))</f>
        <v>LDLDD…+01...-03</v>
      </c>
    </row>
    <row r="286" spans="1:32" x14ac:dyDescent="0.25">
      <c r="A286" s="12" t="s">
        <v>253</v>
      </c>
      <c r="B286" s="13" t="s">
        <v>167</v>
      </c>
      <c r="C286" s="14">
        <v>2</v>
      </c>
      <c r="D286" s="13" t="s">
        <v>710</v>
      </c>
      <c r="E286" s="13" t="s">
        <v>711</v>
      </c>
      <c r="F286" s="13" t="s">
        <v>29</v>
      </c>
      <c r="G286" s="13" t="s">
        <v>30</v>
      </c>
      <c r="H286" s="13" t="s">
        <v>31</v>
      </c>
      <c r="I286" s="13" t="s">
        <v>31</v>
      </c>
      <c r="J286" s="13" t="s">
        <v>29</v>
      </c>
      <c r="K286" s="13" t="s">
        <v>29</v>
      </c>
      <c r="L286" s="13" t="s">
        <v>29</v>
      </c>
      <c r="M286" s="13" t="s">
        <v>30</v>
      </c>
      <c r="N286" s="13" t="s">
        <v>31</v>
      </c>
      <c r="O286" s="13" t="s">
        <v>29</v>
      </c>
      <c r="P286" s="16">
        <v>14</v>
      </c>
      <c r="Q286" s="16">
        <v>-4</v>
      </c>
      <c r="R286" s="13" t="str">
        <f>_xlfn.CONCAT(F286,G286,H286,I286,J286)</f>
        <v>DWLLD</v>
      </c>
      <c r="S286" s="13" t="str">
        <f>_xlfn.CONCAT(K286,L286,M286,N286,O286)</f>
        <v>DDWLD</v>
      </c>
      <c r="T286" s="13" t="str">
        <f>_xlfn.CONCAT(R286,"***",S286)</f>
        <v>DWLLD***DDWLD</v>
      </c>
      <c r="U286" s="21">
        <f>(P286-Q286)</f>
        <v>18</v>
      </c>
      <c r="V286" s="14">
        <v>3</v>
      </c>
      <c r="W286" s="14">
        <v>2</v>
      </c>
      <c r="X286" s="20" t="str">
        <f>IF(ISBLANK(V286),"",IF(V286&gt;W286,"1",IF(V286&lt;W286,"2",IF(V286=W286,"X"))))</f>
        <v>1</v>
      </c>
      <c r="Y286" s="23" t="str">
        <f>COUNTIF(F286:J286, "W")&amp;COUNTIF(F286:J286, "d")&amp;COUNTIF(F286:J286, "l")</f>
        <v>122</v>
      </c>
      <c r="Z286" s="13" t="str">
        <f>COUNTIF(K286:O286, "W")&amp;COUNTIF(K286:O286, "d")&amp;COUNTIF(K286:O286, "l")</f>
        <v>131</v>
      </c>
      <c r="AA286" s="23" t="str">
        <f>_xlfn.CONCAT(Y286,"-",Z286)</f>
        <v>122-131</v>
      </c>
      <c r="AB286" s="13" t="str">
        <f>_xlfn.CONCAT(AA286,"…",TEXT(U286,"+00;-00;+00;"))</f>
        <v>122-131…+18</v>
      </c>
      <c r="AC286" s="23" t="str">
        <f>_xlfn.CONCAT(TEXT(P286,"+00;-00;+00;"),"…",TEXT(Q286,"+00;-00;+00;"))</f>
        <v>+14…-04</v>
      </c>
      <c r="AD286" s="14" t="str">
        <f>IF(X286="","?","")</f>
        <v/>
      </c>
      <c r="AE286" s="15" t="str">
        <f>_xlfn.CONCAT(AA286,"…",TEXT(P286,"+00;-00;+00;"),"...",TEXT(Q286,"+00;-00;+00;"))</f>
        <v>122-131…+14...-04</v>
      </c>
      <c r="AF286" s="13" t="str">
        <f>_xlfn.CONCAT(R286,"…",TEXT(P286,"+00;-00;+00;"),"...",TEXT(Q286,"+00;-00;+00;"))</f>
        <v>DWLLD…+14...-04</v>
      </c>
    </row>
    <row r="287" spans="1:32" x14ac:dyDescent="0.25">
      <c r="A287" s="12" t="s">
        <v>253</v>
      </c>
      <c r="B287" s="13" t="s">
        <v>250</v>
      </c>
      <c r="C287" s="14">
        <v>1</v>
      </c>
      <c r="D287" s="13" t="s">
        <v>265</v>
      </c>
      <c r="E287" s="13" t="s">
        <v>266</v>
      </c>
      <c r="F287" s="15" t="s">
        <v>29</v>
      </c>
      <c r="G287" s="15" t="s">
        <v>30</v>
      </c>
      <c r="H287" s="15" t="s">
        <v>31</v>
      </c>
      <c r="I287" s="15" t="s">
        <v>31</v>
      </c>
      <c r="J287" s="15" t="s">
        <v>29</v>
      </c>
      <c r="K287" s="15" t="s">
        <v>30</v>
      </c>
      <c r="L287" s="15" t="s">
        <v>31</v>
      </c>
      <c r="M287" s="15" t="s">
        <v>30</v>
      </c>
      <c r="N287" s="15" t="s">
        <v>30</v>
      </c>
      <c r="O287" s="15" t="s">
        <v>31</v>
      </c>
      <c r="P287" s="16">
        <v>1</v>
      </c>
      <c r="Q287" s="16">
        <v>7</v>
      </c>
      <c r="R287" s="13" t="str">
        <f>_xlfn.CONCAT(F287,G287,H287,I287,J287)</f>
        <v>DWLLD</v>
      </c>
      <c r="S287" s="13" t="str">
        <f>_xlfn.CONCAT(K287,L287,M287,N287,O287)</f>
        <v>WLWWL</v>
      </c>
      <c r="T287" s="13" t="str">
        <f>_xlfn.CONCAT(R287,"***",S287)</f>
        <v>DWLLD***WLWWL</v>
      </c>
      <c r="U287" s="19">
        <f>(P287-Q287)</f>
        <v>-6</v>
      </c>
      <c r="V287" s="14">
        <v>0</v>
      </c>
      <c r="W287" s="14">
        <v>3</v>
      </c>
      <c r="X287" s="20" t="str">
        <f>IF(ISBLANK(V287),"",IF(V287&gt;W287,"1",IF(V287&lt;W287,"2",IF(V287=W287,"X"))))</f>
        <v>2</v>
      </c>
      <c r="Y287" s="23" t="str">
        <f>COUNTIF(F287:J287, "W")&amp;COUNTIF(F287:J287, "d")&amp;COUNTIF(F287:J287, "l")</f>
        <v>122</v>
      </c>
      <c r="Z287" s="13" t="str">
        <f>COUNTIF(K287:O287, "W")&amp;COUNTIF(K287:O287, "d")&amp;COUNTIF(K287:O287, "l")</f>
        <v>302</v>
      </c>
      <c r="AA287" s="23" t="str">
        <f>_xlfn.CONCAT(Y287,"-",Z287)</f>
        <v>122-302</v>
      </c>
      <c r="AB287" s="15" t="str">
        <f>_xlfn.CONCAT(AA287,"…",TEXT(U287,"+00;-00;+00;"))</f>
        <v>122-302…-06</v>
      </c>
      <c r="AC287" s="23" t="str">
        <f>_xlfn.CONCAT(TEXT(P287,"+00;-00;+00;"),"…",TEXT(Q287,"+00;-00;+00;"))</f>
        <v>+01…+07</v>
      </c>
      <c r="AD287" s="14" t="str">
        <f>IF(X287="","?","")</f>
        <v/>
      </c>
      <c r="AE287" s="15" t="str">
        <f>_xlfn.CONCAT(AA287,"…",TEXT(P287,"+00;-00;+00;"),"...",TEXT(Q287,"+00;-00;+00;"))</f>
        <v>122-302…+01...+07</v>
      </c>
      <c r="AF287" s="13" t="str">
        <f>_xlfn.CONCAT(R287,"…",TEXT(P287,"+00;-00;+00;"),"...",TEXT(Q287,"+00;-00;+00;"))</f>
        <v>DWLLD…+01...+07</v>
      </c>
    </row>
    <row r="288" spans="1:32" x14ac:dyDescent="0.25">
      <c r="A288" s="12" t="s">
        <v>253</v>
      </c>
      <c r="B288" s="13" t="s">
        <v>167</v>
      </c>
      <c r="C288" s="14">
        <v>2</v>
      </c>
      <c r="D288" s="13" t="s">
        <v>708</v>
      </c>
      <c r="E288" s="13" t="s">
        <v>709</v>
      </c>
      <c r="F288" s="13" t="s">
        <v>29</v>
      </c>
      <c r="G288" s="13" t="s">
        <v>31</v>
      </c>
      <c r="H288" s="13" t="s">
        <v>30</v>
      </c>
      <c r="I288" s="13" t="s">
        <v>29</v>
      </c>
      <c r="J288" s="13" t="s">
        <v>29</v>
      </c>
      <c r="K288" s="13" t="s">
        <v>31</v>
      </c>
      <c r="L288" s="13" t="s">
        <v>31</v>
      </c>
      <c r="M288" s="13" t="s">
        <v>31</v>
      </c>
      <c r="N288" s="13" t="s">
        <v>30</v>
      </c>
      <c r="O288" s="13" t="s">
        <v>30</v>
      </c>
      <c r="P288" s="16">
        <v>-3</v>
      </c>
      <c r="Q288" s="16">
        <v>2</v>
      </c>
      <c r="R288" s="13" t="str">
        <f>_xlfn.CONCAT(F288,G288,H288,I288,J288)</f>
        <v>DLWDD</v>
      </c>
      <c r="S288" s="13" t="str">
        <f>_xlfn.CONCAT(K288,L288,M288,N288,O288)</f>
        <v>LLLWW</v>
      </c>
      <c r="T288" s="13" t="str">
        <f>_xlfn.CONCAT(R288,"***",S288)</f>
        <v>DLWDD***LLLWW</v>
      </c>
      <c r="U288" s="21">
        <f>(P288-Q288)</f>
        <v>-5</v>
      </c>
      <c r="V288" s="14">
        <v>1</v>
      </c>
      <c r="W288" s="14">
        <v>0</v>
      </c>
      <c r="X288" s="20" t="str">
        <f>IF(ISBLANK(V288),"",IF(V288&gt;W288,"1",IF(V288&lt;W288,"2",IF(V288=W288,"X"))))</f>
        <v>1</v>
      </c>
      <c r="Y288" s="23" t="str">
        <f>COUNTIF(F288:J288, "W")&amp;COUNTIF(F288:J288, "d")&amp;COUNTIF(F288:J288, "l")</f>
        <v>131</v>
      </c>
      <c r="Z288" s="13" t="str">
        <f>COUNTIF(K288:O288, "W")&amp;COUNTIF(K288:O288, "d")&amp;COUNTIF(K288:O288, "l")</f>
        <v>203</v>
      </c>
      <c r="AA288" s="23" t="str">
        <f>_xlfn.CONCAT(Y288,"-",Z288)</f>
        <v>131-203</v>
      </c>
      <c r="AB288" s="13" t="str">
        <f>_xlfn.CONCAT(AA288,"…",TEXT(U288,"+00;-00;+00;"))</f>
        <v>131-203…-05</v>
      </c>
      <c r="AC288" s="23" t="str">
        <f>_xlfn.CONCAT(TEXT(P288,"+00;-00;+00;"),"…",TEXT(Q288,"+00;-00;+00;"))</f>
        <v>-03…+02</v>
      </c>
      <c r="AD288" s="14" t="str">
        <f>IF(X288="","?","")</f>
        <v/>
      </c>
      <c r="AE288" s="15" t="str">
        <f>_xlfn.CONCAT(AA288,"…",TEXT(P288,"+00;-00;+00;"),"...",TEXT(Q288,"+00;-00;+00;"))</f>
        <v>131-203…-03...+02</v>
      </c>
      <c r="AF288" s="13" t="str">
        <f>_xlfn.CONCAT(R288,"…",TEXT(P288,"+00;-00;+00;"),"...",TEXT(Q288,"+00;-00;+00;"))</f>
        <v>DLWDD…-03...+02</v>
      </c>
    </row>
    <row r="289" spans="1:32" x14ac:dyDescent="0.25">
      <c r="A289" s="12" t="s">
        <v>253</v>
      </c>
      <c r="B289" s="13" t="s">
        <v>401</v>
      </c>
      <c r="C289" s="14">
        <v>1</v>
      </c>
      <c r="D289" s="13" t="s">
        <v>790</v>
      </c>
      <c r="E289" s="13" t="s">
        <v>791</v>
      </c>
      <c r="F289" s="13" t="s">
        <v>30</v>
      </c>
      <c r="G289" s="13" t="s">
        <v>31</v>
      </c>
      <c r="H289" s="13" t="s">
        <v>30</v>
      </c>
      <c r="I289" s="13" t="s">
        <v>31</v>
      </c>
      <c r="J289" s="13" t="s">
        <v>31</v>
      </c>
      <c r="K289" s="13" t="s">
        <v>31</v>
      </c>
      <c r="L289" s="13" t="s">
        <v>31</v>
      </c>
      <c r="M289" s="13" t="s">
        <v>29</v>
      </c>
      <c r="N289" s="13" t="s">
        <v>30</v>
      </c>
      <c r="O289" s="13" t="s">
        <v>31</v>
      </c>
      <c r="P289" s="16">
        <v>-6</v>
      </c>
      <c r="Q289" s="16">
        <v>-10</v>
      </c>
      <c r="R289" s="13" t="str">
        <f>_xlfn.CONCAT(F289,G289,H289,I289,J289)</f>
        <v>WLWLL</v>
      </c>
      <c r="S289" s="13" t="str">
        <f>_xlfn.CONCAT(K289,L289,M289,N289,O289)</f>
        <v>LLDWL</v>
      </c>
      <c r="T289" s="13" t="str">
        <f>_xlfn.CONCAT(R289,"***",S289)</f>
        <v>WLWLL***LLDWL</v>
      </c>
      <c r="U289" s="21">
        <f>(P289-Q289)</f>
        <v>4</v>
      </c>
      <c r="V289" s="14">
        <v>1</v>
      </c>
      <c r="W289" s="14">
        <v>0</v>
      </c>
      <c r="X289" s="20" t="str">
        <f>IF(ISBLANK(V289),"",IF(V289&gt;W289,"1",IF(V289&lt;W289,"2",IF(V289=W289,"X"))))</f>
        <v>1</v>
      </c>
      <c r="Y289" s="23" t="str">
        <f>COUNTIF(F289:J289, "W")&amp;COUNTIF(F289:J289, "d")&amp;COUNTIF(F289:J289, "l")</f>
        <v>203</v>
      </c>
      <c r="Z289" s="13" t="str">
        <f>COUNTIF(K289:O289, "W")&amp;COUNTIF(K289:O289, "d")&amp;COUNTIF(K289:O289, "l")</f>
        <v>113</v>
      </c>
      <c r="AA289" s="23" t="str">
        <f>_xlfn.CONCAT(Y289,"-",Z289)</f>
        <v>203-113</v>
      </c>
      <c r="AB289" s="13" t="str">
        <f>_xlfn.CONCAT(AA289,"…",TEXT(U289,"+00;-00;+00;"))</f>
        <v>203-113…+04</v>
      </c>
      <c r="AC289" s="23" t="str">
        <f>_xlfn.CONCAT(TEXT(P289,"+00;-00;+00;"),"…",TEXT(Q289,"+00;-00;+00;"))</f>
        <v>-06…-10</v>
      </c>
      <c r="AD289" s="14" t="str">
        <f>IF(X289="","?","")</f>
        <v/>
      </c>
      <c r="AE289" s="15" t="str">
        <f>_xlfn.CONCAT(AA289,"…",TEXT(P289,"+00;-00;+00;"),"...",TEXT(Q289,"+00;-00;+00;"))</f>
        <v>203-113…-06...-10</v>
      </c>
      <c r="AF289" s="13" t="str">
        <f>_xlfn.CONCAT(R289,"…",TEXT(P289,"+00;-00;+00;"),"...",TEXT(Q289,"+00;-00;+00;"))</f>
        <v>WLWLL…-06...-10</v>
      </c>
    </row>
    <row r="290" spans="1:32" x14ac:dyDescent="0.25">
      <c r="A290" s="12" t="s">
        <v>253</v>
      </c>
      <c r="B290" s="13" t="s">
        <v>167</v>
      </c>
      <c r="C290" s="14">
        <v>2</v>
      </c>
      <c r="D290" s="13" t="s">
        <v>198</v>
      </c>
      <c r="E290" s="13" t="s">
        <v>714</v>
      </c>
      <c r="F290" s="13" t="s">
        <v>30</v>
      </c>
      <c r="G290" s="13" t="s">
        <v>31</v>
      </c>
      <c r="H290" s="13" t="s">
        <v>30</v>
      </c>
      <c r="I290" s="13" t="s">
        <v>29</v>
      </c>
      <c r="J290" s="13" t="s">
        <v>31</v>
      </c>
      <c r="K290" s="13" t="s">
        <v>30</v>
      </c>
      <c r="L290" s="13" t="s">
        <v>30</v>
      </c>
      <c r="M290" s="13" t="s">
        <v>31</v>
      </c>
      <c r="N290" s="13" t="s">
        <v>31</v>
      </c>
      <c r="O290" s="13" t="s">
        <v>29</v>
      </c>
      <c r="P290" s="16">
        <v>8</v>
      </c>
      <c r="Q290" s="16">
        <v>5</v>
      </c>
      <c r="R290" s="13" t="str">
        <f>_xlfn.CONCAT(F290,G290,H290,I290,J290)</f>
        <v>WLWDL</v>
      </c>
      <c r="S290" s="13" t="str">
        <f>_xlfn.CONCAT(K290,L290,M290,N290,O290)</f>
        <v>WWLLD</v>
      </c>
      <c r="T290" s="13" t="str">
        <f>_xlfn.CONCAT(R290,"***",S290)</f>
        <v>WLWDL***WWLLD</v>
      </c>
      <c r="U290" s="21">
        <f>(P290-Q290)</f>
        <v>3</v>
      </c>
      <c r="V290" s="14">
        <v>1</v>
      </c>
      <c r="W290" s="14">
        <v>1</v>
      </c>
      <c r="X290" s="20" t="str">
        <f>IF(ISBLANK(V290),"",IF(V290&gt;W290,"1",IF(V290&lt;W290,"2",IF(V290=W290,"X"))))</f>
        <v>X</v>
      </c>
      <c r="Y290" s="23" t="str">
        <f>COUNTIF(F290:J290, "W")&amp;COUNTIF(F290:J290, "d")&amp;COUNTIF(F290:J290, "l")</f>
        <v>212</v>
      </c>
      <c r="Z290" s="13" t="str">
        <f>COUNTIF(K290:O290, "W")&amp;COUNTIF(K290:O290, "d")&amp;COUNTIF(K290:O290, "l")</f>
        <v>212</v>
      </c>
      <c r="AA290" s="23" t="str">
        <f>_xlfn.CONCAT(Y290,"-",Z290)</f>
        <v>212-212</v>
      </c>
      <c r="AB290" s="13" t="str">
        <f>_xlfn.CONCAT(AA290,"…",TEXT(U290,"+00;-00;+00;"))</f>
        <v>212-212…+03</v>
      </c>
      <c r="AC290" s="23" t="str">
        <f>_xlfn.CONCAT(TEXT(P290,"+00;-00;+00;"),"…",TEXT(Q290,"+00;-00;+00;"))</f>
        <v>+08…+05</v>
      </c>
      <c r="AD290" s="14" t="str">
        <f>IF(X290="","?","")</f>
        <v/>
      </c>
      <c r="AE290" s="15" t="str">
        <f>_xlfn.CONCAT(AA290,"…",TEXT(P290,"+00;-00;+00;"),"...",TEXT(Q290,"+00;-00;+00;"))</f>
        <v>212-212…+08...+05</v>
      </c>
      <c r="AF290" s="13" t="str">
        <f>_xlfn.CONCAT(R290,"…",TEXT(P290,"+00;-00;+00;"),"...",TEXT(Q290,"+00;-00;+00;"))</f>
        <v>WLWDL…+08...+05</v>
      </c>
    </row>
    <row r="291" spans="1:32" x14ac:dyDescent="0.25">
      <c r="A291" s="12" t="s">
        <v>253</v>
      </c>
      <c r="B291" s="13" t="s">
        <v>167</v>
      </c>
      <c r="C291" s="14">
        <v>2</v>
      </c>
      <c r="D291" s="13" t="s">
        <v>713</v>
      </c>
      <c r="E291" s="13" t="s">
        <v>201</v>
      </c>
      <c r="F291" s="13" t="s">
        <v>30</v>
      </c>
      <c r="G291" s="13" t="s">
        <v>29</v>
      </c>
      <c r="H291" s="13" t="s">
        <v>30</v>
      </c>
      <c r="I291" s="13" t="s">
        <v>29</v>
      </c>
      <c r="J291" s="13" t="s">
        <v>29</v>
      </c>
      <c r="K291" s="13" t="s">
        <v>31</v>
      </c>
      <c r="L291" s="13" t="s">
        <v>30</v>
      </c>
      <c r="M291" s="13" t="s">
        <v>30</v>
      </c>
      <c r="N291" s="13" t="s">
        <v>29</v>
      </c>
      <c r="O291" s="13" t="s">
        <v>30</v>
      </c>
      <c r="P291" s="16">
        <v>-5</v>
      </c>
      <c r="Q291" s="16">
        <v>-5</v>
      </c>
      <c r="R291" s="13" t="str">
        <f>_xlfn.CONCAT(F291,G291,H291,I291,J291)</f>
        <v>WDWDD</v>
      </c>
      <c r="S291" s="13" t="str">
        <f>_xlfn.CONCAT(K291,L291,M291,N291,O291)</f>
        <v>LWWDW</v>
      </c>
      <c r="T291" s="13" t="str">
        <f>_xlfn.CONCAT(R291,"***",S291)</f>
        <v>WDWDD***LWWDW</v>
      </c>
      <c r="U291" s="21">
        <f>(P291-Q291)</f>
        <v>0</v>
      </c>
      <c r="V291" s="14">
        <v>0</v>
      </c>
      <c r="W291" s="14">
        <v>1</v>
      </c>
      <c r="X291" s="20" t="str">
        <f>IF(ISBLANK(V291),"",IF(V291&gt;W291,"1",IF(V291&lt;W291,"2",IF(V291=W291,"X"))))</f>
        <v>2</v>
      </c>
      <c r="Y291" s="23" t="str">
        <f>COUNTIF(F291:J291, "W")&amp;COUNTIF(F291:J291, "d")&amp;COUNTIF(F291:J291, "l")</f>
        <v>230</v>
      </c>
      <c r="Z291" s="13" t="str">
        <f>COUNTIF(K291:O291, "W")&amp;COUNTIF(K291:O291, "d")&amp;COUNTIF(K291:O291, "l")</f>
        <v>311</v>
      </c>
      <c r="AA291" s="23" t="str">
        <f>_xlfn.CONCAT(Y291,"-",Z291)</f>
        <v>230-311</v>
      </c>
      <c r="AB291" s="13" t="str">
        <f>_xlfn.CONCAT(AA291,"…",TEXT(U291,"+00;-00;+00;"))</f>
        <v>230-311…+00</v>
      </c>
      <c r="AC291" s="23" t="str">
        <f>_xlfn.CONCAT(TEXT(P291,"+00;-00;+00;"),"…",TEXT(Q291,"+00;-00;+00;"))</f>
        <v>-05…-05</v>
      </c>
      <c r="AD291" s="14" t="str">
        <f>IF(X291="","?","")</f>
        <v/>
      </c>
      <c r="AE291" s="15" t="str">
        <f>_xlfn.CONCAT(AA291,"…",TEXT(P291,"+00;-00;+00;"),"...",TEXT(Q291,"+00;-00;+00;"))</f>
        <v>230-311…-05...-05</v>
      </c>
      <c r="AF291" s="13" t="str">
        <f>_xlfn.CONCAT(R291,"…",TEXT(P291,"+00;-00;+00;"),"...",TEXT(Q291,"+00;-00;+00;"))</f>
        <v>WDWDD…-05...-05</v>
      </c>
    </row>
    <row r="292" spans="1:32" x14ac:dyDescent="0.25">
      <c r="A292" s="12" t="s">
        <v>253</v>
      </c>
      <c r="B292" s="13" t="s">
        <v>167</v>
      </c>
      <c r="C292" s="14">
        <v>2</v>
      </c>
      <c r="D292" s="13" t="s">
        <v>706</v>
      </c>
      <c r="E292" s="13" t="s">
        <v>707</v>
      </c>
      <c r="F292" s="13" t="s">
        <v>31</v>
      </c>
      <c r="G292" s="13" t="s">
        <v>30</v>
      </c>
      <c r="H292" s="13" t="s">
        <v>30</v>
      </c>
      <c r="I292" s="13" t="s">
        <v>31</v>
      </c>
      <c r="J292" s="13" t="s">
        <v>30</v>
      </c>
      <c r="K292" s="13" t="s">
        <v>30</v>
      </c>
      <c r="L292" s="13" t="s">
        <v>29</v>
      </c>
      <c r="M292" s="13" t="s">
        <v>30</v>
      </c>
      <c r="N292" s="13" t="s">
        <v>31</v>
      </c>
      <c r="O292" s="13" t="s">
        <v>30</v>
      </c>
      <c r="P292" s="16">
        <v>1</v>
      </c>
      <c r="Q292" s="16">
        <v>12</v>
      </c>
      <c r="R292" s="13" t="str">
        <f>_xlfn.CONCAT(F292,G292,H292,I292,J292)</f>
        <v>LWWLW</v>
      </c>
      <c r="S292" s="13" t="str">
        <f>_xlfn.CONCAT(K292,L292,M292,N292,O292)</f>
        <v>WDWLW</v>
      </c>
      <c r="T292" s="13" t="str">
        <f>_xlfn.CONCAT(R292,"***",S292)</f>
        <v>LWWLW***WDWLW</v>
      </c>
      <c r="U292" s="21">
        <f>(P292-Q292)</f>
        <v>-11</v>
      </c>
      <c r="V292" s="14">
        <v>1</v>
      </c>
      <c r="W292" s="14">
        <v>1</v>
      </c>
      <c r="X292" s="20" t="str">
        <f>IF(ISBLANK(V292),"",IF(V292&gt;W292,"1",IF(V292&lt;W292,"2",IF(V292=W292,"X"))))</f>
        <v>X</v>
      </c>
      <c r="Y292" s="23" t="str">
        <f>COUNTIF(F292:J292, "W")&amp;COUNTIF(F292:J292, "d")&amp;COUNTIF(F292:J292, "l")</f>
        <v>302</v>
      </c>
      <c r="Z292" s="13" t="str">
        <f>COUNTIF(K292:O292, "W")&amp;COUNTIF(K292:O292, "d")&amp;COUNTIF(K292:O292, "l")</f>
        <v>311</v>
      </c>
      <c r="AA292" s="23" t="str">
        <f>_xlfn.CONCAT(Y292,"-",Z292)</f>
        <v>302-311</v>
      </c>
      <c r="AB292" s="13" t="str">
        <f>_xlfn.CONCAT(AA292,"…",TEXT(U292,"+00;-00;+00;"))</f>
        <v>302-311…-11</v>
      </c>
      <c r="AC292" s="23" t="str">
        <f>_xlfn.CONCAT(TEXT(P292,"+00;-00;+00;"),"…",TEXT(Q292,"+00;-00;+00;"))</f>
        <v>+01…+12</v>
      </c>
      <c r="AD292" s="14" t="str">
        <f>IF(X292="","?","")</f>
        <v/>
      </c>
      <c r="AE292" s="15" t="str">
        <f>_xlfn.CONCAT(AA292,"…",TEXT(P292,"+00;-00;+00;"),"...",TEXT(Q292,"+00;-00;+00;"))</f>
        <v>302-311…+01...+12</v>
      </c>
      <c r="AF292" s="13" t="str">
        <f>_xlfn.CONCAT(R292,"…",TEXT(P292,"+00;-00;+00;"),"...",TEXT(Q292,"+00;-00;+00;"))</f>
        <v>LWWLW…+01...+12</v>
      </c>
    </row>
    <row r="293" spans="1:32" x14ac:dyDescent="0.25">
      <c r="A293" s="12" t="s">
        <v>253</v>
      </c>
      <c r="B293" s="13" t="s">
        <v>167</v>
      </c>
      <c r="C293" s="14">
        <v>2</v>
      </c>
      <c r="D293" s="13" t="s">
        <v>190</v>
      </c>
      <c r="E293" s="13" t="s">
        <v>715</v>
      </c>
      <c r="F293" s="13" t="s">
        <v>30</v>
      </c>
      <c r="G293" s="13" t="s">
        <v>30</v>
      </c>
      <c r="H293" s="13" t="s">
        <v>29</v>
      </c>
      <c r="I293" s="13" t="s">
        <v>30</v>
      </c>
      <c r="J293" s="13" t="s">
        <v>31</v>
      </c>
      <c r="K293" s="13" t="s">
        <v>31</v>
      </c>
      <c r="L293" s="13" t="s">
        <v>30</v>
      </c>
      <c r="M293" s="13" t="s">
        <v>31</v>
      </c>
      <c r="N293" s="13" t="s">
        <v>30</v>
      </c>
      <c r="O293" s="13" t="s">
        <v>31</v>
      </c>
      <c r="P293" s="16">
        <v>1</v>
      </c>
      <c r="Q293" s="16">
        <v>-11</v>
      </c>
      <c r="R293" s="13" t="str">
        <f>_xlfn.CONCAT(F293,G293,H293,I293,J293)</f>
        <v>WWDWL</v>
      </c>
      <c r="S293" s="13" t="str">
        <f>_xlfn.CONCAT(K293,L293,M293,N293,O293)</f>
        <v>LWLWL</v>
      </c>
      <c r="T293" s="13" t="str">
        <f>_xlfn.CONCAT(R293,"***",S293)</f>
        <v>WWDWL***LWLWL</v>
      </c>
      <c r="U293" s="21">
        <f>(P293-Q293)</f>
        <v>12</v>
      </c>
      <c r="V293" s="14">
        <v>1</v>
      </c>
      <c r="W293" s="14">
        <v>1</v>
      </c>
      <c r="X293" s="20" t="str">
        <f>IF(ISBLANK(V293),"",IF(V293&gt;W293,"1",IF(V293&lt;W293,"2",IF(V293=W293,"X"))))</f>
        <v>X</v>
      </c>
      <c r="Y293" s="23" t="str">
        <f>COUNTIF(F293:J293, "W")&amp;COUNTIF(F293:J293, "d")&amp;COUNTIF(F293:J293, "l")</f>
        <v>311</v>
      </c>
      <c r="Z293" s="13" t="str">
        <f>COUNTIF(K293:O293, "W")&amp;COUNTIF(K293:O293, "d")&amp;COUNTIF(K293:O293, "l")</f>
        <v>203</v>
      </c>
      <c r="AA293" s="23" t="str">
        <f>_xlfn.CONCAT(Y293,"-",Z293)</f>
        <v>311-203</v>
      </c>
      <c r="AB293" s="13" t="str">
        <f>_xlfn.CONCAT(AA293,"…",TEXT(U293,"+00;-00;+00;"))</f>
        <v>311-203…+12</v>
      </c>
      <c r="AC293" s="23" t="str">
        <f>_xlfn.CONCAT(TEXT(P293,"+00;-00;+00;"),"…",TEXT(Q293,"+00;-00;+00;"))</f>
        <v>+01…-11</v>
      </c>
      <c r="AD293" s="14" t="str">
        <f>IF(X293="","?","")</f>
        <v/>
      </c>
      <c r="AE293" s="15" t="str">
        <f>_xlfn.CONCAT(AA293,"…",TEXT(P293,"+00;-00;+00;"),"...",TEXT(Q293,"+00;-00;+00;"))</f>
        <v>311-203…+01...-11</v>
      </c>
      <c r="AF293" s="13" t="str">
        <f>_xlfn.CONCAT(R293,"…",TEXT(P293,"+00;-00;+00;"),"...",TEXT(Q293,"+00;-00;+00;"))</f>
        <v>WWDWL…+01...-11</v>
      </c>
    </row>
    <row r="294" spans="1:32" x14ac:dyDescent="0.25">
      <c r="A294" s="12" t="s">
        <v>678</v>
      </c>
      <c r="B294" s="13" t="s">
        <v>295</v>
      </c>
      <c r="C294" s="14">
        <v>1</v>
      </c>
      <c r="D294" s="13" t="s">
        <v>685</v>
      </c>
      <c r="E294" s="13" t="s">
        <v>686</v>
      </c>
      <c r="F294" s="13" t="s">
        <v>31</v>
      </c>
      <c r="G294" s="13" t="s">
        <v>30</v>
      </c>
      <c r="H294" s="13" t="s">
        <v>31</v>
      </c>
      <c r="I294" s="13" t="s">
        <v>29</v>
      </c>
      <c r="J294" s="13" t="s">
        <v>31</v>
      </c>
      <c r="K294" s="13" t="s">
        <v>31</v>
      </c>
      <c r="L294" s="13" t="s">
        <v>31</v>
      </c>
      <c r="M294" s="13" t="s">
        <v>31</v>
      </c>
      <c r="N294" s="13" t="s">
        <v>29</v>
      </c>
      <c r="O294" s="13" t="s">
        <v>31</v>
      </c>
      <c r="P294" s="16">
        <v>-11</v>
      </c>
      <c r="Q294" s="16">
        <v>-20</v>
      </c>
      <c r="R294" s="13" t="str">
        <f>_xlfn.CONCAT(F294,G294,H294,I294,J294)</f>
        <v>LWLDL</v>
      </c>
      <c r="S294" s="13" t="str">
        <f>_xlfn.CONCAT(K294,L294,M294,N294,O294)</f>
        <v>LLLDL</v>
      </c>
      <c r="T294" s="13" t="str">
        <f>_xlfn.CONCAT(R294,"***",S294)</f>
        <v>LWLDL***LLLDL</v>
      </c>
      <c r="U294" s="19">
        <f>(P294-Q294)</f>
        <v>9</v>
      </c>
      <c r="V294" s="14">
        <v>3</v>
      </c>
      <c r="W294" s="14">
        <v>1</v>
      </c>
      <c r="X294" s="20" t="str">
        <f>IF(ISBLANK(V294),"",IF(V294&gt;W294,"1",IF(V294&lt;W294,"2",IF(V294=W294,"X"))))</f>
        <v>1</v>
      </c>
      <c r="Y294" s="23" t="str">
        <f>COUNTIF(F294:J294, "W")&amp;COUNTIF(F294:J294, "d")&amp;COUNTIF(F294:J294, "l")</f>
        <v>113</v>
      </c>
      <c r="Z294" s="13" t="str">
        <f>COUNTIF(K294:O294, "W")&amp;COUNTIF(K294:O294, "d")&amp;COUNTIF(K294:O294, "l")</f>
        <v>014</v>
      </c>
      <c r="AA294" s="23" t="str">
        <f>_xlfn.CONCAT(Y294,"-",Z294)</f>
        <v>113-014</v>
      </c>
      <c r="AB294" s="13" t="str">
        <f>_xlfn.CONCAT(AA294,"…",TEXT(U294,"+00;-00;+00;"))</f>
        <v>113-014…+09</v>
      </c>
      <c r="AC294" s="23" t="str">
        <f>_xlfn.CONCAT(TEXT(P294,"+00;-00;+00;"),"…",TEXT(Q294,"+00;-00;+00;"))</f>
        <v>-11…-20</v>
      </c>
      <c r="AD294" s="14" t="str">
        <f>IF(X294="","?","")</f>
        <v/>
      </c>
      <c r="AE294" s="15" t="str">
        <f>_xlfn.CONCAT(AA294,"…",TEXT(P294,"+00;-00;+00;"),"...",TEXT(Q294,"+00;-00;+00;"))</f>
        <v>113-014…-11...-20</v>
      </c>
      <c r="AF294" s="13" t="str">
        <f>_xlfn.CONCAT(R294,"…",TEXT(P294,"+00;-00;+00;"),"...",TEXT(Q294,"+00;-00;+00;"))</f>
        <v>LWLDL…-11...-20</v>
      </c>
    </row>
    <row r="295" spans="1:32" x14ac:dyDescent="0.25">
      <c r="A295" s="12" t="s">
        <v>678</v>
      </c>
      <c r="B295" s="13" t="s">
        <v>414</v>
      </c>
      <c r="C295" s="14">
        <v>1</v>
      </c>
      <c r="D295" s="13" t="s">
        <v>838</v>
      </c>
      <c r="E295" s="13" t="s">
        <v>839</v>
      </c>
      <c r="F295" s="13" t="s">
        <v>29</v>
      </c>
      <c r="G295" s="13" t="s">
        <v>29</v>
      </c>
      <c r="H295" s="13" t="s">
        <v>29</v>
      </c>
      <c r="I295" s="13" t="s">
        <v>30</v>
      </c>
      <c r="J295" s="13" t="s">
        <v>29</v>
      </c>
      <c r="K295" s="13" t="s">
        <v>31</v>
      </c>
      <c r="L295" s="13" t="s">
        <v>29</v>
      </c>
      <c r="M295" s="13" t="s">
        <v>30</v>
      </c>
      <c r="N295" s="13" t="s">
        <v>29</v>
      </c>
      <c r="O295" s="13" t="s">
        <v>29</v>
      </c>
      <c r="P295" s="16">
        <v>0</v>
      </c>
      <c r="Q295" s="16">
        <v>7</v>
      </c>
      <c r="R295" s="13" t="str">
        <f>_xlfn.CONCAT(F295,G295,H295,I295,J295)</f>
        <v>DDDWD</v>
      </c>
      <c r="S295" s="13" t="str">
        <f>_xlfn.CONCAT(K295,L295,M295,N295,O295)</f>
        <v>LDWDD</v>
      </c>
      <c r="T295" s="13" t="str">
        <f>_xlfn.CONCAT(R295,"***",S295)</f>
        <v>DDDWD***LDWDD</v>
      </c>
      <c r="U295" s="21">
        <f>(P295-Q295)</f>
        <v>-7</v>
      </c>
      <c r="V295" s="14">
        <v>0</v>
      </c>
      <c r="W295" s="14">
        <v>1</v>
      </c>
      <c r="X295" s="20" t="str">
        <f>IF(ISBLANK(V295),"",IF(V295&gt;W295,"1",IF(V295&lt;W295,"2",IF(V295=W295,"X"))))</f>
        <v>2</v>
      </c>
      <c r="Y295" s="23" t="str">
        <f>COUNTIF(F295:J295, "W")&amp;COUNTIF(F295:J295, "d")&amp;COUNTIF(F295:J295, "l")</f>
        <v>140</v>
      </c>
      <c r="Z295" s="13" t="str">
        <f>COUNTIF(K295:O295, "W")&amp;COUNTIF(K295:O295, "d")&amp;COUNTIF(K295:O295, "l")</f>
        <v>131</v>
      </c>
      <c r="AA295" s="23" t="str">
        <f>_xlfn.CONCAT(Y295,"-",Z295)</f>
        <v>140-131</v>
      </c>
      <c r="AB295" s="13" t="str">
        <f>_xlfn.CONCAT(AA295,"…",TEXT(U295,"+00;-00;+00;"))</f>
        <v>140-131…-07</v>
      </c>
      <c r="AC295" s="23" t="str">
        <f>_xlfn.CONCAT(TEXT(P295,"+00;-00;+00;"),"…",TEXT(Q295,"+00;-00;+00;"))</f>
        <v>+00…+07</v>
      </c>
      <c r="AD295" s="14" t="str">
        <f>IF(X295="","?","")</f>
        <v/>
      </c>
      <c r="AE295" s="15" t="str">
        <f>_xlfn.CONCAT(AA295,"…",TEXT(P295,"+00;-00;+00;"),"...",TEXT(Q295,"+00;-00;+00;"))</f>
        <v>140-131…+00...+07</v>
      </c>
      <c r="AF295" s="13" t="str">
        <f>_xlfn.CONCAT(R295,"…",TEXT(P295,"+00;-00;+00;"),"...",TEXT(Q295,"+00;-00;+00;"))</f>
        <v>DDDWD…+00...+07</v>
      </c>
    </row>
    <row r="296" spans="1:32" x14ac:dyDescent="0.25">
      <c r="A296" s="12" t="s">
        <v>678</v>
      </c>
      <c r="B296" s="13" t="s">
        <v>295</v>
      </c>
      <c r="C296" s="14">
        <v>1</v>
      </c>
      <c r="D296" s="13" t="s">
        <v>310</v>
      </c>
      <c r="E296" s="13" t="s">
        <v>687</v>
      </c>
      <c r="F296" s="13" t="s">
        <v>30</v>
      </c>
      <c r="G296" s="13" t="s">
        <v>31</v>
      </c>
      <c r="H296" s="13" t="s">
        <v>31</v>
      </c>
      <c r="I296" s="13" t="s">
        <v>31</v>
      </c>
      <c r="J296" s="13" t="s">
        <v>30</v>
      </c>
      <c r="K296" s="13" t="s">
        <v>31</v>
      </c>
      <c r="L296" s="13" t="s">
        <v>29</v>
      </c>
      <c r="M296" s="13" t="s">
        <v>29</v>
      </c>
      <c r="N296" s="13" t="s">
        <v>31</v>
      </c>
      <c r="O296" s="13" t="s">
        <v>31</v>
      </c>
      <c r="P296" s="16">
        <v>-11</v>
      </c>
      <c r="Q296" s="16">
        <v>-3</v>
      </c>
      <c r="R296" s="13" t="str">
        <f>_xlfn.CONCAT(F296,G296,H296,I296,J296)</f>
        <v>WLLLW</v>
      </c>
      <c r="S296" s="13" t="str">
        <f>_xlfn.CONCAT(K296,L296,M296,N296,O296)</f>
        <v>LDDLL</v>
      </c>
      <c r="T296" s="13" t="str">
        <f>_xlfn.CONCAT(R296,"***",S296)</f>
        <v>WLLLW***LDDLL</v>
      </c>
      <c r="U296" s="19">
        <f>(P296-Q296)</f>
        <v>-8</v>
      </c>
      <c r="V296" s="14">
        <v>2</v>
      </c>
      <c r="W296" s="14">
        <v>2</v>
      </c>
      <c r="X296" s="20" t="str">
        <f>IF(ISBLANK(V296),"",IF(V296&gt;W296,"1",IF(V296&lt;W296,"2",IF(V296=W296,"X"))))</f>
        <v>X</v>
      </c>
      <c r="Y296" s="23" t="str">
        <f>COUNTIF(F296:J296, "W")&amp;COUNTIF(F296:J296, "d")&amp;COUNTIF(F296:J296, "l")</f>
        <v>203</v>
      </c>
      <c r="Z296" s="13" t="str">
        <f>COUNTIF(K296:O296, "W")&amp;COUNTIF(K296:O296, "d")&amp;COUNTIF(K296:O296, "l")</f>
        <v>023</v>
      </c>
      <c r="AA296" s="23" t="str">
        <f>_xlfn.CONCAT(Y296,"-",Z296)</f>
        <v>203-023</v>
      </c>
      <c r="AB296" s="13" t="str">
        <f>_xlfn.CONCAT(AA296,"…",TEXT(U296,"+00;-00;+00;"))</f>
        <v>203-023…-08</v>
      </c>
      <c r="AC296" s="23" t="str">
        <f>_xlfn.CONCAT(TEXT(P296,"+00;-00;+00;"),"…",TEXT(Q296,"+00;-00;+00;"))</f>
        <v>-11…-03</v>
      </c>
      <c r="AD296" s="14" t="str">
        <f>IF(X296="","?","")</f>
        <v/>
      </c>
      <c r="AE296" s="15" t="str">
        <f>_xlfn.CONCAT(AA296,"…",TEXT(P296,"+00;-00;+00;"),"...",TEXT(Q296,"+00;-00;+00;"))</f>
        <v>203-023…-11...-03</v>
      </c>
      <c r="AF296" s="13" t="str">
        <f>_xlfn.CONCAT(R296,"…",TEXT(P296,"+00;-00;+00;"),"...",TEXT(Q296,"+00;-00;+00;"))</f>
        <v>WLLLW…-11...-03</v>
      </c>
    </row>
    <row r="297" spans="1:32" x14ac:dyDescent="0.25">
      <c r="A297" s="12" t="s">
        <v>579</v>
      </c>
      <c r="B297" s="13" t="s">
        <v>208</v>
      </c>
      <c r="C297" s="14">
        <v>2</v>
      </c>
      <c r="D297" s="13" t="s">
        <v>587</v>
      </c>
      <c r="E297" s="13" t="s">
        <v>588</v>
      </c>
      <c r="F297" s="15" t="s">
        <v>30</v>
      </c>
      <c r="G297" s="15" t="s">
        <v>31</v>
      </c>
      <c r="H297" s="15" t="s">
        <v>31</v>
      </c>
      <c r="I297" s="15" t="s">
        <v>31</v>
      </c>
      <c r="J297" s="15" t="s">
        <v>31</v>
      </c>
      <c r="K297" s="15" t="s">
        <v>31</v>
      </c>
      <c r="L297" s="15" t="s">
        <v>31</v>
      </c>
      <c r="M297" s="15" t="s">
        <v>31</v>
      </c>
      <c r="N297" s="15" t="s">
        <v>29</v>
      </c>
      <c r="O297" s="15" t="s">
        <v>31</v>
      </c>
      <c r="P297" s="16">
        <v>0</v>
      </c>
      <c r="Q297" s="16">
        <v>-3</v>
      </c>
      <c r="R297" s="13" t="str">
        <f>_xlfn.CONCAT(F297,G297,H297,I297,J297)</f>
        <v>WLLLL</v>
      </c>
      <c r="S297" s="13" t="str">
        <f>_xlfn.CONCAT(K297,L297,M297,N297,O297)</f>
        <v>LLLDL</v>
      </c>
      <c r="T297" s="13" t="str">
        <f>_xlfn.CONCAT(R297,"***",S297)</f>
        <v>WLLLL***LLLDL</v>
      </c>
      <c r="U297" s="19">
        <f>(P297-Q297)</f>
        <v>3</v>
      </c>
      <c r="V297" s="14">
        <v>4</v>
      </c>
      <c r="W297" s="14">
        <v>1</v>
      </c>
      <c r="X297" s="20" t="str">
        <f>IF(ISBLANK(V297),"",IF(V297&gt;W297,"1",IF(V297&lt;W297,"2",IF(V297=W297,"X"))))</f>
        <v>1</v>
      </c>
      <c r="Y297" s="23" t="str">
        <f>COUNTIF(F297:J297, "W")&amp;COUNTIF(F297:J297, "d")&amp;COUNTIF(F297:J297, "l")</f>
        <v>104</v>
      </c>
      <c r="Z297" s="13" t="str">
        <f>COUNTIF(K297:O297, "W")&amp;COUNTIF(K297:O297, "d")&amp;COUNTIF(K297:O297, "l")</f>
        <v>014</v>
      </c>
      <c r="AA297" s="23" t="str">
        <f>_xlfn.CONCAT(Y297,"-",Z297)</f>
        <v>104-014</v>
      </c>
      <c r="AB297" s="15" t="str">
        <f>_xlfn.CONCAT(AA297,"…",TEXT(U297,"+00;-00;+00;"))</f>
        <v>104-014…+03</v>
      </c>
      <c r="AC297" s="23" t="str">
        <f>_xlfn.CONCAT(TEXT(P297,"+00;-00;+00;"),"…",TEXT(Q297,"+00;-00;+00;"))</f>
        <v>+00…-03</v>
      </c>
      <c r="AD297" s="14" t="str">
        <f>IF(X297="","?","")</f>
        <v/>
      </c>
      <c r="AE297" s="15" t="str">
        <f>_xlfn.CONCAT(AA297,"…",TEXT(P297,"+00;-00;+00;"),"...",TEXT(Q297,"+00;-00;+00;"))</f>
        <v>104-014…+00...-03</v>
      </c>
      <c r="AF297" s="13" t="str">
        <f>_xlfn.CONCAT(R297,"…",TEXT(P297,"+00;-00;+00;"),"...",TEXT(Q297,"+00;-00;+00;"))</f>
        <v>WLLLL…+00...-03</v>
      </c>
    </row>
    <row r="298" spans="1:32" x14ac:dyDescent="0.25">
      <c r="A298" s="12" t="s">
        <v>626</v>
      </c>
      <c r="B298" s="13" t="s">
        <v>117</v>
      </c>
      <c r="C298" s="14" t="s">
        <v>0</v>
      </c>
      <c r="D298" s="13" t="s">
        <v>130</v>
      </c>
      <c r="E298" s="13" t="s">
        <v>634</v>
      </c>
      <c r="F298" s="15" t="s">
        <v>30</v>
      </c>
      <c r="G298" s="15" t="s">
        <v>29</v>
      </c>
      <c r="H298" s="15" t="s">
        <v>31</v>
      </c>
      <c r="I298" s="15" t="s">
        <v>29</v>
      </c>
      <c r="J298" s="15" t="s">
        <v>31</v>
      </c>
      <c r="K298" s="15" t="s">
        <v>30</v>
      </c>
      <c r="L298" s="15" t="s">
        <v>31</v>
      </c>
      <c r="M298" s="15" t="s">
        <v>30</v>
      </c>
      <c r="N298" s="15" t="s">
        <v>31</v>
      </c>
      <c r="O298" s="15" t="s">
        <v>31</v>
      </c>
      <c r="P298" s="16">
        <v>7</v>
      </c>
      <c r="Q298" s="16">
        <v>-2</v>
      </c>
      <c r="R298" s="13" t="str">
        <f>_xlfn.CONCAT(F298,G298,H298,I298,J298)</f>
        <v>WDLDL</v>
      </c>
      <c r="S298" s="13" t="str">
        <f>_xlfn.CONCAT(K298,L298,M298,N298,O298)</f>
        <v>WLWLL</v>
      </c>
      <c r="T298" s="13" t="str">
        <f>_xlfn.CONCAT(R298,"***",S298)</f>
        <v>WDLDL***WLWLL</v>
      </c>
      <c r="U298" s="19">
        <f>(P298-Q298)</f>
        <v>9</v>
      </c>
      <c r="V298" s="14">
        <v>3</v>
      </c>
      <c r="W298" s="14">
        <v>1</v>
      </c>
      <c r="X298" s="20" t="str">
        <f>IF(ISBLANK(V298),"",IF(V298&gt;W298,"1",IF(V298&lt;W298,"2",IF(V298=W298,"X"))))</f>
        <v>1</v>
      </c>
      <c r="Y298" s="23" t="str">
        <f>COUNTIF(F298:J298, "W")&amp;COUNTIF(F298:J298, "d")&amp;COUNTIF(F298:J298, "l")</f>
        <v>122</v>
      </c>
      <c r="Z298" s="13" t="str">
        <f>COUNTIF(K298:O298, "W")&amp;COUNTIF(K298:O298, "d")&amp;COUNTIF(K298:O298, "l")</f>
        <v>203</v>
      </c>
      <c r="AA298" s="23" t="str">
        <f>_xlfn.CONCAT(Y298,"-",Z298)</f>
        <v>122-203</v>
      </c>
      <c r="AB298" s="15" t="str">
        <f>_xlfn.CONCAT(AA298,"…",TEXT(U298,"+00;-00;+00;"))</f>
        <v>122-203…+09</v>
      </c>
      <c r="AC298" s="23" t="str">
        <f>_xlfn.CONCAT(TEXT(P298,"+00;-00;+00;"),"…",TEXT(Q298,"+00;-00;+00;"))</f>
        <v>+07…-02</v>
      </c>
      <c r="AD298" s="14" t="str">
        <f>IF(X298="","?","")</f>
        <v/>
      </c>
      <c r="AE298" s="15" t="str">
        <f>_xlfn.CONCAT(AA298,"…",TEXT(P298,"+00;-00;+00;"),"...",TEXT(Q298,"+00;-00;+00;"))</f>
        <v>122-203…+07...-02</v>
      </c>
      <c r="AF298" s="13" t="str">
        <f>_xlfn.CONCAT(R298,"…",TEXT(P298,"+00;-00;+00;"),"...",TEXT(Q298,"+00;-00;+00;"))</f>
        <v>WDLDL…+07...-02</v>
      </c>
    </row>
    <row r="299" spans="1:32" x14ac:dyDescent="0.25">
      <c r="A299" s="12" t="s">
        <v>626</v>
      </c>
      <c r="B299" s="13" t="s">
        <v>318</v>
      </c>
      <c r="C299" s="14">
        <v>1</v>
      </c>
      <c r="D299" s="13" t="s">
        <v>759</v>
      </c>
      <c r="E299" s="13" t="s">
        <v>332</v>
      </c>
      <c r="F299" s="13" t="s">
        <v>29</v>
      </c>
      <c r="G299" s="13" t="s">
        <v>30</v>
      </c>
      <c r="H299" s="13" t="s">
        <v>30</v>
      </c>
      <c r="I299" s="13" t="s">
        <v>31</v>
      </c>
      <c r="J299" s="13" t="s">
        <v>31</v>
      </c>
      <c r="K299" s="13" t="s">
        <v>31</v>
      </c>
      <c r="L299" s="13" t="s">
        <v>31</v>
      </c>
      <c r="M299" s="13" t="s">
        <v>31</v>
      </c>
      <c r="N299" s="13" t="s">
        <v>31</v>
      </c>
      <c r="O299" s="13" t="s">
        <v>30</v>
      </c>
      <c r="P299" s="16">
        <v>17</v>
      </c>
      <c r="Q299" s="16">
        <v>-10</v>
      </c>
      <c r="R299" s="13" t="str">
        <f>_xlfn.CONCAT(F299,G299,H299,I299,J299)</f>
        <v>DWWLL</v>
      </c>
      <c r="S299" s="13" t="str">
        <f>_xlfn.CONCAT(K299,L299,M299,N299,O299)</f>
        <v>LLLLW</v>
      </c>
      <c r="T299" s="13" t="str">
        <f>_xlfn.CONCAT(R299,"***",S299)</f>
        <v>DWWLL***LLLLW</v>
      </c>
      <c r="U299" s="21">
        <f>(P299-Q299)</f>
        <v>27</v>
      </c>
      <c r="V299" s="14">
        <v>1</v>
      </c>
      <c r="W299" s="14">
        <v>0</v>
      </c>
      <c r="X299" s="20" t="str">
        <f>IF(ISBLANK(V299),"",IF(V299&gt;W299,"1",IF(V299&lt;W299,"2",IF(V299=W299,"X"))))</f>
        <v>1</v>
      </c>
      <c r="Y299" s="23" t="str">
        <f>COUNTIF(F299:J299, "W")&amp;COUNTIF(F299:J299, "d")&amp;COUNTIF(F299:J299, "l")</f>
        <v>212</v>
      </c>
      <c r="Z299" s="13" t="str">
        <f>COUNTIF(K299:O299, "W")&amp;COUNTIF(K299:O299, "d")&amp;COUNTIF(K299:O299, "l")</f>
        <v>104</v>
      </c>
      <c r="AA299" s="23" t="str">
        <f>_xlfn.CONCAT(Y299,"-",Z299)</f>
        <v>212-104</v>
      </c>
      <c r="AB299" s="13" t="str">
        <f>_xlfn.CONCAT(AA299,"…",TEXT(U299,"+00;-00;+00;"))</f>
        <v>212-104…+27</v>
      </c>
      <c r="AC299" s="23" t="str">
        <f>_xlfn.CONCAT(TEXT(P299,"+00;-00;+00;"),"…",TEXT(Q299,"+00;-00;+00;"))</f>
        <v>+17…-10</v>
      </c>
      <c r="AD299" s="14" t="str">
        <f>IF(X299="","?","")</f>
        <v/>
      </c>
      <c r="AE299" s="15" t="str">
        <f>_xlfn.CONCAT(AA299,"…",TEXT(P299,"+00;-00;+00;"),"...",TEXT(Q299,"+00;-00;+00;"))</f>
        <v>212-104…+17...-10</v>
      </c>
      <c r="AF299" s="13" t="str">
        <f>_xlfn.CONCAT(R299,"…",TEXT(P299,"+00;-00;+00;"),"...",TEXT(Q299,"+00;-00;+00;"))</f>
        <v>DWWLL…+17...-10</v>
      </c>
    </row>
    <row r="300" spans="1:32" x14ac:dyDescent="0.25">
      <c r="A300" s="17" t="s">
        <v>654</v>
      </c>
      <c r="B300" s="15" t="s">
        <v>59</v>
      </c>
      <c r="C300" s="14">
        <v>2</v>
      </c>
      <c r="D300" s="13" t="s">
        <v>743</v>
      </c>
      <c r="E300" s="13" t="s">
        <v>744</v>
      </c>
      <c r="F300" s="13" t="s">
        <v>31</v>
      </c>
      <c r="G300" s="13" t="s">
        <v>31</v>
      </c>
      <c r="H300" s="13" t="s">
        <v>31</v>
      </c>
      <c r="I300" s="13" t="s">
        <v>29</v>
      </c>
      <c r="J300" s="13" t="s">
        <v>31</v>
      </c>
      <c r="K300" s="13" t="s">
        <v>30</v>
      </c>
      <c r="L300" s="13" t="s">
        <v>29</v>
      </c>
      <c r="M300" s="13" t="s">
        <v>30</v>
      </c>
      <c r="N300" s="13" t="s">
        <v>30</v>
      </c>
      <c r="O300" s="13" t="s">
        <v>31</v>
      </c>
      <c r="P300" s="16">
        <v>-1</v>
      </c>
      <c r="Q300" s="16">
        <v>4</v>
      </c>
      <c r="R300" s="13" t="str">
        <f>_xlfn.CONCAT(F300,G300,H300,I300,J300)</f>
        <v>LLLDL</v>
      </c>
      <c r="S300" s="13" t="str">
        <f>_xlfn.CONCAT(K300,L300,M300,N300,O300)</f>
        <v>WDWWL</v>
      </c>
      <c r="T300" s="13" t="str">
        <f>_xlfn.CONCAT(R300,"***",S300)</f>
        <v>LLLDL***WDWWL</v>
      </c>
      <c r="U300" s="21">
        <f>(P300-Q300)</f>
        <v>-5</v>
      </c>
      <c r="V300" s="14">
        <v>2</v>
      </c>
      <c r="W300" s="14">
        <v>1</v>
      </c>
      <c r="X300" s="20" t="str">
        <f>IF(ISBLANK(V300),"",IF(V300&gt;W300,"1",IF(V300&lt;W300,"2",IF(V300=W300,"X"))))</f>
        <v>1</v>
      </c>
      <c r="Y300" s="23" t="str">
        <f>COUNTIF(F300:J300, "W")&amp;COUNTIF(F300:J300, "d")&amp;COUNTIF(F300:J300, "l")</f>
        <v>014</v>
      </c>
      <c r="Z300" s="13" t="str">
        <f>COUNTIF(K300:O300, "W")&amp;COUNTIF(K300:O300, "d")&amp;COUNTIF(K300:O300, "l")</f>
        <v>311</v>
      </c>
      <c r="AA300" s="23" t="str">
        <f>_xlfn.CONCAT(Y300,"-",Z300)</f>
        <v>014-311</v>
      </c>
      <c r="AB300" s="13" t="str">
        <f>_xlfn.CONCAT(AA300,"…",TEXT(U300,"+00;-00;+00;"))</f>
        <v>014-311…-05</v>
      </c>
      <c r="AC300" s="23" t="str">
        <f>_xlfn.CONCAT(TEXT(P300,"+00;-00;+00;"),"…",TEXT(Q300,"+00;-00;+00;"))</f>
        <v>-01…+04</v>
      </c>
      <c r="AD300" s="14" t="str">
        <f>IF(X300="","?","")</f>
        <v/>
      </c>
      <c r="AE300" s="15" t="str">
        <f>_xlfn.CONCAT(AA300,"…",TEXT(P300,"+00;-00;+00;"),"...",TEXT(Q300,"+00;-00;+00;"))</f>
        <v>014-311…-01...+04</v>
      </c>
      <c r="AF300" s="13" t="str">
        <f>_xlfn.CONCAT(R300,"…",TEXT(P300,"+00;-00;+00;"),"...",TEXT(Q300,"+00;-00;+00;"))</f>
        <v>LLLDL…-01...+04</v>
      </c>
    </row>
    <row r="301" spans="1:32" x14ac:dyDescent="0.25">
      <c r="A301" s="12" t="s">
        <v>654</v>
      </c>
      <c r="B301" s="13" t="s">
        <v>295</v>
      </c>
      <c r="C301" s="14">
        <v>1</v>
      </c>
      <c r="D301" s="13" t="s">
        <v>688</v>
      </c>
      <c r="E301" s="13" t="s">
        <v>316</v>
      </c>
      <c r="F301" s="13" t="s">
        <v>30</v>
      </c>
      <c r="G301" s="13" t="s">
        <v>31</v>
      </c>
      <c r="H301" s="13" t="s">
        <v>31</v>
      </c>
      <c r="I301" s="13" t="s">
        <v>31</v>
      </c>
      <c r="J301" s="13" t="s">
        <v>29</v>
      </c>
      <c r="K301" s="13" t="s">
        <v>31</v>
      </c>
      <c r="L301" s="13" t="s">
        <v>30</v>
      </c>
      <c r="M301" s="13" t="s">
        <v>31</v>
      </c>
      <c r="N301" s="13" t="s">
        <v>30</v>
      </c>
      <c r="O301" s="13" t="s">
        <v>29</v>
      </c>
      <c r="P301" s="16">
        <v>-12</v>
      </c>
      <c r="Q301" s="16">
        <v>0</v>
      </c>
      <c r="R301" s="13" t="str">
        <f>_xlfn.CONCAT(F301,G301,H301,I301,J301)</f>
        <v>WLLLD</v>
      </c>
      <c r="S301" s="13" t="str">
        <f>_xlfn.CONCAT(K301,L301,M301,N301,O301)</f>
        <v>LWLWD</v>
      </c>
      <c r="T301" s="13" t="str">
        <f>_xlfn.CONCAT(R301,"***",S301)</f>
        <v>WLLLD***LWLWD</v>
      </c>
      <c r="U301" s="22">
        <f>(P301-Q301)</f>
        <v>-12</v>
      </c>
      <c r="V301" s="14">
        <v>0</v>
      </c>
      <c r="W301" s="14">
        <v>1</v>
      </c>
      <c r="X301" s="20" t="str">
        <f>IF(ISBLANK(V301),"",IF(V301&gt;W301,"1",IF(V301&lt;W301,"2",IF(V301=W301,"X"))))</f>
        <v>2</v>
      </c>
      <c r="Y301" s="23" t="str">
        <f>COUNTIF(F301:J301, "W")&amp;COUNTIF(F301:J301, "d")&amp;COUNTIF(F301:J301, "l")</f>
        <v>113</v>
      </c>
      <c r="Z301" s="13" t="str">
        <f>COUNTIF(K301:O301, "W")&amp;COUNTIF(K301:O301, "d")&amp;COUNTIF(K301:O301, "l")</f>
        <v>212</v>
      </c>
      <c r="AA301" s="23" t="str">
        <f>_xlfn.CONCAT(Y301,"-",Z301)</f>
        <v>113-212</v>
      </c>
      <c r="AB301" s="13" t="str">
        <f>_xlfn.CONCAT(AA301,"…",TEXT(U301,"+00;-00;+00;"))</f>
        <v>113-212…-12</v>
      </c>
      <c r="AC301" s="23" t="str">
        <f>_xlfn.CONCAT(TEXT(P301,"+00;-00;+00;"),"…",TEXT(Q301,"+00;-00;+00;"))</f>
        <v>-12…+00</v>
      </c>
      <c r="AD301" s="14" t="str">
        <f>IF(X301="","?","")</f>
        <v/>
      </c>
      <c r="AE301" s="15" t="str">
        <f>_xlfn.CONCAT(AA301,"…",TEXT(P301,"+00;-00;+00;"),"...",TEXT(Q301,"+00;-00;+00;"))</f>
        <v>113-212…-12...+00</v>
      </c>
      <c r="AF301" s="13" t="str">
        <f>_xlfn.CONCAT(R301,"…",TEXT(P301,"+00;-00;+00;"),"...",TEXT(Q301,"+00;-00;+00;"))</f>
        <v>WLLLD…-12...+00</v>
      </c>
    </row>
    <row r="302" spans="1:32" x14ac:dyDescent="0.25">
      <c r="A302" s="12" t="s">
        <v>654</v>
      </c>
      <c r="B302" s="13" t="s">
        <v>59</v>
      </c>
      <c r="C302" s="14">
        <v>1</v>
      </c>
      <c r="D302" s="13" t="s">
        <v>728</v>
      </c>
      <c r="E302" s="13" t="s">
        <v>729</v>
      </c>
      <c r="F302" s="13" t="s">
        <v>31</v>
      </c>
      <c r="G302" s="13" t="s">
        <v>29</v>
      </c>
      <c r="H302" s="13" t="s">
        <v>31</v>
      </c>
      <c r="I302" s="13" t="s">
        <v>31</v>
      </c>
      <c r="J302" s="13" t="s">
        <v>30</v>
      </c>
      <c r="K302" s="13" t="s">
        <v>30</v>
      </c>
      <c r="L302" s="13" t="s">
        <v>30</v>
      </c>
      <c r="M302" s="13" t="s">
        <v>31</v>
      </c>
      <c r="N302" s="13" t="s">
        <v>29</v>
      </c>
      <c r="O302" s="13" t="s">
        <v>30</v>
      </c>
      <c r="P302" s="16">
        <v>-8</v>
      </c>
      <c r="Q302" s="16">
        <v>8</v>
      </c>
      <c r="R302" s="13" t="str">
        <f>_xlfn.CONCAT(F302,G302,H302,I302,J302)</f>
        <v>LDLLW</v>
      </c>
      <c r="S302" s="13" t="str">
        <f>_xlfn.CONCAT(K302,L302,M302,N302,O302)</f>
        <v>WWLDW</v>
      </c>
      <c r="T302" s="13" t="str">
        <f>_xlfn.CONCAT(R302,"***",S302)</f>
        <v>LDLLW***WWLDW</v>
      </c>
      <c r="U302" s="21">
        <f>(P302-Q302)</f>
        <v>-16</v>
      </c>
      <c r="V302" s="14">
        <v>1</v>
      </c>
      <c r="W302" s="14">
        <v>1</v>
      </c>
      <c r="X302" s="20" t="str">
        <f>IF(ISBLANK(V302),"",IF(V302&gt;W302,"1",IF(V302&lt;W302,"2",IF(V302=W302,"X"))))</f>
        <v>X</v>
      </c>
      <c r="Y302" s="23" t="str">
        <f>COUNTIF(F302:J302, "W")&amp;COUNTIF(F302:J302, "d")&amp;COUNTIF(F302:J302, "l")</f>
        <v>113</v>
      </c>
      <c r="Z302" s="13" t="str">
        <f>COUNTIF(K302:O302, "W")&amp;COUNTIF(K302:O302, "d")&amp;COUNTIF(K302:O302, "l")</f>
        <v>311</v>
      </c>
      <c r="AA302" s="23" t="str">
        <f>_xlfn.CONCAT(Y302,"-",Z302)</f>
        <v>113-311</v>
      </c>
      <c r="AB302" s="13" t="str">
        <f>_xlfn.CONCAT(AA302,"…",TEXT(U302,"+00;-00;+00;"))</f>
        <v>113-311…-16</v>
      </c>
      <c r="AC302" s="23" t="str">
        <f>_xlfn.CONCAT(TEXT(P302,"+00;-00;+00;"),"…",TEXT(Q302,"+00;-00;+00;"))</f>
        <v>-08…+08</v>
      </c>
      <c r="AD302" s="14" t="str">
        <f>IF(X302="","?","")</f>
        <v/>
      </c>
      <c r="AE302" s="15" t="str">
        <f>_xlfn.CONCAT(AA302,"…",TEXT(P302,"+00;-00;+00;"),"...",TEXT(Q302,"+00;-00;+00;"))</f>
        <v>113-311…-08...+08</v>
      </c>
      <c r="AF302" s="13" t="str">
        <f>_xlfn.CONCAT(R302,"…",TEXT(P302,"+00;-00;+00;"),"...",TEXT(Q302,"+00;-00;+00;"))</f>
        <v>LDLLW…-08...+08</v>
      </c>
    </row>
    <row r="303" spans="1:32" x14ac:dyDescent="0.25">
      <c r="A303" s="12" t="s">
        <v>654</v>
      </c>
      <c r="B303" s="13" t="s">
        <v>167</v>
      </c>
      <c r="C303" s="14">
        <v>1</v>
      </c>
      <c r="D303" s="13" t="s">
        <v>696</v>
      </c>
      <c r="E303" s="13" t="s">
        <v>175</v>
      </c>
      <c r="F303" s="13" t="s">
        <v>29</v>
      </c>
      <c r="G303" s="13" t="s">
        <v>31</v>
      </c>
      <c r="H303" s="13" t="s">
        <v>31</v>
      </c>
      <c r="I303" s="13" t="s">
        <v>31</v>
      </c>
      <c r="J303" s="13" t="s">
        <v>30</v>
      </c>
      <c r="K303" s="13" t="s">
        <v>30</v>
      </c>
      <c r="L303" s="13" t="s">
        <v>29</v>
      </c>
      <c r="M303" s="13" t="s">
        <v>30</v>
      </c>
      <c r="N303" s="13" t="s">
        <v>30</v>
      </c>
      <c r="O303" s="13" t="s">
        <v>30</v>
      </c>
      <c r="P303" s="16">
        <v>-6</v>
      </c>
      <c r="Q303" s="16">
        <v>10</v>
      </c>
      <c r="R303" s="13" t="str">
        <f>_xlfn.CONCAT(F303,G303,H303,I303,J303)</f>
        <v>DLLLW</v>
      </c>
      <c r="S303" s="13" t="str">
        <f>_xlfn.CONCAT(K303,L303,M303,N303,O303)</f>
        <v>WDWWW</v>
      </c>
      <c r="T303" s="13" t="str">
        <f>_xlfn.CONCAT(R303,"***",S303)</f>
        <v>DLLLW***WDWWW</v>
      </c>
      <c r="U303" s="21">
        <f>(P303-Q303)</f>
        <v>-16</v>
      </c>
      <c r="V303" s="14">
        <v>1</v>
      </c>
      <c r="W303" s="14">
        <v>0</v>
      </c>
      <c r="X303" s="20" t="str">
        <f>IF(ISBLANK(V303),"",IF(V303&gt;W303,"1",IF(V303&lt;W303,"2",IF(V303=W303,"X"))))</f>
        <v>1</v>
      </c>
      <c r="Y303" s="23" t="str">
        <f>COUNTIF(F303:J303, "W")&amp;COUNTIF(F303:J303, "d")&amp;COUNTIF(F303:J303, "l")</f>
        <v>113</v>
      </c>
      <c r="Z303" s="13" t="str">
        <f>COUNTIF(K303:O303, "W")&amp;COUNTIF(K303:O303, "d")&amp;COUNTIF(K303:O303, "l")</f>
        <v>410</v>
      </c>
      <c r="AA303" s="23" t="str">
        <f>_xlfn.CONCAT(Y303,"-",Z303)</f>
        <v>113-410</v>
      </c>
      <c r="AB303" s="13" t="str">
        <f>_xlfn.CONCAT(AA303,"…",TEXT(U303,"+00;-00;+00;"))</f>
        <v>113-410…-16</v>
      </c>
      <c r="AC303" s="23" t="str">
        <f>_xlfn.CONCAT(TEXT(P303,"+00;-00;+00;"),"…",TEXT(Q303,"+00;-00;+00;"))</f>
        <v>-06…+10</v>
      </c>
      <c r="AD303" s="14" t="str">
        <f>IF(X303="","?","")</f>
        <v/>
      </c>
      <c r="AE303" s="15" t="str">
        <f>_xlfn.CONCAT(AA303,"…",TEXT(P303,"+00;-00;+00;"),"...",TEXT(Q303,"+00;-00;+00;"))</f>
        <v>113-410…-06...+10</v>
      </c>
      <c r="AF303" s="13" t="str">
        <f>_xlfn.CONCAT(R303,"…",TEXT(P303,"+00;-00;+00;"),"...",TEXT(Q303,"+00;-00;+00;"))</f>
        <v>DLLLW…-06...+10</v>
      </c>
    </row>
    <row r="304" spans="1:32" x14ac:dyDescent="0.25">
      <c r="A304" s="12" t="s">
        <v>254</v>
      </c>
      <c r="B304" s="13" t="s">
        <v>250</v>
      </c>
      <c r="C304" s="14">
        <v>1</v>
      </c>
      <c r="D304" s="13" t="s">
        <v>268</v>
      </c>
      <c r="E304" s="13" t="s">
        <v>267</v>
      </c>
      <c r="F304" s="15" t="s">
        <v>31</v>
      </c>
      <c r="G304" s="15" t="s">
        <v>31</v>
      </c>
      <c r="H304" s="15" t="s">
        <v>29</v>
      </c>
      <c r="I304" s="15" t="s">
        <v>31</v>
      </c>
      <c r="J304" s="15" t="s">
        <v>31</v>
      </c>
      <c r="K304" s="15" t="s">
        <v>30</v>
      </c>
      <c r="L304" s="15" t="s">
        <v>31</v>
      </c>
      <c r="M304" s="15" t="s">
        <v>30</v>
      </c>
      <c r="N304" s="15" t="s">
        <v>31</v>
      </c>
      <c r="O304" s="15" t="s">
        <v>30</v>
      </c>
      <c r="P304" s="16">
        <v>-5</v>
      </c>
      <c r="Q304" s="16">
        <v>-12</v>
      </c>
      <c r="R304" s="13" t="str">
        <f>_xlfn.CONCAT(F304,G304,H304,I304,J304)</f>
        <v>LLDLL</v>
      </c>
      <c r="S304" s="13" t="str">
        <f>_xlfn.CONCAT(K304,L304,M304,N304,O304)</f>
        <v>WLWLW</v>
      </c>
      <c r="T304" s="13" t="str">
        <f>_xlfn.CONCAT(R304,"***",S304)</f>
        <v>LLDLL***WLWLW</v>
      </c>
      <c r="U304" s="19">
        <f>(P304-Q304)</f>
        <v>7</v>
      </c>
      <c r="V304" s="14">
        <v>1</v>
      </c>
      <c r="W304" s="14">
        <v>0</v>
      </c>
      <c r="X304" s="20" t="str">
        <f>IF(ISBLANK(V304),"",IF(V304&gt;W304,"1",IF(V304&lt;W304,"2",IF(V304=W304,"X"))))</f>
        <v>1</v>
      </c>
      <c r="Y304" s="23" t="str">
        <f>COUNTIF(F304:J304, "W")&amp;COUNTIF(F304:J304, "d")&amp;COUNTIF(F304:J304, "l")</f>
        <v>014</v>
      </c>
      <c r="Z304" s="13" t="str">
        <f>COUNTIF(K304:O304, "W")&amp;COUNTIF(K304:O304, "d")&amp;COUNTIF(K304:O304, "l")</f>
        <v>302</v>
      </c>
      <c r="AA304" s="23" t="str">
        <f>_xlfn.CONCAT(Y304,"-",Z304)</f>
        <v>014-302</v>
      </c>
      <c r="AB304" s="15" t="str">
        <f>_xlfn.CONCAT(AA304,"…",TEXT(U304,"+00;-00;+00;"))</f>
        <v>014-302…+07</v>
      </c>
      <c r="AC304" s="23" t="str">
        <f>_xlfn.CONCAT(TEXT(P304,"+00;-00;+00;"),"…",TEXT(Q304,"+00;-00;+00;"))</f>
        <v>-05…-12</v>
      </c>
      <c r="AD304" s="14" t="str">
        <f>IF(X304="","?","")</f>
        <v/>
      </c>
      <c r="AE304" s="15" t="str">
        <f>_xlfn.CONCAT(AA304,"…",TEXT(P304,"+00;-00;+00;"),"...",TEXT(Q304,"+00;-00;+00;"))</f>
        <v>014-302…-05...-12</v>
      </c>
      <c r="AF304" s="13" t="str">
        <f>_xlfn.CONCAT(R304,"…",TEXT(P304,"+00;-00;+00;"),"...",TEXT(Q304,"+00;-00;+00;"))</f>
        <v>LLDLL…-05...-12</v>
      </c>
    </row>
    <row r="305" spans="1:32" x14ac:dyDescent="0.25">
      <c r="A305" s="13" t="s">
        <v>254</v>
      </c>
      <c r="B305" s="13" t="s">
        <v>250</v>
      </c>
      <c r="C305" s="14">
        <v>2</v>
      </c>
      <c r="D305" s="13" t="s">
        <v>289</v>
      </c>
      <c r="E305" s="13" t="s">
        <v>859</v>
      </c>
      <c r="F305" s="13" t="s">
        <v>31</v>
      </c>
      <c r="G305" s="13" t="s">
        <v>31</v>
      </c>
      <c r="H305" s="13" t="s">
        <v>31</v>
      </c>
      <c r="I305" s="13" t="s">
        <v>30</v>
      </c>
      <c r="J305" s="13" t="s">
        <v>30</v>
      </c>
      <c r="K305" s="13" t="s">
        <v>29</v>
      </c>
      <c r="L305" s="13" t="s">
        <v>31</v>
      </c>
      <c r="M305" s="13" t="s">
        <v>29</v>
      </c>
      <c r="N305" s="13" t="s">
        <v>30</v>
      </c>
      <c r="O305" s="13" t="s">
        <v>31</v>
      </c>
      <c r="P305" s="16">
        <v>5</v>
      </c>
      <c r="Q305" s="16">
        <v>-2</v>
      </c>
      <c r="R305" s="13" t="str">
        <f>_xlfn.CONCAT(F305,G305,H305,I305,J305)</f>
        <v>LLLWW</v>
      </c>
      <c r="S305" s="13" t="str">
        <f>_xlfn.CONCAT(K305,L305,M305,N305,O305)</f>
        <v>DLDWL</v>
      </c>
      <c r="T305" s="13" t="str">
        <f>_xlfn.CONCAT(R305,"***",S305)</f>
        <v>LLLWW***DLDWL</v>
      </c>
      <c r="U305" s="21">
        <f>(P305-Q305)</f>
        <v>7</v>
      </c>
      <c r="V305" s="14">
        <v>1</v>
      </c>
      <c r="W305" s="14">
        <v>0</v>
      </c>
      <c r="X305" s="20" t="str">
        <f>IF(ISBLANK(V305),"",IF(V305&gt;W305,"1",IF(V305&lt;W305,"2",IF(V305=W305,"X"))))</f>
        <v>1</v>
      </c>
      <c r="Y305" s="23" t="str">
        <f>COUNTIF(F305:J305, "W")&amp;COUNTIF(F305:J305, "d")&amp;COUNTIF(F305:J305, "l")</f>
        <v>203</v>
      </c>
      <c r="Z305" s="13" t="str">
        <f>COUNTIF(K305:O305, "W")&amp;COUNTIF(K305:O305, "d")&amp;COUNTIF(K305:O305, "l")</f>
        <v>122</v>
      </c>
      <c r="AA305" s="23" t="str">
        <f>_xlfn.CONCAT(Y305,"-",Z305)</f>
        <v>203-122</v>
      </c>
      <c r="AB305" s="13" t="str">
        <f>_xlfn.CONCAT(AA305,"…",TEXT(U305,"+00;-00;+00;"))</f>
        <v>203-122…+07</v>
      </c>
      <c r="AC305" s="23" t="str">
        <f>_xlfn.CONCAT(TEXT(P305,"+00;-00;+00;"),"…",TEXT(Q305,"+00;-00;+00;"))</f>
        <v>+05…-02</v>
      </c>
      <c r="AD305" s="14" t="str">
        <f>IF(X305="","?","")</f>
        <v/>
      </c>
      <c r="AE305" s="15" t="str">
        <f>_xlfn.CONCAT(AA305,"…",TEXT(P305,"+00;-00;+00;"),"...",TEXT(Q305,"+00;-00;+00;"))</f>
        <v>203-122…+05...-02</v>
      </c>
      <c r="AF305" s="13" t="str">
        <f>_xlfn.CONCAT(R305,"…",TEXT(P305,"+00;-00;+00;"),"...",TEXT(Q305,"+00;-00;+00;"))</f>
        <v>LLLWW…+05...-02</v>
      </c>
    </row>
    <row r="306" spans="1:32" x14ac:dyDescent="0.25">
      <c r="A306" s="12" t="s">
        <v>809</v>
      </c>
      <c r="B306" s="13" t="s">
        <v>397</v>
      </c>
      <c r="C306" s="14" t="s">
        <v>0</v>
      </c>
      <c r="D306" s="13" t="s">
        <v>813</v>
      </c>
      <c r="E306" s="13" t="s">
        <v>141</v>
      </c>
      <c r="F306" s="13" t="s">
        <v>30</v>
      </c>
      <c r="G306" s="13" t="s">
        <v>31</v>
      </c>
      <c r="H306" s="13" t="s">
        <v>30</v>
      </c>
      <c r="I306" s="13" t="s">
        <v>29</v>
      </c>
      <c r="J306" s="13" t="s">
        <v>31</v>
      </c>
      <c r="K306" s="13" t="s">
        <v>30</v>
      </c>
      <c r="L306" s="13" t="s">
        <v>30</v>
      </c>
      <c r="M306" s="13" t="s">
        <v>31</v>
      </c>
      <c r="N306" s="13" t="s">
        <v>29</v>
      </c>
      <c r="O306" s="13" t="s">
        <v>30</v>
      </c>
      <c r="P306" s="16">
        <v>-2</v>
      </c>
      <c r="Q306" s="16">
        <v>-2</v>
      </c>
      <c r="R306" s="13" t="str">
        <f>_xlfn.CONCAT(F306,G306,H306,I306,J306)</f>
        <v>WLWDL</v>
      </c>
      <c r="S306" s="13" t="str">
        <f>_xlfn.CONCAT(K306,L306,M306,N306,O306)</f>
        <v>WWLDW</v>
      </c>
      <c r="T306" s="13" t="str">
        <f>_xlfn.CONCAT(R306,"***",S306)</f>
        <v>WLWDL***WWLDW</v>
      </c>
      <c r="U306" s="21">
        <f>(P306-Q306)</f>
        <v>0</v>
      </c>
      <c r="V306" s="14">
        <v>1</v>
      </c>
      <c r="W306" s="14">
        <v>2</v>
      </c>
      <c r="X306" s="20" t="str">
        <f>IF(ISBLANK(V306),"",IF(V306&gt;W306,"1",IF(V306&lt;W306,"2",IF(V306=W306,"X"))))</f>
        <v>2</v>
      </c>
      <c r="Y306" s="23" t="str">
        <f>COUNTIF(F306:J306, "W")&amp;COUNTIF(F306:J306, "d")&amp;COUNTIF(F306:J306, "l")</f>
        <v>212</v>
      </c>
      <c r="Z306" s="13" t="str">
        <f>COUNTIF(K306:O306, "W")&amp;COUNTIF(K306:O306, "d")&amp;COUNTIF(K306:O306, "l")</f>
        <v>311</v>
      </c>
      <c r="AA306" s="23" t="str">
        <f>_xlfn.CONCAT(Y306,"-",Z306)</f>
        <v>212-311</v>
      </c>
      <c r="AB306" s="13" t="str">
        <f>_xlfn.CONCAT(AA306,"…",TEXT(U306,"+00;-00;+00;"))</f>
        <v>212-311…+00</v>
      </c>
      <c r="AC306" s="23" t="str">
        <f>_xlfn.CONCAT(TEXT(P306,"+00;-00;+00;"),"…",TEXT(Q306,"+00;-00;+00;"))</f>
        <v>-02…-02</v>
      </c>
      <c r="AD306" s="14" t="str">
        <f>IF(X306="","?","")</f>
        <v/>
      </c>
      <c r="AE306" s="15" t="str">
        <f>_xlfn.CONCAT(AA306,"…",TEXT(P306,"+00;-00;+00;"),"...",TEXT(Q306,"+00;-00;+00;"))</f>
        <v>212-311…-02...-02</v>
      </c>
      <c r="AF306" s="13" t="str">
        <f>_xlfn.CONCAT(R306,"…",TEXT(P306,"+00;-00;+00;"),"...",TEXT(Q306,"+00;-00;+00;"))</f>
        <v>WLWDL…-02...-02</v>
      </c>
    </row>
    <row r="307" spans="1:32" x14ac:dyDescent="0.25">
      <c r="A307" s="12" t="s">
        <v>810</v>
      </c>
      <c r="B307" s="13" t="s">
        <v>397</v>
      </c>
      <c r="C307" s="14" t="s">
        <v>0</v>
      </c>
      <c r="D307" s="13" t="s">
        <v>814</v>
      </c>
      <c r="E307" s="13" t="s">
        <v>815</v>
      </c>
      <c r="F307" s="13" t="s">
        <v>30</v>
      </c>
      <c r="G307" s="13" t="s">
        <v>30</v>
      </c>
      <c r="H307" s="13" t="s">
        <v>30</v>
      </c>
      <c r="I307" s="13" t="s">
        <v>29</v>
      </c>
      <c r="J307" s="13" t="s">
        <v>29</v>
      </c>
      <c r="K307" s="13" t="s">
        <v>30</v>
      </c>
      <c r="L307" s="13" t="s">
        <v>29</v>
      </c>
      <c r="M307" s="13" t="s">
        <v>31</v>
      </c>
      <c r="N307" s="13" t="s">
        <v>29</v>
      </c>
      <c r="O307" s="13" t="s">
        <v>30</v>
      </c>
      <c r="P307" s="16">
        <v>22</v>
      </c>
      <c r="Q307" s="16">
        <v>2</v>
      </c>
      <c r="R307" s="13" t="str">
        <f>_xlfn.CONCAT(F307,G307,H307,I307,J307)</f>
        <v>WWWDD</v>
      </c>
      <c r="S307" s="13" t="str">
        <f>_xlfn.CONCAT(K307,L307,M307,N307,O307)</f>
        <v>WDLDW</v>
      </c>
      <c r="T307" s="13" t="str">
        <f>_xlfn.CONCAT(R307,"***",S307)</f>
        <v>WWWDD***WDLDW</v>
      </c>
      <c r="U307" s="21">
        <f>(P307-Q307)</f>
        <v>20</v>
      </c>
      <c r="V307" s="14">
        <v>2</v>
      </c>
      <c r="W307" s="14">
        <v>1</v>
      </c>
      <c r="X307" s="20" t="str">
        <f>IF(ISBLANK(V307),"",IF(V307&gt;W307,"1",IF(V307&lt;W307,"2",IF(V307=W307,"X"))))</f>
        <v>1</v>
      </c>
      <c r="Y307" s="23" t="str">
        <f>COUNTIF(F307:J307, "W")&amp;COUNTIF(F307:J307, "d")&amp;COUNTIF(F307:J307, "l")</f>
        <v>320</v>
      </c>
      <c r="Z307" s="13" t="str">
        <f>COUNTIF(K307:O307, "W")&amp;COUNTIF(K307:O307, "d")&amp;COUNTIF(K307:O307, "l")</f>
        <v>221</v>
      </c>
      <c r="AA307" s="23" t="str">
        <f>_xlfn.CONCAT(Y307,"-",Z307)</f>
        <v>320-221</v>
      </c>
      <c r="AB307" s="13" t="str">
        <f>_xlfn.CONCAT(AA307,"…",TEXT(U307,"+00;-00;+00;"))</f>
        <v>320-221…+20</v>
      </c>
      <c r="AC307" s="23" t="str">
        <f>_xlfn.CONCAT(TEXT(P307,"+00;-00;+00;"),"…",TEXT(Q307,"+00;-00;+00;"))</f>
        <v>+22…+02</v>
      </c>
      <c r="AD307" s="14" t="str">
        <f>IF(X307="","?","")</f>
        <v/>
      </c>
      <c r="AE307" s="15" t="str">
        <f>_xlfn.CONCAT(AA307,"…",TEXT(P307,"+00;-00;+00;"),"...",TEXT(Q307,"+00;-00;+00;"))</f>
        <v>320-221…+22...+02</v>
      </c>
      <c r="AF307" s="13" t="str">
        <f>_xlfn.CONCAT(R307,"…",TEXT(P307,"+00;-00;+00;"),"...",TEXT(Q307,"+00;-00;+00;"))</f>
        <v>WWWDD…+22...+02</v>
      </c>
    </row>
    <row r="308" spans="1:32" x14ac:dyDescent="0.25">
      <c r="A308" s="12" t="s">
        <v>764</v>
      </c>
      <c r="B308" s="13" t="s">
        <v>417</v>
      </c>
      <c r="C308" s="14">
        <v>1</v>
      </c>
      <c r="D308" s="13" t="s">
        <v>769</v>
      </c>
      <c r="E308" s="13" t="s">
        <v>770</v>
      </c>
      <c r="F308" s="13" t="s">
        <v>31</v>
      </c>
      <c r="G308" s="13" t="s">
        <v>31</v>
      </c>
      <c r="H308" s="13" t="s">
        <v>31</v>
      </c>
      <c r="I308" s="13" t="s">
        <v>31</v>
      </c>
      <c r="J308" s="13" t="s">
        <v>31</v>
      </c>
      <c r="K308" s="13" t="s">
        <v>30</v>
      </c>
      <c r="L308" s="13" t="s">
        <v>30</v>
      </c>
      <c r="M308" s="13" t="s">
        <v>29</v>
      </c>
      <c r="N308" s="13" t="s">
        <v>30</v>
      </c>
      <c r="O308" s="13" t="s">
        <v>30</v>
      </c>
      <c r="P308" s="16">
        <v>-22</v>
      </c>
      <c r="Q308" s="16">
        <v>30</v>
      </c>
      <c r="R308" s="13" t="str">
        <f>_xlfn.CONCAT(F308,G308,H308,I308,J308)</f>
        <v>LLLLL</v>
      </c>
      <c r="S308" s="13" t="str">
        <f>_xlfn.CONCAT(K308,L308,M308,N308,O308)</f>
        <v>WWDWW</v>
      </c>
      <c r="T308" s="13" t="str">
        <f>_xlfn.CONCAT(R308,"***",S308)</f>
        <v>LLLLL***WWDWW</v>
      </c>
      <c r="U308" s="21">
        <f>(P308-Q308)</f>
        <v>-52</v>
      </c>
      <c r="V308" s="14">
        <v>0</v>
      </c>
      <c r="W308" s="14">
        <v>1</v>
      </c>
      <c r="X308" s="20" t="str">
        <f>IF(ISBLANK(V308),"",IF(V308&gt;W308,"1",IF(V308&lt;W308,"2",IF(V308=W308,"X"))))</f>
        <v>2</v>
      </c>
      <c r="Y308" s="23" t="str">
        <f>COUNTIF(F308:J308, "W")&amp;COUNTIF(F308:J308, "d")&amp;COUNTIF(F308:J308, "l")</f>
        <v>005</v>
      </c>
      <c r="Z308" s="13" t="str">
        <f>COUNTIF(K308:O308, "W")&amp;COUNTIF(K308:O308, "d")&amp;COUNTIF(K308:O308, "l")</f>
        <v>410</v>
      </c>
      <c r="AA308" s="23" t="str">
        <f>_xlfn.CONCAT(Y308,"-",Z308)</f>
        <v>005-410</v>
      </c>
      <c r="AB308" s="13" t="str">
        <f>_xlfn.CONCAT(AA308,"…",TEXT(U308,"+00;-00;+00;"))</f>
        <v>005-410…-52</v>
      </c>
      <c r="AC308" s="23" t="str">
        <f>_xlfn.CONCAT(TEXT(P308,"+00;-00;+00;"),"…",TEXT(Q308,"+00;-00;+00;"))</f>
        <v>-22…+30</v>
      </c>
      <c r="AD308" s="14" t="str">
        <f>IF(X308="","?","")</f>
        <v/>
      </c>
      <c r="AE308" s="15" t="str">
        <f>_xlfn.CONCAT(AA308,"…",TEXT(P308,"+00;-00;+00;"),"...",TEXT(Q308,"+00;-00;+00;"))</f>
        <v>005-410…-22...+30</v>
      </c>
      <c r="AF308" s="13" t="str">
        <f>_xlfn.CONCAT(R308,"…",TEXT(P308,"+00;-00;+00;"),"...",TEXT(Q308,"+00;-00;+00;"))</f>
        <v>LLLLL…-22...+30</v>
      </c>
    </row>
    <row r="309" spans="1:32" x14ac:dyDescent="0.25">
      <c r="A309" s="12" t="s">
        <v>764</v>
      </c>
      <c r="B309" s="13" t="s">
        <v>417</v>
      </c>
      <c r="C309" s="14">
        <v>1</v>
      </c>
      <c r="D309" s="13" t="s">
        <v>772</v>
      </c>
      <c r="E309" s="13" t="s">
        <v>774</v>
      </c>
      <c r="F309" s="13" t="s">
        <v>31</v>
      </c>
      <c r="G309" s="13" t="s">
        <v>29</v>
      </c>
      <c r="H309" s="13" t="s">
        <v>29</v>
      </c>
      <c r="I309" s="13" t="s">
        <v>31</v>
      </c>
      <c r="J309" s="13" t="s">
        <v>29</v>
      </c>
      <c r="K309" s="13" t="s">
        <v>31</v>
      </c>
      <c r="L309" s="13" t="s">
        <v>30</v>
      </c>
      <c r="M309" s="13" t="s">
        <v>31</v>
      </c>
      <c r="N309" s="13" t="s">
        <v>30</v>
      </c>
      <c r="O309" s="13" t="s">
        <v>29</v>
      </c>
      <c r="P309" s="16">
        <v>8</v>
      </c>
      <c r="Q309" s="16">
        <v>-26</v>
      </c>
      <c r="R309" s="13" t="str">
        <f>_xlfn.CONCAT(F309,G309,H309,I309,J309)</f>
        <v>LDDLD</v>
      </c>
      <c r="S309" s="13" t="str">
        <f>_xlfn.CONCAT(K309,L309,M309,N309,O309)</f>
        <v>LWLWD</v>
      </c>
      <c r="T309" s="13" t="str">
        <f>_xlfn.CONCAT(R309,"***",S309)</f>
        <v>LDDLD***LWLWD</v>
      </c>
      <c r="U309" s="21">
        <f>(P309-Q309)</f>
        <v>34</v>
      </c>
      <c r="V309" s="14">
        <v>2</v>
      </c>
      <c r="W309" s="14">
        <v>1</v>
      </c>
      <c r="X309" s="20" t="str">
        <f>IF(ISBLANK(V309),"",IF(V309&gt;W309,"1",IF(V309&lt;W309,"2",IF(V309=W309,"X"))))</f>
        <v>1</v>
      </c>
      <c r="Y309" s="23" t="str">
        <f>COUNTIF(F309:J309, "W")&amp;COUNTIF(F309:J309, "d")&amp;COUNTIF(F309:J309, "l")</f>
        <v>032</v>
      </c>
      <c r="Z309" s="13" t="str">
        <f>COUNTIF(K309:O309, "W")&amp;COUNTIF(K309:O309, "d")&amp;COUNTIF(K309:O309, "l")</f>
        <v>212</v>
      </c>
      <c r="AA309" s="23" t="str">
        <f>_xlfn.CONCAT(Y309,"-",Z309)</f>
        <v>032-212</v>
      </c>
      <c r="AB309" s="13" t="str">
        <f>_xlfn.CONCAT(AA309,"…",TEXT(U309,"+00;-00;+00;"))</f>
        <v>032-212…+34</v>
      </c>
      <c r="AC309" s="23" t="str">
        <f>_xlfn.CONCAT(TEXT(P309,"+00;-00;+00;"),"…",TEXT(Q309,"+00;-00;+00;"))</f>
        <v>+08…-26</v>
      </c>
      <c r="AD309" s="14" t="str">
        <f>IF(X309="","?","")</f>
        <v/>
      </c>
      <c r="AE309" s="15" t="str">
        <f>_xlfn.CONCAT(AA309,"…",TEXT(P309,"+00;-00;+00;"),"...",TEXT(Q309,"+00;-00;+00;"))</f>
        <v>032-212…+08...-26</v>
      </c>
      <c r="AF309" s="13" t="str">
        <f>_xlfn.CONCAT(R309,"…",TEXT(P309,"+00;-00;+00;"),"...",TEXT(Q309,"+00;-00;+00;"))</f>
        <v>LDDLD…+08...-26</v>
      </c>
    </row>
    <row r="310" spans="1:32" x14ac:dyDescent="0.25">
      <c r="A310" s="12" t="s">
        <v>764</v>
      </c>
      <c r="B310" s="13" t="s">
        <v>417</v>
      </c>
      <c r="C310" s="14">
        <v>1</v>
      </c>
      <c r="D310" s="13" t="s">
        <v>435</v>
      </c>
      <c r="E310" s="13" t="s">
        <v>775</v>
      </c>
      <c r="F310" s="13" t="s">
        <v>31</v>
      </c>
      <c r="G310" s="13" t="s">
        <v>31</v>
      </c>
      <c r="H310" s="13" t="s">
        <v>29</v>
      </c>
      <c r="I310" s="13" t="s">
        <v>30</v>
      </c>
      <c r="J310" s="13" t="s">
        <v>31</v>
      </c>
      <c r="K310" s="13" t="s">
        <v>29</v>
      </c>
      <c r="L310" s="13" t="s">
        <v>29</v>
      </c>
      <c r="M310" s="13" t="s">
        <v>29</v>
      </c>
      <c r="N310" s="13" t="s">
        <v>31</v>
      </c>
      <c r="O310" s="13" t="s">
        <v>30</v>
      </c>
      <c r="P310" s="16">
        <v>5</v>
      </c>
      <c r="Q310" s="16">
        <v>-14</v>
      </c>
      <c r="R310" s="13" t="str">
        <f>_xlfn.CONCAT(F310,G310,H310,I310,J310)</f>
        <v>LLDWL</v>
      </c>
      <c r="S310" s="13" t="str">
        <f>_xlfn.CONCAT(K310,L310,M310,N310,O310)</f>
        <v>DDDLW</v>
      </c>
      <c r="T310" s="13" t="str">
        <f>_xlfn.CONCAT(R310,"***",S310)</f>
        <v>LLDWL***DDDLW</v>
      </c>
      <c r="U310" s="21">
        <f>(P310-Q310)</f>
        <v>19</v>
      </c>
      <c r="V310" s="14">
        <v>1</v>
      </c>
      <c r="W310" s="14">
        <v>1</v>
      </c>
      <c r="X310" s="20" t="str">
        <f>IF(ISBLANK(V310),"",IF(V310&gt;W310,"1",IF(V310&lt;W310,"2",IF(V310=W310,"X"))))</f>
        <v>X</v>
      </c>
      <c r="Y310" s="23" t="str">
        <f>COUNTIF(F310:J310, "W")&amp;COUNTIF(F310:J310, "d")&amp;COUNTIF(F310:J310, "l")</f>
        <v>113</v>
      </c>
      <c r="Z310" s="13" t="str">
        <f>COUNTIF(K310:O310, "W")&amp;COUNTIF(K310:O310, "d")&amp;COUNTIF(K310:O310, "l")</f>
        <v>131</v>
      </c>
      <c r="AA310" s="23" t="str">
        <f>_xlfn.CONCAT(Y310,"-",Z310)</f>
        <v>113-131</v>
      </c>
      <c r="AB310" s="13" t="str">
        <f>_xlfn.CONCAT(AA310,"…",TEXT(U310,"+00;-00;+00;"))</f>
        <v>113-131…+19</v>
      </c>
      <c r="AC310" s="23" t="str">
        <f>_xlfn.CONCAT(TEXT(P310,"+00;-00;+00;"),"…",TEXT(Q310,"+00;-00;+00;"))</f>
        <v>+05…-14</v>
      </c>
      <c r="AD310" s="14" t="str">
        <f>IF(X310="","?","")</f>
        <v/>
      </c>
      <c r="AE310" s="15" t="str">
        <f>_xlfn.CONCAT(AA310,"…",TEXT(P310,"+00;-00;+00;"),"...",TEXT(Q310,"+00;-00;+00;"))</f>
        <v>113-131…+05...-14</v>
      </c>
      <c r="AF310" s="13" t="str">
        <f>_xlfn.CONCAT(R310,"…",TEXT(P310,"+00;-00;+00;"),"...",TEXT(Q310,"+00;-00;+00;"))</f>
        <v>LLDWL…+05...-14</v>
      </c>
    </row>
    <row r="311" spans="1:32" x14ac:dyDescent="0.25">
      <c r="A311" s="12" t="s">
        <v>764</v>
      </c>
      <c r="B311" s="13" t="s">
        <v>417</v>
      </c>
      <c r="C311" s="14">
        <v>1</v>
      </c>
      <c r="D311" s="13" t="s">
        <v>425</v>
      </c>
      <c r="E311" s="13" t="s">
        <v>773</v>
      </c>
      <c r="F311" s="13" t="s">
        <v>30</v>
      </c>
      <c r="G311" s="13" t="s">
        <v>29</v>
      </c>
      <c r="H311" s="13" t="s">
        <v>31</v>
      </c>
      <c r="I311" s="13" t="s">
        <v>31</v>
      </c>
      <c r="J311" s="13" t="s">
        <v>31</v>
      </c>
      <c r="K311" s="13" t="s">
        <v>29</v>
      </c>
      <c r="L311" s="13" t="s">
        <v>30</v>
      </c>
      <c r="M311" s="13" t="s">
        <v>30</v>
      </c>
      <c r="N311" s="13" t="s">
        <v>30</v>
      </c>
      <c r="O311" s="13" t="s">
        <v>31</v>
      </c>
      <c r="P311" s="16">
        <v>-7</v>
      </c>
      <c r="Q311" s="16">
        <v>25</v>
      </c>
      <c r="R311" s="13" t="str">
        <f>_xlfn.CONCAT(F311,G311,H311,I311,J311)</f>
        <v>WDLLL</v>
      </c>
      <c r="S311" s="13" t="str">
        <f>_xlfn.CONCAT(K311,L311,M311,N311,O311)</f>
        <v>DWWWL</v>
      </c>
      <c r="T311" s="13" t="str">
        <f>_xlfn.CONCAT(R311,"***",S311)</f>
        <v>WDLLL***DWWWL</v>
      </c>
      <c r="U311" s="21">
        <f>(P311-Q311)</f>
        <v>-32</v>
      </c>
      <c r="V311" s="14">
        <v>3</v>
      </c>
      <c r="W311" s="14">
        <v>1</v>
      </c>
      <c r="X311" s="20" t="str">
        <f>IF(ISBLANK(V311),"",IF(V311&gt;W311,"1",IF(V311&lt;W311,"2",IF(V311=W311,"X"))))</f>
        <v>1</v>
      </c>
      <c r="Y311" s="23" t="str">
        <f>COUNTIF(F311:J311, "W")&amp;COUNTIF(F311:J311, "d")&amp;COUNTIF(F311:J311, "l")</f>
        <v>113</v>
      </c>
      <c r="Z311" s="13" t="str">
        <f>COUNTIF(K311:O311, "W")&amp;COUNTIF(K311:O311, "d")&amp;COUNTIF(K311:O311, "l")</f>
        <v>311</v>
      </c>
      <c r="AA311" s="23" t="str">
        <f>_xlfn.CONCAT(Y311,"-",Z311)</f>
        <v>113-311</v>
      </c>
      <c r="AB311" s="13" t="str">
        <f>_xlfn.CONCAT(AA311,"…",TEXT(U311,"+00;-00;+00;"))</f>
        <v>113-311…-32</v>
      </c>
      <c r="AC311" s="23" t="str">
        <f>_xlfn.CONCAT(TEXT(P311,"+00;-00;+00;"),"…",TEXT(Q311,"+00;-00;+00;"))</f>
        <v>-07…+25</v>
      </c>
      <c r="AD311" s="14" t="str">
        <f>IF(X311="","?","")</f>
        <v/>
      </c>
      <c r="AE311" s="15" t="str">
        <f>_xlfn.CONCAT(AA311,"…",TEXT(P311,"+00;-00;+00;"),"...",TEXT(Q311,"+00;-00;+00;"))</f>
        <v>113-311…-07...+25</v>
      </c>
      <c r="AF311" s="13" t="str">
        <f>_xlfn.CONCAT(R311,"…",TEXT(P311,"+00;-00;+00;"),"...",TEXT(Q311,"+00;-00;+00;"))</f>
        <v>WDLLL…-07...+25</v>
      </c>
    </row>
    <row r="312" spans="1:32" x14ac:dyDescent="0.25">
      <c r="A312" s="13" t="s">
        <v>764</v>
      </c>
      <c r="B312" s="13" t="s">
        <v>846</v>
      </c>
      <c r="C312" s="14">
        <v>1</v>
      </c>
      <c r="D312" s="13" t="s">
        <v>851</v>
      </c>
      <c r="E312" s="13" t="s">
        <v>852</v>
      </c>
      <c r="F312" s="13" t="s">
        <v>29</v>
      </c>
      <c r="G312" s="13" t="s">
        <v>29</v>
      </c>
      <c r="H312" s="13" t="s">
        <v>30</v>
      </c>
      <c r="I312" s="13" t="s">
        <v>29</v>
      </c>
      <c r="J312" s="13" t="s">
        <v>31</v>
      </c>
      <c r="K312" s="13" t="s">
        <v>30</v>
      </c>
      <c r="L312" s="13" t="s">
        <v>31</v>
      </c>
      <c r="M312" s="13" t="s">
        <v>30</v>
      </c>
      <c r="N312" s="13" t="s">
        <v>31</v>
      </c>
      <c r="O312" s="13" t="s">
        <v>29</v>
      </c>
      <c r="P312" s="16">
        <v>20</v>
      </c>
      <c r="Q312" s="16">
        <v>8</v>
      </c>
      <c r="R312" s="13" t="str">
        <f>_xlfn.CONCAT(F312,G312,H312,I312,J312)</f>
        <v>DDWDL</v>
      </c>
      <c r="S312" s="13" t="str">
        <f>_xlfn.CONCAT(K312,L312,M312,N312,O312)</f>
        <v>WLWLD</v>
      </c>
      <c r="T312" s="13" t="str">
        <f>_xlfn.CONCAT(R312,"***",S312)</f>
        <v>DDWDL***WLWLD</v>
      </c>
      <c r="U312" s="21">
        <f>(P312-Q312)</f>
        <v>12</v>
      </c>
      <c r="V312" s="14">
        <v>1</v>
      </c>
      <c r="W312" s="14">
        <v>0</v>
      </c>
      <c r="X312" s="20" t="str">
        <f>IF(ISBLANK(V312),"",IF(V312&gt;W312,"1",IF(V312&lt;W312,"2",IF(V312=W312,"X"))))</f>
        <v>1</v>
      </c>
      <c r="Y312" s="23" t="str">
        <f>COUNTIF(F312:J312, "W")&amp;COUNTIF(F312:J312, "d")&amp;COUNTIF(F312:J312, "l")</f>
        <v>131</v>
      </c>
      <c r="Z312" s="13" t="str">
        <f>COUNTIF(K312:O312, "W")&amp;COUNTIF(K312:O312, "d")&amp;COUNTIF(K312:O312, "l")</f>
        <v>212</v>
      </c>
      <c r="AA312" s="23" t="str">
        <f>_xlfn.CONCAT(Y312,"-",Z312)</f>
        <v>131-212</v>
      </c>
      <c r="AB312" s="13" t="str">
        <f>_xlfn.CONCAT(AA312,"…",TEXT(U312,"+00;-00;+00;"))</f>
        <v>131-212…+12</v>
      </c>
      <c r="AC312" s="23" t="str">
        <f>_xlfn.CONCAT(TEXT(P312,"+00;-00;+00;"),"…",TEXT(Q312,"+00;-00;+00;"))</f>
        <v>+20…+08</v>
      </c>
      <c r="AD312" s="14" t="str">
        <f>IF(X312="","?","")</f>
        <v/>
      </c>
      <c r="AE312" s="15" t="str">
        <f>_xlfn.CONCAT(AA312,"…",TEXT(P312,"+00;-00;+00;"),"...",TEXT(Q312,"+00;-00;+00;"))</f>
        <v>131-212…+20...+08</v>
      </c>
      <c r="AF312" s="13" t="str">
        <f>_xlfn.CONCAT(R312,"…",TEXT(P312,"+00;-00;+00;"),"...",TEXT(Q312,"+00;-00;+00;"))</f>
        <v>DDWDL…+20...+08</v>
      </c>
    </row>
    <row r="313" spans="1:32" x14ac:dyDescent="0.25">
      <c r="A313" s="12" t="s">
        <v>764</v>
      </c>
      <c r="B313" s="13" t="s">
        <v>417</v>
      </c>
      <c r="C313" s="14">
        <v>1</v>
      </c>
      <c r="D313" s="13" t="s">
        <v>776</v>
      </c>
      <c r="E313" s="13" t="s">
        <v>777</v>
      </c>
      <c r="F313" s="13" t="s">
        <v>29</v>
      </c>
      <c r="G313" s="13" t="s">
        <v>31</v>
      </c>
      <c r="H313" s="13" t="s">
        <v>29</v>
      </c>
      <c r="I313" s="13" t="s">
        <v>29</v>
      </c>
      <c r="J313" s="13" t="s">
        <v>30</v>
      </c>
      <c r="K313" s="13" t="s">
        <v>30</v>
      </c>
      <c r="L313" s="13" t="s">
        <v>29</v>
      </c>
      <c r="M313" s="13" t="s">
        <v>29</v>
      </c>
      <c r="N313" s="13" t="s">
        <v>30</v>
      </c>
      <c r="O313" s="13" t="s">
        <v>31</v>
      </c>
      <c r="P313" s="16">
        <v>-3</v>
      </c>
      <c r="Q313" s="16">
        <v>5</v>
      </c>
      <c r="R313" s="13" t="str">
        <f>_xlfn.CONCAT(F313,G313,H313,I313,J313)</f>
        <v>DLDDW</v>
      </c>
      <c r="S313" s="13" t="str">
        <f>_xlfn.CONCAT(K313,L313,M313,N313,O313)</f>
        <v>WDDWL</v>
      </c>
      <c r="T313" s="13" t="str">
        <f>_xlfn.CONCAT(R313,"***",S313)</f>
        <v>DLDDW***WDDWL</v>
      </c>
      <c r="U313" s="21">
        <f>(P313-Q313)</f>
        <v>-8</v>
      </c>
      <c r="V313" s="14">
        <v>0</v>
      </c>
      <c r="W313" s="14">
        <v>1</v>
      </c>
      <c r="X313" s="20" t="str">
        <f>IF(ISBLANK(V313),"",IF(V313&gt;W313,"1",IF(V313&lt;W313,"2",IF(V313=W313,"X"))))</f>
        <v>2</v>
      </c>
      <c r="Y313" s="23" t="str">
        <f>COUNTIF(F313:J313, "W")&amp;COUNTIF(F313:J313, "d")&amp;COUNTIF(F313:J313, "l")</f>
        <v>131</v>
      </c>
      <c r="Z313" s="13" t="str">
        <f>COUNTIF(K313:O313, "W")&amp;COUNTIF(K313:O313, "d")&amp;COUNTIF(K313:O313, "l")</f>
        <v>221</v>
      </c>
      <c r="AA313" s="23" t="str">
        <f>_xlfn.CONCAT(Y313,"-",Z313)</f>
        <v>131-221</v>
      </c>
      <c r="AB313" s="13" t="str">
        <f>_xlfn.CONCAT(AA313,"…",TEXT(U313,"+00;-00;+00;"))</f>
        <v>131-221…-08</v>
      </c>
      <c r="AC313" s="23" t="str">
        <f>_xlfn.CONCAT(TEXT(P313,"+00;-00;+00;"),"…",TEXT(Q313,"+00;-00;+00;"))</f>
        <v>-03…+05</v>
      </c>
      <c r="AD313" s="14" t="str">
        <f>IF(X313="","?","")</f>
        <v/>
      </c>
      <c r="AE313" s="15" t="str">
        <f>_xlfn.CONCAT(AA313,"…",TEXT(P313,"+00;-00;+00;"),"...",TEXT(Q313,"+00;-00;+00;"))</f>
        <v>131-221…-03...+05</v>
      </c>
      <c r="AF313" s="13" t="str">
        <f>_xlfn.CONCAT(R313,"…",TEXT(P313,"+00;-00;+00;"),"...",TEXT(Q313,"+00;-00;+00;"))</f>
        <v>DLDDW…-03...+05</v>
      </c>
    </row>
    <row r="314" spans="1:32" x14ac:dyDescent="0.25">
      <c r="A314" s="12" t="s">
        <v>764</v>
      </c>
      <c r="B314" s="13" t="s">
        <v>417</v>
      </c>
      <c r="C314" s="14">
        <v>1</v>
      </c>
      <c r="D314" s="13" t="s">
        <v>771</v>
      </c>
      <c r="E314" s="13" t="s">
        <v>432</v>
      </c>
      <c r="F314" s="13" t="s">
        <v>30</v>
      </c>
      <c r="G314" s="13" t="s">
        <v>29</v>
      </c>
      <c r="H314" s="13" t="s">
        <v>30</v>
      </c>
      <c r="I314" s="13" t="s">
        <v>31</v>
      </c>
      <c r="J314" s="13" t="s">
        <v>31</v>
      </c>
      <c r="K314" s="13" t="s">
        <v>31</v>
      </c>
      <c r="L314" s="13" t="s">
        <v>31</v>
      </c>
      <c r="M314" s="13" t="s">
        <v>29</v>
      </c>
      <c r="N314" s="13" t="s">
        <v>30</v>
      </c>
      <c r="O314" s="13" t="s">
        <v>29</v>
      </c>
      <c r="P314" s="16">
        <v>-3</v>
      </c>
      <c r="Q314" s="16">
        <v>13</v>
      </c>
      <c r="R314" s="13" t="str">
        <f>_xlfn.CONCAT(F314,G314,H314,I314,J314)</f>
        <v>WDWLL</v>
      </c>
      <c r="S314" s="13" t="str">
        <f>_xlfn.CONCAT(K314,L314,M314,N314,O314)</f>
        <v>LLDWD</v>
      </c>
      <c r="T314" s="13" t="str">
        <f>_xlfn.CONCAT(R314,"***",S314)</f>
        <v>WDWLL***LLDWD</v>
      </c>
      <c r="U314" s="21">
        <f>(P314-Q314)</f>
        <v>-16</v>
      </c>
      <c r="V314" s="14">
        <v>0</v>
      </c>
      <c r="W314" s="14">
        <v>2</v>
      </c>
      <c r="X314" s="20" t="str">
        <f>IF(ISBLANK(V314),"",IF(V314&gt;W314,"1",IF(V314&lt;W314,"2",IF(V314=W314,"X"))))</f>
        <v>2</v>
      </c>
      <c r="Y314" s="23" t="str">
        <f>COUNTIF(F314:J314, "W")&amp;COUNTIF(F314:J314, "d")&amp;COUNTIF(F314:J314, "l")</f>
        <v>212</v>
      </c>
      <c r="Z314" s="13" t="str">
        <f>COUNTIF(K314:O314, "W")&amp;COUNTIF(K314:O314, "d")&amp;COUNTIF(K314:O314, "l")</f>
        <v>122</v>
      </c>
      <c r="AA314" s="23" t="str">
        <f>_xlfn.CONCAT(Y314,"-",Z314)</f>
        <v>212-122</v>
      </c>
      <c r="AB314" s="13" t="str">
        <f>_xlfn.CONCAT(AA314,"…",TEXT(U314,"+00;-00;+00;"))</f>
        <v>212-122…-16</v>
      </c>
      <c r="AC314" s="23" t="str">
        <f>_xlfn.CONCAT(TEXT(P314,"+00;-00;+00;"),"…",TEXT(Q314,"+00;-00;+00;"))</f>
        <v>-03…+13</v>
      </c>
      <c r="AD314" s="14" t="str">
        <f>IF(X314="","?","")</f>
        <v/>
      </c>
      <c r="AE314" s="15" t="str">
        <f>_xlfn.CONCAT(AA314,"…",TEXT(P314,"+00;-00;+00;"),"...",TEXT(Q314,"+00;-00;+00;"))</f>
        <v>212-122…-03...+13</v>
      </c>
      <c r="AF314" s="13" t="str">
        <f>_xlfn.CONCAT(R314,"…",TEXT(P314,"+00;-00;+00;"),"...",TEXT(Q314,"+00;-00;+00;"))</f>
        <v>WDWLL…-03...+13</v>
      </c>
    </row>
    <row r="315" spans="1:32" x14ac:dyDescent="0.25">
      <c r="A315" s="12" t="s">
        <v>764</v>
      </c>
      <c r="B315" s="13" t="s">
        <v>417</v>
      </c>
      <c r="C315" s="14">
        <v>1</v>
      </c>
      <c r="D315" s="13" t="s">
        <v>767</v>
      </c>
      <c r="E315" s="13" t="s">
        <v>768</v>
      </c>
      <c r="F315" s="13" t="s">
        <v>30</v>
      </c>
      <c r="G315" s="13" t="s">
        <v>30</v>
      </c>
      <c r="H315" s="13" t="s">
        <v>31</v>
      </c>
      <c r="I315" s="13" t="s">
        <v>31</v>
      </c>
      <c r="J315" s="13" t="s">
        <v>29</v>
      </c>
      <c r="K315" s="13" t="s">
        <v>30</v>
      </c>
      <c r="L315" s="13" t="s">
        <v>29</v>
      </c>
      <c r="M315" s="13" t="s">
        <v>30</v>
      </c>
      <c r="N315" s="13" t="s">
        <v>29</v>
      </c>
      <c r="O315" s="13" t="s">
        <v>30</v>
      </c>
      <c r="P315" s="16">
        <v>-5</v>
      </c>
      <c r="Q315" s="16">
        <v>13</v>
      </c>
      <c r="R315" s="13" t="str">
        <f>_xlfn.CONCAT(F315,G315,H315,I315,J315)</f>
        <v>WWLLD</v>
      </c>
      <c r="S315" s="13" t="str">
        <f>_xlfn.CONCAT(K315,L315,M315,N315,O315)</f>
        <v>WDWDW</v>
      </c>
      <c r="T315" s="13" t="str">
        <f>_xlfn.CONCAT(R315,"***",S315)</f>
        <v>WWLLD***WDWDW</v>
      </c>
      <c r="U315" s="21">
        <f>(P315-Q315)</f>
        <v>-18</v>
      </c>
      <c r="V315" s="14">
        <v>0</v>
      </c>
      <c r="W315" s="14">
        <v>1</v>
      </c>
      <c r="X315" s="20" t="str">
        <f>IF(ISBLANK(V315),"",IF(V315&gt;W315,"1",IF(V315&lt;W315,"2",IF(V315=W315,"X"))))</f>
        <v>2</v>
      </c>
      <c r="Y315" s="23" t="str">
        <f>COUNTIF(F315:J315, "W")&amp;COUNTIF(F315:J315, "d")&amp;COUNTIF(F315:J315, "l")</f>
        <v>212</v>
      </c>
      <c r="Z315" s="13" t="str">
        <f>COUNTIF(K315:O315, "W")&amp;COUNTIF(K315:O315, "d")&amp;COUNTIF(K315:O315, "l")</f>
        <v>320</v>
      </c>
      <c r="AA315" s="23" t="str">
        <f>_xlfn.CONCAT(Y315,"-",Z315)</f>
        <v>212-320</v>
      </c>
      <c r="AB315" s="13" t="str">
        <f>_xlfn.CONCAT(AA315,"…",TEXT(U315,"+00;-00;+00;"))</f>
        <v>212-320…-18</v>
      </c>
      <c r="AC315" s="23" t="str">
        <f>_xlfn.CONCAT(TEXT(P315,"+00;-00;+00;"),"…",TEXT(Q315,"+00;-00;+00;"))</f>
        <v>-05…+13</v>
      </c>
      <c r="AD315" s="14" t="str">
        <f>IF(X315="","?","")</f>
        <v/>
      </c>
      <c r="AE315" s="15" t="str">
        <f>_xlfn.CONCAT(AA315,"…",TEXT(P315,"+00;-00;+00;"),"...",TEXT(Q315,"+00;-00;+00;"))</f>
        <v>212-320…-05...+13</v>
      </c>
      <c r="AF315" s="13" t="str">
        <f>_xlfn.CONCAT(R315,"…",TEXT(P315,"+00;-00;+00;"),"...",TEXT(Q315,"+00;-00;+00;"))</f>
        <v>WWLLD…-05...+13</v>
      </c>
    </row>
    <row r="316" spans="1:32" x14ac:dyDescent="0.25">
      <c r="A316" s="12" t="s">
        <v>764</v>
      </c>
      <c r="B316" s="13" t="s">
        <v>417</v>
      </c>
      <c r="C316" s="14">
        <v>1</v>
      </c>
      <c r="D316" s="13" t="s">
        <v>765</v>
      </c>
      <c r="E316" s="13" t="s">
        <v>766</v>
      </c>
      <c r="F316" s="13" t="s">
        <v>29</v>
      </c>
      <c r="G316" s="13" t="s">
        <v>29</v>
      </c>
      <c r="H316" s="13" t="s">
        <v>30</v>
      </c>
      <c r="I316" s="13" t="s">
        <v>29</v>
      </c>
      <c r="J316" s="13" t="s">
        <v>30</v>
      </c>
      <c r="K316" s="13" t="s">
        <v>31</v>
      </c>
      <c r="L316" s="13" t="s">
        <v>31</v>
      </c>
      <c r="M316" s="13" t="s">
        <v>30</v>
      </c>
      <c r="N316" s="13" t="s">
        <v>29</v>
      </c>
      <c r="O316" s="13" t="s">
        <v>31</v>
      </c>
      <c r="P316" s="16">
        <v>-5</v>
      </c>
      <c r="Q316" s="16">
        <v>6</v>
      </c>
      <c r="R316" s="13" t="str">
        <f>_xlfn.CONCAT(F316,G316,H316,I316,J316)</f>
        <v>DDWDW</v>
      </c>
      <c r="S316" s="13" t="str">
        <f>_xlfn.CONCAT(K316,L316,M316,N316,O316)</f>
        <v>LLWDL</v>
      </c>
      <c r="T316" s="13" t="str">
        <f>_xlfn.CONCAT(R316,"***",S316)</f>
        <v>DDWDW***LLWDL</v>
      </c>
      <c r="U316" s="21">
        <f>(P316-Q316)</f>
        <v>-11</v>
      </c>
      <c r="V316" s="14">
        <v>1</v>
      </c>
      <c r="W316" s="14">
        <v>0</v>
      </c>
      <c r="X316" s="20" t="str">
        <f>IF(ISBLANK(V316),"",IF(V316&gt;W316,"1",IF(V316&lt;W316,"2",IF(V316=W316,"X"))))</f>
        <v>1</v>
      </c>
      <c r="Y316" s="23" t="str">
        <f>COUNTIF(F316:J316, "W")&amp;COUNTIF(F316:J316, "d")&amp;COUNTIF(F316:J316, "l")</f>
        <v>230</v>
      </c>
      <c r="Z316" s="13" t="str">
        <f>COUNTIF(K316:O316, "W")&amp;COUNTIF(K316:O316, "d")&amp;COUNTIF(K316:O316, "l")</f>
        <v>113</v>
      </c>
      <c r="AA316" s="23" t="str">
        <f>_xlfn.CONCAT(Y316,"-",Z316)</f>
        <v>230-113</v>
      </c>
      <c r="AB316" s="13" t="str">
        <f>_xlfn.CONCAT(AA316,"…",TEXT(U316,"+00;-00;+00;"))</f>
        <v>230-113…-11</v>
      </c>
      <c r="AC316" s="23" t="str">
        <f>_xlfn.CONCAT(TEXT(P316,"+00;-00;+00;"),"…",TEXT(Q316,"+00;-00;+00;"))</f>
        <v>-05…+06</v>
      </c>
      <c r="AD316" s="14" t="str">
        <f>IF(X316="","?","")</f>
        <v/>
      </c>
      <c r="AE316" s="15" t="str">
        <f>_xlfn.CONCAT(AA316,"…",TEXT(P316,"+00;-00;+00;"),"...",TEXT(Q316,"+00;-00;+00;"))</f>
        <v>230-113…-05...+06</v>
      </c>
      <c r="AF316" s="13" t="str">
        <f>_xlfn.CONCAT(R316,"…",TEXT(P316,"+00;-00;+00;"),"...",TEXT(Q316,"+00;-00;+00;"))</f>
        <v>DDWDW…-05...+06</v>
      </c>
    </row>
    <row r="317" spans="1:32" x14ac:dyDescent="0.25">
      <c r="A317" s="13" t="s">
        <v>764</v>
      </c>
      <c r="B317" s="13" t="s">
        <v>846</v>
      </c>
      <c r="C317" s="14">
        <v>1</v>
      </c>
      <c r="D317" s="13" t="s">
        <v>847</v>
      </c>
      <c r="E317" s="13" t="s">
        <v>848</v>
      </c>
      <c r="F317" s="13" t="s">
        <v>29</v>
      </c>
      <c r="G317" s="13" t="s">
        <v>30</v>
      </c>
      <c r="H317" s="13" t="s">
        <v>29</v>
      </c>
      <c r="I317" s="13" t="s">
        <v>30</v>
      </c>
      <c r="J317" s="13" t="s">
        <v>30</v>
      </c>
      <c r="K317" s="13" t="s">
        <v>29</v>
      </c>
      <c r="L317" s="13" t="s">
        <v>30</v>
      </c>
      <c r="M317" s="13" t="s">
        <v>29</v>
      </c>
      <c r="N317" s="13" t="s">
        <v>30</v>
      </c>
      <c r="O317" s="13" t="s">
        <v>31</v>
      </c>
      <c r="P317" s="16">
        <v>2</v>
      </c>
      <c r="Q317" s="16">
        <v>1</v>
      </c>
      <c r="R317" s="13" t="str">
        <f>_xlfn.CONCAT(F317,G317,H317,I317,J317)</f>
        <v>DWDWW</v>
      </c>
      <c r="S317" s="13" t="str">
        <f>_xlfn.CONCAT(K317,L317,M317,N317,O317)</f>
        <v>DWDWL</v>
      </c>
      <c r="T317" s="13" t="str">
        <f>_xlfn.CONCAT(R317,"***",S317)</f>
        <v>DWDWW***DWDWL</v>
      </c>
      <c r="U317" s="21">
        <f>(P317-Q317)</f>
        <v>1</v>
      </c>
      <c r="V317" s="14">
        <v>2</v>
      </c>
      <c r="W317" s="14">
        <v>1</v>
      </c>
      <c r="X317" s="20" t="str">
        <f>IF(ISBLANK(V317),"",IF(V317&gt;W317,"1",IF(V317&lt;W317,"2",IF(V317=W317,"X"))))</f>
        <v>1</v>
      </c>
      <c r="Y317" s="23" t="str">
        <f>COUNTIF(F317:J317, "W")&amp;COUNTIF(F317:J317, "d")&amp;COUNTIF(F317:J317, "l")</f>
        <v>320</v>
      </c>
      <c r="Z317" s="13" t="str">
        <f>COUNTIF(K317:O317, "W")&amp;COUNTIF(K317:O317, "d")&amp;COUNTIF(K317:O317, "l")</f>
        <v>221</v>
      </c>
      <c r="AA317" s="23" t="str">
        <f>_xlfn.CONCAT(Y317,"-",Z317)</f>
        <v>320-221</v>
      </c>
      <c r="AB317" s="13" t="str">
        <f>_xlfn.CONCAT(AA317,"…",TEXT(U317,"+00;-00;+00;"))</f>
        <v>320-221…+01</v>
      </c>
      <c r="AC317" s="23" t="str">
        <f>_xlfn.CONCAT(TEXT(P317,"+00;-00;+00;"),"…",TEXT(Q317,"+00;-00;+00;"))</f>
        <v>+02…+01</v>
      </c>
      <c r="AD317" s="14" t="str">
        <f>IF(X317="","?","")</f>
        <v/>
      </c>
      <c r="AE317" s="15" t="str">
        <f>_xlfn.CONCAT(AA317,"…",TEXT(P317,"+00;-00;+00;"),"...",TEXT(Q317,"+00;-00;+00;"))</f>
        <v>320-221…+02...+01</v>
      </c>
      <c r="AF317" s="13" t="str">
        <f>_xlfn.CONCAT(R317,"…",TEXT(P317,"+00;-00;+00;"),"...",TEXT(Q317,"+00;-00;+00;"))</f>
        <v>DWDWW…+02...+01</v>
      </c>
    </row>
    <row r="318" spans="1:32" x14ac:dyDescent="0.25">
      <c r="A318" s="13" t="s">
        <v>764</v>
      </c>
      <c r="B318" s="13" t="s">
        <v>846</v>
      </c>
      <c r="C318" s="14">
        <v>1</v>
      </c>
      <c r="D318" s="13" t="s">
        <v>849</v>
      </c>
      <c r="E318" s="13" t="s">
        <v>850</v>
      </c>
      <c r="F318" s="13" t="s">
        <v>30</v>
      </c>
      <c r="G318" s="13" t="s">
        <v>30</v>
      </c>
      <c r="H318" s="13" t="s">
        <v>31</v>
      </c>
      <c r="I318" s="13" t="s">
        <v>30</v>
      </c>
      <c r="J318" s="13" t="s">
        <v>30</v>
      </c>
      <c r="K318" s="13" t="s">
        <v>31</v>
      </c>
      <c r="L318" s="13" t="s">
        <v>29</v>
      </c>
      <c r="M318" s="13" t="s">
        <v>29</v>
      </c>
      <c r="N318" s="13" t="s">
        <v>30</v>
      </c>
      <c r="O318" s="13" t="s">
        <v>30</v>
      </c>
      <c r="P318" s="16">
        <v>15</v>
      </c>
      <c r="Q318" s="16">
        <v>13</v>
      </c>
      <c r="R318" s="13" t="str">
        <f>_xlfn.CONCAT(F318,G318,H318,I318,J318)</f>
        <v>WWLWW</v>
      </c>
      <c r="S318" s="13" t="str">
        <f>_xlfn.CONCAT(K318,L318,M318,N318,O318)</f>
        <v>LDDWW</v>
      </c>
      <c r="T318" s="13" t="str">
        <f>_xlfn.CONCAT(R318,"***",S318)</f>
        <v>WWLWW***LDDWW</v>
      </c>
      <c r="U318" s="21">
        <f>(P318-Q318)</f>
        <v>2</v>
      </c>
      <c r="V318" s="14">
        <v>0</v>
      </c>
      <c r="W318" s="14">
        <v>0</v>
      </c>
      <c r="X318" s="20" t="str">
        <f>IF(ISBLANK(V318),"",IF(V318&gt;W318,"1",IF(V318&lt;W318,"2",IF(V318=W318,"X"))))</f>
        <v>X</v>
      </c>
      <c r="Y318" s="23" t="str">
        <f>COUNTIF(F318:J318, "W")&amp;COUNTIF(F318:J318, "d")&amp;COUNTIF(F318:J318, "l")</f>
        <v>401</v>
      </c>
      <c r="Z318" s="13" t="str">
        <f>COUNTIF(K318:O318, "W")&amp;COUNTIF(K318:O318, "d")&amp;COUNTIF(K318:O318, "l")</f>
        <v>221</v>
      </c>
      <c r="AA318" s="23" t="str">
        <f>_xlfn.CONCAT(Y318,"-",Z318)</f>
        <v>401-221</v>
      </c>
      <c r="AB318" s="13" t="str">
        <f>_xlfn.CONCAT(AA318,"…",TEXT(U318,"+00;-00;+00;"))</f>
        <v>401-221…+02</v>
      </c>
      <c r="AC318" s="23" t="str">
        <f>_xlfn.CONCAT(TEXT(P318,"+00;-00;+00;"),"…",TEXT(Q318,"+00;-00;+00;"))</f>
        <v>+15…+13</v>
      </c>
      <c r="AD318" s="14" t="str">
        <f>IF(X318="","?","")</f>
        <v/>
      </c>
      <c r="AE318" s="15" t="str">
        <f>_xlfn.CONCAT(AA318,"…",TEXT(P318,"+00;-00;+00;"),"...",TEXT(Q318,"+00;-00;+00;"))</f>
        <v>401-221…+15...+13</v>
      </c>
      <c r="AF318" s="13" t="str">
        <f>_xlfn.CONCAT(R318,"…",TEXT(P318,"+00;-00;+00;"),"...",TEXT(Q318,"+00;-00;+00;"))</f>
        <v>WWLWW…+15...+13</v>
      </c>
    </row>
    <row r="319" spans="1:32" x14ac:dyDescent="0.25">
      <c r="A319" s="12" t="s">
        <v>764</v>
      </c>
      <c r="B319" s="13" t="s">
        <v>417</v>
      </c>
      <c r="C319" s="14">
        <v>1</v>
      </c>
      <c r="D319" s="13" t="s">
        <v>437</v>
      </c>
      <c r="E319" s="13" t="s">
        <v>426</v>
      </c>
      <c r="F319" s="13" t="s">
        <v>30</v>
      </c>
      <c r="G319" s="13" t="s">
        <v>30</v>
      </c>
      <c r="H319" s="13" t="s">
        <v>29</v>
      </c>
      <c r="I319" s="13" t="s">
        <v>30</v>
      </c>
      <c r="J319" s="13" t="s">
        <v>30</v>
      </c>
      <c r="K319" s="13" t="s">
        <v>31</v>
      </c>
      <c r="L319" s="13" t="s">
        <v>29</v>
      </c>
      <c r="M319" s="13" t="s">
        <v>31</v>
      </c>
      <c r="N319" s="13" t="s">
        <v>31</v>
      </c>
      <c r="O319" s="13" t="s">
        <v>30</v>
      </c>
      <c r="P319" s="16">
        <v>-15</v>
      </c>
      <c r="Q319" s="16">
        <v>-5</v>
      </c>
      <c r="R319" s="13" t="str">
        <f>_xlfn.CONCAT(F319,G319,H319,I319,J319)</f>
        <v>WWDWW</v>
      </c>
      <c r="S319" s="13" t="str">
        <f>_xlfn.CONCAT(K319,L319,M319,N319,O319)</f>
        <v>LDLLW</v>
      </c>
      <c r="T319" s="13" t="str">
        <f>_xlfn.CONCAT(R319,"***",S319)</f>
        <v>WWDWW***LDLLW</v>
      </c>
      <c r="U319" s="21">
        <f>(P319-Q319)</f>
        <v>-10</v>
      </c>
      <c r="V319" s="14">
        <v>0</v>
      </c>
      <c r="W319" s="14">
        <v>1</v>
      </c>
      <c r="X319" s="20" t="str">
        <f>IF(ISBLANK(V319),"",IF(V319&gt;W319,"1",IF(V319&lt;W319,"2",IF(V319=W319,"X"))))</f>
        <v>2</v>
      </c>
      <c r="Y319" s="23" t="str">
        <f>COUNTIF(F319:J319, "W")&amp;COUNTIF(F319:J319, "d")&amp;COUNTIF(F319:J319, "l")</f>
        <v>410</v>
      </c>
      <c r="Z319" s="13" t="str">
        <f>COUNTIF(K319:O319, "W")&amp;COUNTIF(K319:O319, "d")&amp;COUNTIF(K319:O319, "l")</f>
        <v>113</v>
      </c>
      <c r="AA319" s="23" t="str">
        <f>_xlfn.CONCAT(Y319,"-",Z319)</f>
        <v>410-113</v>
      </c>
      <c r="AB319" s="13" t="str">
        <f>_xlfn.CONCAT(AA319,"…",TEXT(U319,"+00;-00;+00;"))</f>
        <v>410-113…-10</v>
      </c>
      <c r="AC319" s="23" t="str">
        <f>_xlfn.CONCAT(TEXT(P319,"+00;-00;+00;"),"…",TEXT(Q319,"+00;-00;+00;"))</f>
        <v>-15…-05</v>
      </c>
      <c r="AD319" s="14" t="str">
        <f>IF(X319="","?","")</f>
        <v/>
      </c>
      <c r="AE319" s="15" t="str">
        <f>_xlfn.CONCAT(AA319,"…",TEXT(P319,"+00;-00;+00;"),"...",TEXT(Q319,"+00;-00;+00;"))</f>
        <v>410-113…-15...-05</v>
      </c>
      <c r="AF319" s="13" t="str">
        <f>_xlfn.CONCAT(R319,"…",TEXT(P319,"+00;-00;+00;"),"...",TEXT(Q319,"+00;-00;+00;"))</f>
        <v>WWDWW…-15...-05</v>
      </c>
    </row>
    <row r="320" spans="1:32" x14ac:dyDescent="0.25">
      <c r="A320" s="12" t="s">
        <v>597</v>
      </c>
      <c r="B320" s="13" t="s">
        <v>339</v>
      </c>
      <c r="C320" s="14">
        <v>1</v>
      </c>
      <c r="D320" s="13" t="s">
        <v>349</v>
      </c>
      <c r="E320" s="13" t="s">
        <v>602</v>
      </c>
      <c r="F320" s="15" t="s">
        <v>31</v>
      </c>
      <c r="G320" s="15" t="s">
        <v>31</v>
      </c>
      <c r="H320" s="15" t="s">
        <v>31</v>
      </c>
      <c r="I320" s="15" t="s">
        <v>30</v>
      </c>
      <c r="J320" s="15" t="s">
        <v>30</v>
      </c>
      <c r="K320" s="15" t="s">
        <v>31</v>
      </c>
      <c r="L320" s="15" t="s">
        <v>30</v>
      </c>
      <c r="M320" s="15" t="s">
        <v>30</v>
      </c>
      <c r="N320" s="15" t="s">
        <v>31</v>
      </c>
      <c r="O320" s="15" t="s">
        <v>30</v>
      </c>
      <c r="P320" s="16">
        <v>-4</v>
      </c>
      <c r="Q320" s="16">
        <v>-6</v>
      </c>
      <c r="R320" s="13" t="str">
        <f>_xlfn.CONCAT(F320,G320,H320,I320,J320)</f>
        <v>LLLWW</v>
      </c>
      <c r="S320" s="13" t="str">
        <f>_xlfn.CONCAT(K320,L320,M320,N320,O320)</f>
        <v>LWWLW</v>
      </c>
      <c r="T320" s="13" t="str">
        <f>_xlfn.CONCAT(R320,"***",S320)</f>
        <v>LLLWW***LWWLW</v>
      </c>
      <c r="U320" s="19">
        <f>(P320-Q320)</f>
        <v>2</v>
      </c>
      <c r="V320" s="14">
        <v>4</v>
      </c>
      <c r="W320" s="14">
        <v>2</v>
      </c>
      <c r="X320" s="20" t="str">
        <f>IF(ISBLANK(V320),"",IF(V320&gt;W320,"1",IF(V320&lt;W320,"2",IF(V320=W320,"X"))))</f>
        <v>1</v>
      </c>
      <c r="Y320" s="23" t="str">
        <f>COUNTIF(F320:J320, "W")&amp;COUNTIF(F320:J320, "d")&amp;COUNTIF(F320:J320, "l")</f>
        <v>203</v>
      </c>
      <c r="Z320" s="13" t="str">
        <f>COUNTIF(K320:O320, "W")&amp;COUNTIF(K320:O320, "d")&amp;COUNTIF(K320:O320, "l")</f>
        <v>302</v>
      </c>
      <c r="AA320" s="23" t="str">
        <f>_xlfn.CONCAT(Y320,"-",Z320)</f>
        <v>203-302</v>
      </c>
      <c r="AB320" s="15" t="str">
        <f>_xlfn.CONCAT(AA320,"…",TEXT(U320,"+00;-00;+00;"))</f>
        <v>203-302…+02</v>
      </c>
      <c r="AC320" s="23" t="str">
        <f>_xlfn.CONCAT(TEXT(P320,"+00;-00;+00;"),"…",TEXT(Q320,"+00;-00;+00;"))</f>
        <v>-04…-06</v>
      </c>
      <c r="AD320" s="14" t="str">
        <f>IF(X320="","?","")</f>
        <v/>
      </c>
      <c r="AE320" s="15" t="str">
        <f>_xlfn.CONCAT(AA320,"…",TEXT(P320,"+00;-00;+00;"),"...",TEXT(Q320,"+00;-00;+00;"))</f>
        <v>203-302…-04...-06</v>
      </c>
      <c r="AF320" s="13" t="str">
        <f>_xlfn.CONCAT(R320,"…",TEXT(P320,"+00;-00;+00;"),"...",TEXT(Q320,"+00;-00;+00;"))</f>
        <v>LLLWW…-04...-06</v>
      </c>
    </row>
    <row r="321" spans="1:32" x14ac:dyDescent="0.25">
      <c r="A321" s="13" t="s">
        <v>854</v>
      </c>
      <c r="B321" s="13" t="s">
        <v>250</v>
      </c>
      <c r="C321" s="14">
        <v>2</v>
      </c>
      <c r="D321" s="13" t="s">
        <v>860</v>
      </c>
      <c r="E321" s="13" t="s">
        <v>861</v>
      </c>
      <c r="F321" s="13" t="s">
        <v>30</v>
      </c>
      <c r="G321" s="13" t="s">
        <v>29</v>
      </c>
      <c r="H321" s="13" t="s">
        <v>30</v>
      </c>
      <c r="I321" s="13" t="s">
        <v>31</v>
      </c>
      <c r="J321" s="13" t="s">
        <v>29</v>
      </c>
      <c r="K321" s="13" t="s">
        <v>29</v>
      </c>
      <c r="L321" s="13" t="s">
        <v>31</v>
      </c>
      <c r="M321" s="13" t="s">
        <v>30</v>
      </c>
      <c r="N321" s="13" t="s">
        <v>30</v>
      </c>
      <c r="O321" s="13" t="s">
        <v>31</v>
      </c>
      <c r="P321" s="16">
        <v>6</v>
      </c>
      <c r="Q321" s="16">
        <v>-7</v>
      </c>
      <c r="R321" s="13" t="str">
        <f>_xlfn.CONCAT(F321,G321,H321,I321,J321)</f>
        <v>WDWLD</v>
      </c>
      <c r="S321" s="13" t="str">
        <f>_xlfn.CONCAT(K321,L321,M321,N321,O321)</f>
        <v>DLWWL</v>
      </c>
      <c r="T321" s="13" t="str">
        <f>_xlfn.CONCAT(R321,"***",S321)</f>
        <v>WDWLD***DLWWL</v>
      </c>
      <c r="U321" s="21">
        <f>(P321-Q321)</f>
        <v>13</v>
      </c>
      <c r="V321" s="14">
        <v>0</v>
      </c>
      <c r="W321" s="14">
        <v>0</v>
      </c>
      <c r="X321" s="20" t="str">
        <f>IF(ISBLANK(V321),"",IF(V321&gt;W321,"1",IF(V321&lt;W321,"2",IF(V321=W321,"X"))))</f>
        <v>X</v>
      </c>
      <c r="Y321" s="23" t="str">
        <f>COUNTIF(F321:J321, "W")&amp;COUNTIF(F321:J321, "d")&amp;COUNTIF(F321:J321, "l")</f>
        <v>221</v>
      </c>
      <c r="Z321" s="13" t="str">
        <f>COUNTIF(K321:O321, "W")&amp;COUNTIF(K321:O321, "d")&amp;COUNTIF(K321:O321, "l")</f>
        <v>212</v>
      </c>
      <c r="AA321" s="23" t="str">
        <f>_xlfn.CONCAT(Y321,"-",Z321)</f>
        <v>221-212</v>
      </c>
      <c r="AB321" s="13" t="str">
        <f>_xlfn.CONCAT(AA321,"…",TEXT(U321,"+00;-00;+00;"))</f>
        <v>221-212…+13</v>
      </c>
      <c r="AC321" s="23" t="str">
        <f>_xlfn.CONCAT(TEXT(P321,"+00;-00;+00;"),"…",TEXT(Q321,"+00;-00;+00;"))</f>
        <v>+06…-07</v>
      </c>
      <c r="AD321" s="14" t="str">
        <f>IF(X321="","?","")</f>
        <v/>
      </c>
      <c r="AE321" s="15" t="str">
        <f>_xlfn.CONCAT(AA321,"…",TEXT(P321,"+00;-00;+00;"),"...",TEXT(Q321,"+00;-00;+00;"))</f>
        <v>221-212…+06...-07</v>
      </c>
      <c r="AF321" s="13" t="str">
        <f>_xlfn.CONCAT(R321,"…",TEXT(P321,"+00;-00;+00;"),"...",TEXT(Q321,"+00;-00;+00;"))</f>
        <v>WDWLD…+06...-07</v>
      </c>
    </row>
    <row r="322" spans="1:32" x14ac:dyDescent="0.25">
      <c r="A322" s="12" t="s">
        <v>681</v>
      </c>
      <c r="B322" s="13" t="s">
        <v>295</v>
      </c>
      <c r="C322" s="14">
        <v>1</v>
      </c>
      <c r="D322" s="13" t="s">
        <v>689</v>
      </c>
      <c r="E322" s="13" t="s">
        <v>306</v>
      </c>
      <c r="F322" s="13" t="s">
        <v>30</v>
      </c>
      <c r="G322" s="13" t="s">
        <v>30</v>
      </c>
      <c r="H322" s="13" t="s">
        <v>30</v>
      </c>
      <c r="I322" s="13" t="s">
        <v>31</v>
      </c>
      <c r="J322" s="13" t="s">
        <v>30</v>
      </c>
      <c r="K322" s="13" t="s">
        <v>30</v>
      </c>
      <c r="L322" s="13" t="s">
        <v>30</v>
      </c>
      <c r="M322" s="13" t="s">
        <v>30</v>
      </c>
      <c r="N322" s="13" t="s">
        <v>30</v>
      </c>
      <c r="O322" s="13" t="s">
        <v>30</v>
      </c>
      <c r="P322" s="16">
        <v>29</v>
      </c>
      <c r="Q322" s="16">
        <v>43</v>
      </c>
      <c r="R322" s="13" t="str">
        <f>_xlfn.CONCAT(F322,G322,H322,I322,J322)</f>
        <v>WWWLW</v>
      </c>
      <c r="S322" s="13" t="str">
        <f>_xlfn.CONCAT(K322,L322,M322,N322,O322)</f>
        <v>WWWWW</v>
      </c>
      <c r="T322" s="13" t="str">
        <f>_xlfn.CONCAT(R322,"***",S322)</f>
        <v>WWWLW***WWWWW</v>
      </c>
      <c r="U322" s="22">
        <f>(P322-Q322)</f>
        <v>-14</v>
      </c>
      <c r="V322" s="14">
        <v>1</v>
      </c>
      <c r="W322" s="14">
        <v>2</v>
      </c>
      <c r="X322" s="20" t="str">
        <f>IF(ISBLANK(V322),"",IF(V322&gt;W322,"1",IF(V322&lt;W322,"2",IF(V322=W322,"X"))))</f>
        <v>2</v>
      </c>
      <c r="Y322" s="23" t="str">
        <f>COUNTIF(F322:J322, "W")&amp;COUNTIF(F322:J322, "d")&amp;COUNTIF(F322:J322, "l")</f>
        <v>401</v>
      </c>
      <c r="Z322" s="13" t="str">
        <f>COUNTIF(K322:O322, "W")&amp;COUNTIF(K322:O322, "d")&amp;COUNTIF(K322:O322, "l")</f>
        <v>500</v>
      </c>
      <c r="AA322" s="23" t="str">
        <f>_xlfn.CONCAT(Y322,"-",Z322)</f>
        <v>401-500</v>
      </c>
      <c r="AB322" s="13" t="str">
        <f>_xlfn.CONCAT(AA322,"…",TEXT(U322,"+00;-00;+00;"))</f>
        <v>401-500…-14</v>
      </c>
      <c r="AC322" s="23" t="str">
        <f>_xlfn.CONCAT(TEXT(P322,"+00;-00;+00;"),"…",TEXT(Q322,"+00;-00;+00;"))</f>
        <v>+29…+43</v>
      </c>
      <c r="AD322" s="14" t="str">
        <f>IF(X322="","?","")</f>
        <v/>
      </c>
      <c r="AE322" s="15" t="str">
        <f>_xlfn.CONCAT(AA322,"…",TEXT(P322,"+00;-00;+00;"),"...",TEXT(Q322,"+00;-00;+00;"))</f>
        <v>401-500…+29...+43</v>
      </c>
      <c r="AF322" s="13" t="str">
        <f>_xlfn.CONCAT(R322,"…",TEXT(P322,"+00;-00;+00;"),"...",TEXT(Q322,"+00;-00;+00;"))</f>
        <v>WWWLW…+29...+43</v>
      </c>
    </row>
    <row r="323" spans="1:32" x14ac:dyDescent="0.25">
      <c r="A323" s="12" t="s">
        <v>627</v>
      </c>
      <c r="B323" s="13" t="s">
        <v>414</v>
      </c>
      <c r="C323" s="14">
        <v>1</v>
      </c>
      <c r="D323" s="13" t="s">
        <v>840</v>
      </c>
      <c r="E323" s="13" t="s">
        <v>841</v>
      </c>
      <c r="F323" s="13" t="s">
        <v>29</v>
      </c>
      <c r="G323" s="13" t="s">
        <v>31</v>
      </c>
      <c r="H323" s="13" t="s">
        <v>31</v>
      </c>
      <c r="I323" s="13" t="s">
        <v>29</v>
      </c>
      <c r="J323" s="13" t="s">
        <v>29</v>
      </c>
      <c r="K323" s="13" t="s">
        <v>29</v>
      </c>
      <c r="L323" s="13" t="s">
        <v>31</v>
      </c>
      <c r="M323" s="13" t="s">
        <v>29</v>
      </c>
      <c r="N323" s="13" t="s">
        <v>31</v>
      </c>
      <c r="O323" s="13" t="s">
        <v>29</v>
      </c>
      <c r="P323" s="16">
        <v>-6</v>
      </c>
      <c r="Q323" s="16">
        <v>-12</v>
      </c>
      <c r="R323" s="13" t="str">
        <f>_xlfn.CONCAT(F323,G323,H323,I323,J323)</f>
        <v>DLLDD</v>
      </c>
      <c r="S323" s="13" t="str">
        <f>_xlfn.CONCAT(K323,L323,M323,N323,O323)</f>
        <v>DLDLD</v>
      </c>
      <c r="T323" s="13" t="str">
        <f>_xlfn.CONCAT(R323,"***",S323)</f>
        <v>DLLDD***DLDLD</v>
      </c>
      <c r="U323" s="21">
        <f>(P323-Q323)</f>
        <v>6</v>
      </c>
      <c r="V323" s="14">
        <v>4</v>
      </c>
      <c r="W323" s="14">
        <v>4</v>
      </c>
      <c r="X323" s="20" t="str">
        <f>IF(ISBLANK(V323),"",IF(V323&gt;W323,"1",IF(V323&lt;W323,"2",IF(V323=W323,"X"))))</f>
        <v>X</v>
      </c>
      <c r="Y323" s="23" t="str">
        <f>COUNTIF(F323:J323, "W")&amp;COUNTIF(F323:J323, "d")&amp;COUNTIF(F323:J323, "l")</f>
        <v>032</v>
      </c>
      <c r="Z323" s="13" t="str">
        <f>COUNTIF(K323:O323, "W")&amp;COUNTIF(K323:O323, "d")&amp;COUNTIF(K323:O323, "l")</f>
        <v>032</v>
      </c>
      <c r="AA323" s="23" t="str">
        <f>_xlfn.CONCAT(Y323,"-",Z323)</f>
        <v>032-032</v>
      </c>
      <c r="AB323" s="13" t="str">
        <f>_xlfn.CONCAT(AA323,"…",TEXT(U323,"+00;-00;+00;"))</f>
        <v>032-032…+06</v>
      </c>
      <c r="AC323" s="23" t="str">
        <f>_xlfn.CONCAT(TEXT(P323,"+00;-00;+00;"),"…",TEXT(Q323,"+00;-00;+00;"))</f>
        <v>-06…-12</v>
      </c>
      <c r="AD323" s="14" t="str">
        <f>IF(X323="","?","")</f>
        <v/>
      </c>
      <c r="AE323" s="15" t="str">
        <f>_xlfn.CONCAT(AA323,"…",TEXT(P323,"+00;-00;+00;"),"...",TEXT(Q323,"+00;-00;+00;"))</f>
        <v>032-032…-06...-12</v>
      </c>
      <c r="AF323" s="13" t="str">
        <f>_xlfn.CONCAT(R323,"…",TEXT(P323,"+00;-00;+00;"),"...",TEXT(Q323,"+00;-00;+00;"))</f>
        <v>DLLDD…-06...-12</v>
      </c>
    </row>
    <row r="324" spans="1:32" x14ac:dyDescent="0.25">
      <c r="A324" s="12" t="s">
        <v>627</v>
      </c>
      <c r="B324" s="13" t="s">
        <v>117</v>
      </c>
      <c r="C324" s="14" t="s">
        <v>0</v>
      </c>
      <c r="D324" s="13" t="s">
        <v>635</v>
      </c>
      <c r="E324" s="13" t="s">
        <v>636</v>
      </c>
      <c r="F324" s="15" t="s">
        <v>29</v>
      </c>
      <c r="G324" s="15" t="s">
        <v>29</v>
      </c>
      <c r="H324" s="15" t="s">
        <v>31</v>
      </c>
      <c r="I324" s="15" t="s">
        <v>31</v>
      </c>
      <c r="J324" s="15" t="s">
        <v>29</v>
      </c>
      <c r="K324" s="15" t="s">
        <v>30</v>
      </c>
      <c r="L324" s="15" t="s">
        <v>31</v>
      </c>
      <c r="M324" s="15" t="s">
        <v>30</v>
      </c>
      <c r="N324" s="15" t="s">
        <v>29</v>
      </c>
      <c r="O324" s="15" t="s">
        <v>30</v>
      </c>
      <c r="P324" s="16">
        <v>-3</v>
      </c>
      <c r="Q324" s="16">
        <v>5</v>
      </c>
      <c r="R324" s="13" t="str">
        <f>_xlfn.CONCAT(F324,G324,H324,I324,J324)</f>
        <v>DDLLD</v>
      </c>
      <c r="S324" s="13" t="str">
        <f>_xlfn.CONCAT(K324,L324,M324,N324,O324)</f>
        <v>WLWDW</v>
      </c>
      <c r="T324" s="13" t="str">
        <f>_xlfn.CONCAT(R324,"***",S324)</f>
        <v>DDLLD***WLWDW</v>
      </c>
      <c r="U324" s="19">
        <f>(P324-Q324)</f>
        <v>-8</v>
      </c>
      <c r="V324" s="14">
        <v>1</v>
      </c>
      <c r="W324" s="14">
        <v>1</v>
      </c>
      <c r="X324" s="20" t="str">
        <f>IF(ISBLANK(V324),"",IF(V324&gt;W324,"1",IF(V324&lt;W324,"2",IF(V324=W324,"X"))))</f>
        <v>X</v>
      </c>
      <c r="Y324" s="23" t="str">
        <f>COUNTIF(F324:J324, "W")&amp;COUNTIF(F324:J324, "d")&amp;COUNTIF(F324:J324, "l")</f>
        <v>032</v>
      </c>
      <c r="Z324" s="13" t="str">
        <f>COUNTIF(K324:O324, "W")&amp;COUNTIF(K324:O324, "d")&amp;COUNTIF(K324:O324, "l")</f>
        <v>311</v>
      </c>
      <c r="AA324" s="23" t="str">
        <f>_xlfn.CONCAT(Y324,"-",Z324)</f>
        <v>032-311</v>
      </c>
      <c r="AB324" s="15" t="str">
        <f>_xlfn.CONCAT(AA324,"…",TEXT(U324,"+00;-00;+00;"))</f>
        <v>032-311…-08</v>
      </c>
      <c r="AC324" s="23" t="str">
        <f>_xlfn.CONCAT(TEXT(P324,"+00;-00;+00;"),"…",TEXT(Q324,"+00;-00;+00;"))</f>
        <v>-03…+05</v>
      </c>
      <c r="AD324" s="14" t="str">
        <f>IF(X324="","?","")</f>
        <v/>
      </c>
      <c r="AE324" s="15" t="str">
        <f>_xlfn.CONCAT(AA324,"…",TEXT(P324,"+00;-00;+00;"),"...",TEXT(Q324,"+00;-00;+00;"))</f>
        <v>032-311…-03...+05</v>
      </c>
      <c r="AF324" s="13" t="str">
        <f>_xlfn.CONCAT(R324,"…",TEXT(P324,"+00;-00;+00;"),"...",TEXT(Q324,"+00;-00;+00;"))</f>
        <v>DDLLD…-03...+05</v>
      </c>
    </row>
    <row r="325" spans="1:32" x14ac:dyDescent="0.25">
      <c r="A325" s="12" t="s">
        <v>693</v>
      </c>
      <c r="B325" s="13" t="s">
        <v>167</v>
      </c>
      <c r="C325" s="14">
        <v>1</v>
      </c>
      <c r="D325" s="13" t="s">
        <v>182</v>
      </c>
      <c r="E325" s="13" t="s">
        <v>169</v>
      </c>
      <c r="F325" s="13" t="s">
        <v>29</v>
      </c>
      <c r="G325" s="13" t="s">
        <v>29</v>
      </c>
      <c r="H325" s="13" t="s">
        <v>30</v>
      </c>
      <c r="I325" s="13" t="s">
        <v>29</v>
      </c>
      <c r="J325" s="13" t="s">
        <v>29</v>
      </c>
      <c r="K325" s="13" t="s">
        <v>30</v>
      </c>
      <c r="L325" s="13" t="s">
        <v>30</v>
      </c>
      <c r="M325" s="13" t="s">
        <v>30</v>
      </c>
      <c r="N325" s="13" t="s">
        <v>30</v>
      </c>
      <c r="O325" s="13" t="s">
        <v>30</v>
      </c>
      <c r="P325" s="16">
        <v>-1</v>
      </c>
      <c r="Q325" s="16">
        <v>23</v>
      </c>
      <c r="R325" s="13" t="str">
        <f>_xlfn.CONCAT(F325,G325,H325,I325,J325)</f>
        <v>DDWDD</v>
      </c>
      <c r="S325" s="13" t="str">
        <f>_xlfn.CONCAT(K325,L325,M325,N325,O325)</f>
        <v>WWWWW</v>
      </c>
      <c r="T325" s="13" t="str">
        <f>_xlfn.CONCAT(R325,"***",S325)</f>
        <v>DDWDD***WWWWW</v>
      </c>
      <c r="U325" s="21">
        <f>(P325-Q325)</f>
        <v>-24</v>
      </c>
      <c r="V325" s="14">
        <v>0</v>
      </c>
      <c r="W325" s="14">
        <v>2</v>
      </c>
      <c r="X325" s="20" t="str">
        <f>IF(ISBLANK(V325),"",IF(V325&gt;W325,"1",IF(V325&lt;W325,"2",IF(V325=W325,"X"))))</f>
        <v>2</v>
      </c>
      <c r="Y325" s="23" t="str">
        <f>COUNTIF(F325:J325, "W")&amp;COUNTIF(F325:J325, "d")&amp;COUNTIF(F325:J325, "l")</f>
        <v>140</v>
      </c>
      <c r="Z325" s="13" t="str">
        <f>COUNTIF(K325:O325, "W")&amp;COUNTIF(K325:O325, "d")&amp;COUNTIF(K325:O325, "l")</f>
        <v>500</v>
      </c>
      <c r="AA325" s="23" t="str">
        <f>_xlfn.CONCAT(Y325,"-",Z325)</f>
        <v>140-500</v>
      </c>
      <c r="AB325" s="13" t="str">
        <f>_xlfn.CONCAT(AA325,"…",TEXT(U325,"+00;-00;+00;"))</f>
        <v>140-500…-24</v>
      </c>
      <c r="AC325" s="23" t="str">
        <f>_xlfn.CONCAT(TEXT(P325,"+00;-00;+00;"),"…",TEXT(Q325,"+00;-00;+00;"))</f>
        <v>-01…+23</v>
      </c>
      <c r="AD325" s="14" t="str">
        <f>IF(X325="","?","")</f>
        <v/>
      </c>
      <c r="AE325" s="15" t="str">
        <f>_xlfn.CONCAT(AA325,"…",TEXT(P325,"+00;-00;+00;"),"...",TEXT(Q325,"+00;-00;+00;"))</f>
        <v>140-500…-01...+23</v>
      </c>
      <c r="AF325" s="13" t="str">
        <f>_xlfn.CONCAT(R325,"…",TEXT(P325,"+00;-00;+00;"),"...",TEXT(Q325,"+00;-00;+00;"))</f>
        <v>DDWDD…-01...+23</v>
      </c>
    </row>
    <row r="326" spans="1:32" x14ac:dyDescent="0.25">
      <c r="A326" s="12" t="s">
        <v>580</v>
      </c>
      <c r="B326" s="13" t="s">
        <v>208</v>
      </c>
      <c r="C326" s="14">
        <v>2</v>
      </c>
      <c r="D326" s="13" t="s">
        <v>237</v>
      </c>
      <c r="E326" s="13" t="s">
        <v>592</v>
      </c>
      <c r="F326" s="15" t="s">
        <v>31</v>
      </c>
      <c r="G326" s="15" t="s">
        <v>31</v>
      </c>
      <c r="H326" s="15" t="s">
        <v>30</v>
      </c>
      <c r="I326" s="15" t="s">
        <v>31</v>
      </c>
      <c r="J326" s="15" t="s">
        <v>29</v>
      </c>
      <c r="K326" s="15" t="s">
        <v>29</v>
      </c>
      <c r="L326" s="15" t="s">
        <v>29</v>
      </c>
      <c r="M326" s="15" t="s">
        <v>30</v>
      </c>
      <c r="N326" s="15" t="s">
        <v>31</v>
      </c>
      <c r="O326" s="15" t="s">
        <v>30</v>
      </c>
      <c r="P326" s="16">
        <v>-5</v>
      </c>
      <c r="Q326" s="16">
        <v>11</v>
      </c>
      <c r="R326" s="13" t="str">
        <f>_xlfn.CONCAT(F326,G326,H326,I326,J326)</f>
        <v>LLWLD</v>
      </c>
      <c r="S326" s="13" t="str">
        <f>_xlfn.CONCAT(K326,L326,M326,N326,O326)</f>
        <v>DDWLW</v>
      </c>
      <c r="T326" s="13" t="str">
        <f>_xlfn.CONCAT(R326,"***",S326)</f>
        <v>LLWLD***DDWLW</v>
      </c>
      <c r="U326" s="19">
        <f>(P326-Q326)</f>
        <v>-16</v>
      </c>
      <c r="V326" s="14">
        <v>1</v>
      </c>
      <c r="W326" s="14">
        <v>0</v>
      </c>
      <c r="X326" s="20" t="str">
        <f>IF(ISBLANK(V326),"",IF(V326&gt;W326,"1",IF(V326&lt;W326,"2",IF(V326=W326,"X"))))</f>
        <v>1</v>
      </c>
      <c r="Y326" s="23" t="str">
        <f>COUNTIF(F326:J326, "W")&amp;COUNTIF(F326:J326, "d")&amp;COUNTIF(F326:J326, "l")</f>
        <v>113</v>
      </c>
      <c r="Z326" s="13" t="str">
        <f>COUNTIF(K326:O326, "W")&amp;COUNTIF(K326:O326, "d")&amp;COUNTIF(K326:O326, "l")</f>
        <v>221</v>
      </c>
      <c r="AA326" s="23" t="str">
        <f>_xlfn.CONCAT(Y326,"-",Z326)</f>
        <v>113-221</v>
      </c>
      <c r="AB326" s="15" t="str">
        <f>_xlfn.CONCAT(AA326,"…",TEXT(U326,"+00;-00;+00;"))</f>
        <v>113-221…-16</v>
      </c>
      <c r="AC326" s="23" t="str">
        <f>_xlfn.CONCAT(TEXT(P326,"+00;-00;+00;"),"…",TEXT(Q326,"+00;-00;+00;"))</f>
        <v>-05…+11</v>
      </c>
      <c r="AD326" s="14" t="str">
        <f>IF(X326="","?","")</f>
        <v/>
      </c>
      <c r="AE326" s="15" t="str">
        <f>_xlfn.CONCAT(AA326,"…",TEXT(P326,"+00;-00;+00;"),"...",TEXT(Q326,"+00;-00;+00;"))</f>
        <v>113-221…-05...+11</v>
      </c>
      <c r="AF326" s="13" t="str">
        <f>_xlfn.CONCAT(R326,"…",TEXT(P326,"+00;-00;+00;"),"...",TEXT(Q326,"+00;-00;+00;"))</f>
        <v>LLWLD…-05...+11</v>
      </c>
    </row>
    <row r="327" spans="1:32" x14ac:dyDescent="0.25">
      <c r="A327" s="12" t="s">
        <v>580</v>
      </c>
      <c r="B327" s="13" t="s">
        <v>208</v>
      </c>
      <c r="C327" s="14">
        <v>2</v>
      </c>
      <c r="D327" s="13" t="s">
        <v>589</v>
      </c>
      <c r="E327" s="13" t="s">
        <v>590</v>
      </c>
      <c r="F327" s="15" t="s">
        <v>29</v>
      </c>
      <c r="G327" s="15" t="s">
        <v>29</v>
      </c>
      <c r="H327" s="15" t="s">
        <v>29</v>
      </c>
      <c r="I327" s="15" t="s">
        <v>30</v>
      </c>
      <c r="J327" s="15" t="s">
        <v>31</v>
      </c>
      <c r="K327" s="15" t="s">
        <v>30</v>
      </c>
      <c r="L327" s="15" t="s">
        <v>30</v>
      </c>
      <c r="M327" s="15" t="s">
        <v>31</v>
      </c>
      <c r="N327" s="15" t="s">
        <v>30</v>
      </c>
      <c r="O327" s="15" t="s">
        <v>30</v>
      </c>
      <c r="P327" s="16">
        <v>2</v>
      </c>
      <c r="Q327" s="16">
        <v>3</v>
      </c>
      <c r="R327" s="13" t="str">
        <f>_xlfn.CONCAT(F327,G327,H327,I327,J327)</f>
        <v>DDDWL</v>
      </c>
      <c r="S327" s="13" t="str">
        <f>_xlfn.CONCAT(K327,L327,M327,N327,O327)</f>
        <v>WWLWW</v>
      </c>
      <c r="T327" s="13" t="str">
        <f>_xlfn.CONCAT(R327,"***",S327)</f>
        <v>DDDWL***WWLWW</v>
      </c>
      <c r="U327" s="19">
        <f>(P327-Q327)</f>
        <v>-1</v>
      </c>
      <c r="V327" s="14">
        <v>5</v>
      </c>
      <c r="W327" s="14">
        <v>1</v>
      </c>
      <c r="X327" s="20" t="str">
        <f>IF(ISBLANK(V327),"",IF(V327&gt;W327,"1",IF(V327&lt;W327,"2",IF(V327=W327,"X"))))</f>
        <v>1</v>
      </c>
      <c r="Y327" s="23" t="str">
        <f>COUNTIF(F327:J327, "W")&amp;COUNTIF(F327:J327, "d")&amp;COUNTIF(F327:J327, "l")</f>
        <v>131</v>
      </c>
      <c r="Z327" s="13" t="str">
        <f>COUNTIF(K327:O327, "W")&amp;COUNTIF(K327:O327, "d")&amp;COUNTIF(K327:O327, "l")</f>
        <v>401</v>
      </c>
      <c r="AA327" s="23" t="str">
        <f>_xlfn.CONCAT(Y327,"-",Z327)</f>
        <v>131-401</v>
      </c>
      <c r="AB327" s="15" t="str">
        <f>_xlfn.CONCAT(AA327,"…",TEXT(U327,"+00;-00;+00;"))</f>
        <v>131-401…-01</v>
      </c>
      <c r="AC327" s="23" t="str">
        <f>_xlfn.CONCAT(TEXT(P327,"+00;-00;+00;"),"…",TEXT(Q327,"+00;-00;+00;"))</f>
        <v>+02…+03</v>
      </c>
      <c r="AD327" s="14" t="str">
        <f>IF(X327="","?","")</f>
        <v/>
      </c>
      <c r="AE327" s="15" t="str">
        <f>_xlfn.CONCAT(AA327,"…",TEXT(P327,"+00;-00;+00;"),"...",TEXT(Q327,"+00;-00;+00;"))</f>
        <v>131-401…+02...+03</v>
      </c>
      <c r="AF327" s="13" t="str">
        <f>_xlfn.CONCAT(R327,"…",TEXT(P327,"+00;-00;+00;"),"...",TEXT(Q327,"+00;-00;+00;"))</f>
        <v>DDDWL…+02...+03</v>
      </c>
    </row>
    <row r="328" spans="1:32" x14ac:dyDescent="0.25">
      <c r="A328" s="12" t="s">
        <v>580</v>
      </c>
      <c r="B328" s="13" t="s">
        <v>208</v>
      </c>
      <c r="C328" s="14">
        <v>2</v>
      </c>
      <c r="D328" s="13" t="s">
        <v>591</v>
      </c>
      <c r="E328" s="13" t="s">
        <v>238</v>
      </c>
      <c r="F328" s="15" t="s">
        <v>30</v>
      </c>
      <c r="G328" s="15" t="s">
        <v>29</v>
      </c>
      <c r="H328" s="15" t="s">
        <v>31</v>
      </c>
      <c r="I328" s="15" t="s">
        <v>31</v>
      </c>
      <c r="J328" s="15" t="s">
        <v>30</v>
      </c>
      <c r="K328" s="15" t="s">
        <v>31</v>
      </c>
      <c r="L328" s="15" t="s">
        <v>30</v>
      </c>
      <c r="M328" s="15" t="s">
        <v>29</v>
      </c>
      <c r="N328" s="15" t="s">
        <v>31</v>
      </c>
      <c r="O328" s="15" t="s">
        <v>31</v>
      </c>
      <c r="P328" s="16">
        <v>-1</v>
      </c>
      <c r="Q328" s="16">
        <v>-6</v>
      </c>
      <c r="R328" s="13" t="str">
        <f>_xlfn.CONCAT(F328,G328,H328,I328,J328)</f>
        <v>WDLLW</v>
      </c>
      <c r="S328" s="13" t="str">
        <f>_xlfn.CONCAT(K328,L328,M328,N328,O328)</f>
        <v>LWDLL</v>
      </c>
      <c r="T328" s="13" t="str">
        <f>_xlfn.CONCAT(R328,"***",S328)</f>
        <v>WDLLW***LWDLL</v>
      </c>
      <c r="U328" s="19">
        <f>(P328-Q328)</f>
        <v>5</v>
      </c>
      <c r="V328" s="14">
        <v>2</v>
      </c>
      <c r="W328" s="14">
        <v>2</v>
      </c>
      <c r="X328" s="20" t="str">
        <f>IF(ISBLANK(V328),"",IF(V328&gt;W328,"1",IF(V328&lt;W328,"2",IF(V328=W328,"X"))))</f>
        <v>X</v>
      </c>
      <c r="Y328" s="23" t="str">
        <f>COUNTIF(F328:J328, "W")&amp;COUNTIF(F328:J328, "d")&amp;COUNTIF(F328:J328, "l")</f>
        <v>212</v>
      </c>
      <c r="Z328" s="13" t="str">
        <f>COUNTIF(K328:O328, "W")&amp;COUNTIF(K328:O328, "d")&amp;COUNTIF(K328:O328, "l")</f>
        <v>113</v>
      </c>
      <c r="AA328" s="23" t="str">
        <f>_xlfn.CONCAT(Y328,"-",Z328)</f>
        <v>212-113</v>
      </c>
      <c r="AB328" s="15" t="str">
        <f>_xlfn.CONCAT(AA328,"…",TEXT(U328,"+00;-00;+00;"))</f>
        <v>212-113…+05</v>
      </c>
      <c r="AC328" s="23" t="str">
        <f>_xlfn.CONCAT(TEXT(P328,"+00;-00;+00;"),"…",TEXT(Q328,"+00;-00;+00;"))</f>
        <v>-01…-06</v>
      </c>
      <c r="AD328" s="14" t="str">
        <f>IF(X328="","?","")</f>
        <v/>
      </c>
      <c r="AE328" s="15" t="str">
        <f>_xlfn.CONCAT(AA328,"…",TEXT(P328,"+00;-00;+00;"),"...",TEXT(Q328,"+00;-00;+00;"))</f>
        <v>212-113…-01...-06</v>
      </c>
      <c r="AF328" s="13" t="str">
        <f>_xlfn.CONCAT(R328,"…",TEXT(P328,"+00;-00;+00;"),"...",TEXT(Q328,"+00;-00;+00;"))</f>
        <v>WDLLW…-01...-06</v>
      </c>
    </row>
    <row r="329" spans="1:32" x14ac:dyDescent="0.25">
      <c r="A329" s="12" t="s">
        <v>580</v>
      </c>
      <c r="B329" s="13" t="s">
        <v>318</v>
      </c>
      <c r="C329" s="14">
        <v>1</v>
      </c>
      <c r="D329" s="13" t="s">
        <v>329</v>
      </c>
      <c r="E329" s="13" t="s">
        <v>330</v>
      </c>
      <c r="F329" s="13" t="s">
        <v>31</v>
      </c>
      <c r="G329" s="13" t="s">
        <v>30</v>
      </c>
      <c r="H329" s="13" t="s">
        <v>31</v>
      </c>
      <c r="I329" s="13" t="s">
        <v>30</v>
      </c>
      <c r="J329" s="13" t="s">
        <v>30</v>
      </c>
      <c r="K329" s="13" t="s">
        <v>29</v>
      </c>
      <c r="L329" s="13" t="s">
        <v>29</v>
      </c>
      <c r="M329" s="13" t="s">
        <v>30</v>
      </c>
      <c r="N329" s="13" t="s">
        <v>30</v>
      </c>
      <c r="O329" s="13" t="s">
        <v>31</v>
      </c>
      <c r="P329" s="16">
        <v>13</v>
      </c>
      <c r="Q329" s="16">
        <v>8</v>
      </c>
      <c r="R329" s="13" t="str">
        <f>_xlfn.CONCAT(F329,G329,H329,I329,J329)</f>
        <v>LWLWW</v>
      </c>
      <c r="S329" s="13" t="str">
        <f>_xlfn.CONCAT(K329,L329,M329,N329,O329)</f>
        <v>DDWWL</v>
      </c>
      <c r="T329" s="13" t="str">
        <f>_xlfn.CONCAT(R329,"***",S329)</f>
        <v>LWLWW***DDWWL</v>
      </c>
      <c r="U329" s="21">
        <f>(P329-Q329)</f>
        <v>5</v>
      </c>
      <c r="V329" s="14">
        <v>2</v>
      </c>
      <c r="W329" s="14">
        <v>2</v>
      </c>
      <c r="X329" s="20" t="str">
        <f>IF(ISBLANK(V329),"",IF(V329&gt;W329,"1",IF(V329&lt;W329,"2",IF(V329=W329,"X"))))</f>
        <v>X</v>
      </c>
      <c r="Y329" s="23" t="str">
        <f>COUNTIF(F329:J329, "W")&amp;COUNTIF(F329:J329, "d")&amp;COUNTIF(F329:J329, "l")</f>
        <v>302</v>
      </c>
      <c r="Z329" s="13" t="str">
        <f>COUNTIF(K329:O329, "W")&amp;COUNTIF(K329:O329, "d")&amp;COUNTIF(K329:O329, "l")</f>
        <v>221</v>
      </c>
      <c r="AA329" s="23" t="str">
        <f>_xlfn.CONCAT(Y329,"-",Z329)</f>
        <v>302-221</v>
      </c>
      <c r="AB329" s="13" t="str">
        <f>_xlfn.CONCAT(AA329,"…",TEXT(U329,"+00;-00;+00;"))</f>
        <v>302-221…+05</v>
      </c>
      <c r="AC329" s="23" t="str">
        <f>_xlfn.CONCAT(TEXT(P329,"+00;-00;+00;"),"…",TEXT(Q329,"+00;-00;+00;"))</f>
        <v>+13…+08</v>
      </c>
      <c r="AD329" s="14" t="str">
        <f>IF(X329="","?","")</f>
        <v/>
      </c>
      <c r="AE329" s="15" t="str">
        <f>_xlfn.CONCAT(AA329,"…",TEXT(P329,"+00;-00;+00;"),"...",TEXT(Q329,"+00;-00;+00;"))</f>
        <v>302-221…+13...+08</v>
      </c>
      <c r="AF329" s="13" t="str">
        <f>_xlfn.CONCAT(R329,"…",TEXT(P329,"+00;-00;+00;"),"...",TEXT(Q329,"+00;-00;+00;"))</f>
        <v>LWLWW…+13...+08</v>
      </c>
    </row>
    <row r="330" spans="1:32" x14ac:dyDescent="0.25">
      <c r="A330" s="12" t="s">
        <v>598</v>
      </c>
      <c r="B330" s="13" t="s">
        <v>364</v>
      </c>
      <c r="C330" s="14">
        <v>1</v>
      </c>
      <c r="D330" s="13" t="s">
        <v>375</v>
      </c>
      <c r="E330" s="13" t="s">
        <v>828</v>
      </c>
      <c r="F330" s="13" t="s">
        <v>29</v>
      </c>
      <c r="G330" s="13" t="s">
        <v>31</v>
      </c>
      <c r="H330" s="13" t="s">
        <v>29</v>
      </c>
      <c r="I330" s="13" t="s">
        <v>31</v>
      </c>
      <c r="J330" s="13" t="s">
        <v>31</v>
      </c>
      <c r="K330" s="13" t="s">
        <v>31</v>
      </c>
      <c r="L330" s="13" t="s">
        <v>29</v>
      </c>
      <c r="M330" s="13" t="s">
        <v>31</v>
      </c>
      <c r="N330" s="13" t="s">
        <v>29</v>
      </c>
      <c r="O330" s="13" t="s">
        <v>30</v>
      </c>
      <c r="P330" s="16">
        <v>-8</v>
      </c>
      <c r="Q330" s="16">
        <v>9</v>
      </c>
      <c r="R330" s="13" t="str">
        <f>_xlfn.CONCAT(F330,G330,H330,I330,J330)</f>
        <v>DLDLL</v>
      </c>
      <c r="S330" s="13" t="str">
        <f>_xlfn.CONCAT(K330,L330,M330,N330,O330)</f>
        <v>LDLDW</v>
      </c>
      <c r="T330" s="13" t="str">
        <f>_xlfn.CONCAT(R330,"***",S330)</f>
        <v>DLDLL***LDLDW</v>
      </c>
      <c r="U330" s="21">
        <f>(P330-Q330)</f>
        <v>-17</v>
      </c>
      <c r="V330" s="14">
        <v>2</v>
      </c>
      <c r="W330" s="14">
        <v>0</v>
      </c>
      <c r="X330" s="20" t="str">
        <f>IF(ISBLANK(V330),"",IF(V330&gt;W330,"1",IF(V330&lt;W330,"2",IF(V330=W330,"X"))))</f>
        <v>1</v>
      </c>
      <c r="Y330" s="23" t="str">
        <f>COUNTIF(F330:J330, "W")&amp;COUNTIF(F330:J330, "d")&amp;COUNTIF(F330:J330, "l")</f>
        <v>023</v>
      </c>
      <c r="Z330" s="13" t="str">
        <f>COUNTIF(K330:O330, "W")&amp;COUNTIF(K330:O330, "d")&amp;COUNTIF(K330:O330, "l")</f>
        <v>122</v>
      </c>
      <c r="AA330" s="23" t="str">
        <f>_xlfn.CONCAT(Y330,"-",Z330)</f>
        <v>023-122</v>
      </c>
      <c r="AB330" s="13" t="str">
        <f>_xlfn.CONCAT(AA330,"…",TEXT(U330,"+00;-00;+00;"))</f>
        <v>023-122…-17</v>
      </c>
      <c r="AC330" s="23" t="str">
        <f>_xlfn.CONCAT(TEXT(P330,"+00;-00;+00;"),"…",TEXT(Q330,"+00;-00;+00;"))</f>
        <v>-08…+09</v>
      </c>
      <c r="AD330" s="14" t="str">
        <f>IF(X330="","?","")</f>
        <v/>
      </c>
      <c r="AE330" s="15" t="str">
        <f>_xlfn.CONCAT(AA330,"…",TEXT(P330,"+00;-00;+00;"),"...",TEXT(Q330,"+00;-00;+00;"))</f>
        <v>023-122…-08...+09</v>
      </c>
      <c r="AF330" s="13" t="str">
        <f>_xlfn.CONCAT(R330,"…",TEXT(P330,"+00;-00;+00;"),"...",TEXT(Q330,"+00;-00;+00;"))</f>
        <v>DLDLL…-08...+09</v>
      </c>
    </row>
    <row r="331" spans="1:32" x14ac:dyDescent="0.25">
      <c r="A331" s="12" t="s">
        <v>598</v>
      </c>
      <c r="B331" s="13" t="s">
        <v>59</v>
      </c>
      <c r="C331" s="14">
        <v>1</v>
      </c>
      <c r="D331" s="13" t="s">
        <v>730</v>
      </c>
      <c r="E331" s="13" t="s">
        <v>731</v>
      </c>
      <c r="F331" s="13" t="s">
        <v>29</v>
      </c>
      <c r="G331" s="13" t="s">
        <v>31</v>
      </c>
      <c r="H331" s="13" t="s">
        <v>31</v>
      </c>
      <c r="I331" s="13" t="s">
        <v>29</v>
      </c>
      <c r="J331" s="13" t="s">
        <v>31</v>
      </c>
      <c r="K331" s="13" t="s">
        <v>30</v>
      </c>
      <c r="L331" s="13" t="s">
        <v>31</v>
      </c>
      <c r="M331" s="13" t="s">
        <v>30</v>
      </c>
      <c r="N331" s="13" t="s">
        <v>31</v>
      </c>
      <c r="O331" s="13" t="s">
        <v>29</v>
      </c>
      <c r="P331" s="16">
        <v>-7</v>
      </c>
      <c r="Q331" s="16">
        <v>-5</v>
      </c>
      <c r="R331" s="13" t="str">
        <f>_xlfn.CONCAT(F331,G331,H331,I331,J331)</f>
        <v>DLLDL</v>
      </c>
      <c r="S331" s="13" t="str">
        <f>_xlfn.CONCAT(K331,L331,M331,N331,O331)</f>
        <v>WLWLD</v>
      </c>
      <c r="T331" s="13" t="str">
        <f>_xlfn.CONCAT(R331,"***",S331)</f>
        <v>DLLDL***WLWLD</v>
      </c>
      <c r="U331" s="21">
        <f>(P331-Q331)</f>
        <v>-2</v>
      </c>
      <c r="V331" s="14">
        <v>0</v>
      </c>
      <c r="W331" s="14">
        <v>0</v>
      </c>
      <c r="X331" s="20" t="str">
        <f>IF(ISBLANK(V331),"",IF(V331&gt;W331,"1",IF(V331&lt;W331,"2",IF(V331=W331,"X"))))</f>
        <v>X</v>
      </c>
      <c r="Y331" s="23" t="str">
        <f>COUNTIF(F331:J331, "W")&amp;COUNTIF(F331:J331, "d")&amp;COUNTIF(F331:J331, "l")</f>
        <v>023</v>
      </c>
      <c r="Z331" s="13" t="str">
        <f>COUNTIF(K331:O331, "W")&amp;COUNTIF(K331:O331, "d")&amp;COUNTIF(K331:O331, "l")</f>
        <v>212</v>
      </c>
      <c r="AA331" s="23" t="str">
        <f>_xlfn.CONCAT(Y331,"-",Z331)</f>
        <v>023-212</v>
      </c>
      <c r="AB331" s="13" t="str">
        <f>_xlfn.CONCAT(AA331,"…",TEXT(U331,"+00;-00;+00;"))</f>
        <v>023-212…-02</v>
      </c>
      <c r="AC331" s="23" t="str">
        <f>_xlfn.CONCAT(TEXT(P331,"+00;-00;+00;"),"…",TEXT(Q331,"+00;-00;+00;"))</f>
        <v>-07…-05</v>
      </c>
      <c r="AD331" s="14" t="str">
        <f>IF(X331="","?","")</f>
        <v/>
      </c>
      <c r="AE331" s="15" t="str">
        <f>_xlfn.CONCAT(AA331,"…",TEXT(P331,"+00;-00;+00;"),"...",TEXT(Q331,"+00;-00;+00;"))</f>
        <v>023-212…-07...-05</v>
      </c>
      <c r="AF331" s="13" t="str">
        <f>_xlfn.CONCAT(R331,"…",TEXT(P331,"+00;-00;+00;"),"...",TEXT(Q331,"+00;-00;+00;"))</f>
        <v>DLLDL…-07...-05</v>
      </c>
    </row>
    <row r="332" spans="1:32" x14ac:dyDescent="0.25">
      <c r="A332" s="12" t="s">
        <v>598</v>
      </c>
      <c r="B332" s="13" t="s">
        <v>364</v>
      </c>
      <c r="C332" s="14">
        <v>1</v>
      </c>
      <c r="D332" s="13" t="s">
        <v>829</v>
      </c>
      <c r="E332" s="13" t="s">
        <v>830</v>
      </c>
      <c r="F332" s="13" t="s">
        <v>30</v>
      </c>
      <c r="G332" s="13" t="s">
        <v>31</v>
      </c>
      <c r="H332" s="13" t="s">
        <v>29</v>
      </c>
      <c r="I332" s="13" t="s">
        <v>29</v>
      </c>
      <c r="J332" s="13" t="s">
        <v>31</v>
      </c>
      <c r="K332" s="13" t="s">
        <v>29</v>
      </c>
      <c r="L332" s="13" t="s">
        <v>31</v>
      </c>
      <c r="M332" s="13" t="s">
        <v>30</v>
      </c>
      <c r="N332" s="13" t="s">
        <v>31</v>
      </c>
      <c r="O332" s="13" t="s">
        <v>30</v>
      </c>
      <c r="P332" s="16">
        <v>-4</v>
      </c>
      <c r="Q332" s="16">
        <v>12</v>
      </c>
      <c r="R332" s="13" t="str">
        <f>_xlfn.CONCAT(F332,G332,H332,I332,J332)</f>
        <v>WLDDL</v>
      </c>
      <c r="S332" s="13" t="str">
        <f>_xlfn.CONCAT(K332,L332,M332,N332,O332)</f>
        <v>DLWLW</v>
      </c>
      <c r="T332" s="13" t="str">
        <f>_xlfn.CONCAT(R332,"***",S332)</f>
        <v>WLDDL***DLWLW</v>
      </c>
      <c r="U332" s="21">
        <f>(P332-Q332)</f>
        <v>-16</v>
      </c>
      <c r="V332" s="14">
        <v>1</v>
      </c>
      <c r="W332" s="14">
        <v>1</v>
      </c>
      <c r="X332" s="20" t="str">
        <f>IF(ISBLANK(V332),"",IF(V332&gt;W332,"1",IF(V332&lt;W332,"2",IF(V332=W332,"X"))))</f>
        <v>X</v>
      </c>
      <c r="Y332" s="23" t="str">
        <f>COUNTIF(F332:J332, "W")&amp;COUNTIF(F332:J332, "d")&amp;COUNTIF(F332:J332, "l")</f>
        <v>122</v>
      </c>
      <c r="Z332" s="13" t="str">
        <f>COUNTIF(K332:O332, "W")&amp;COUNTIF(K332:O332, "d")&amp;COUNTIF(K332:O332, "l")</f>
        <v>212</v>
      </c>
      <c r="AA332" s="23" t="str">
        <f>_xlfn.CONCAT(Y332,"-",Z332)</f>
        <v>122-212</v>
      </c>
      <c r="AB332" s="13" t="str">
        <f>_xlfn.CONCAT(AA332,"…",TEXT(U332,"+00;-00;+00;"))</f>
        <v>122-212…-16</v>
      </c>
      <c r="AC332" s="23" t="str">
        <f>_xlfn.CONCAT(TEXT(P332,"+00;-00;+00;"),"…",TEXT(Q332,"+00;-00;+00;"))</f>
        <v>-04…+12</v>
      </c>
      <c r="AD332" s="14" t="str">
        <f>IF(X332="","?","")</f>
        <v/>
      </c>
      <c r="AE332" s="15" t="str">
        <f>_xlfn.CONCAT(AA332,"…",TEXT(P332,"+00;-00;+00;"),"...",TEXT(Q332,"+00;-00;+00;"))</f>
        <v>122-212…-04...+12</v>
      </c>
      <c r="AF332" s="13" t="str">
        <f>_xlfn.CONCAT(R332,"…",TEXT(P332,"+00;-00;+00;"),"...",TEXT(Q332,"+00;-00;+00;"))</f>
        <v>WLDDL…-04...+12</v>
      </c>
    </row>
    <row r="333" spans="1:32" x14ac:dyDescent="0.25">
      <c r="A333" s="17" t="s">
        <v>598</v>
      </c>
      <c r="B333" s="15" t="s">
        <v>59</v>
      </c>
      <c r="C333" s="14">
        <v>2</v>
      </c>
      <c r="D333" s="13" t="s">
        <v>745</v>
      </c>
      <c r="E333" s="13" t="s">
        <v>746</v>
      </c>
      <c r="F333" s="13" t="s">
        <v>29</v>
      </c>
      <c r="G333" s="13" t="s">
        <v>29</v>
      </c>
      <c r="H333" s="13" t="s">
        <v>31</v>
      </c>
      <c r="I333" s="13" t="s">
        <v>31</v>
      </c>
      <c r="J333" s="13" t="s">
        <v>30</v>
      </c>
      <c r="K333" s="13" t="s">
        <v>31</v>
      </c>
      <c r="L333" s="13" t="s">
        <v>30</v>
      </c>
      <c r="M333" s="13" t="s">
        <v>29</v>
      </c>
      <c r="N333" s="13" t="s">
        <v>30</v>
      </c>
      <c r="O333" s="13" t="s">
        <v>29</v>
      </c>
      <c r="P333" s="16">
        <v>-7</v>
      </c>
      <c r="Q333" s="16">
        <v>-4</v>
      </c>
      <c r="R333" s="13" t="str">
        <f>_xlfn.CONCAT(F333,G333,H333,I333,J333)</f>
        <v>DDLLW</v>
      </c>
      <c r="S333" s="13" t="str">
        <f>_xlfn.CONCAT(K333,L333,M333,N333,O333)</f>
        <v>LWDWD</v>
      </c>
      <c r="T333" s="13" t="str">
        <f>_xlfn.CONCAT(R333,"***",S333)</f>
        <v>DDLLW***LWDWD</v>
      </c>
      <c r="U333" s="21">
        <f>(P333-Q333)</f>
        <v>-3</v>
      </c>
      <c r="V333" s="14">
        <v>1</v>
      </c>
      <c r="W333" s="14">
        <v>0</v>
      </c>
      <c r="X333" s="20" t="str">
        <f>IF(ISBLANK(V333),"",IF(V333&gt;W333,"1",IF(V333&lt;W333,"2",IF(V333=W333,"X"))))</f>
        <v>1</v>
      </c>
      <c r="Y333" s="23" t="str">
        <f>COUNTIF(F333:J333, "W")&amp;COUNTIF(F333:J333, "d")&amp;COUNTIF(F333:J333, "l")</f>
        <v>122</v>
      </c>
      <c r="Z333" s="13" t="str">
        <f>COUNTIF(K333:O333, "W")&amp;COUNTIF(K333:O333, "d")&amp;COUNTIF(K333:O333, "l")</f>
        <v>221</v>
      </c>
      <c r="AA333" s="23" t="str">
        <f>_xlfn.CONCAT(Y333,"-",Z333)</f>
        <v>122-221</v>
      </c>
      <c r="AB333" s="13" t="str">
        <f>_xlfn.CONCAT(AA333,"…",TEXT(U333,"+00;-00;+00;"))</f>
        <v>122-221…-03</v>
      </c>
      <c r="AC333" s="23" t="str">
        <f>_xlfn.CONCAT(TEXT(P333,"+00;-00;+00;"),"…",TEXT(Q333,"+00;-00;+00;"))</f>
        <v>-07…-04</v>
      </c>
      <c r="AD333" s="14" t="str">
        <f>IF(X333="","?","")</f>
        <v/>
      </c>
      <c r="AE333" s="15" t="str">
        <f>_xlfn.CONCAT(AA333,"…",TEXT(P333,"+00;-00;+00;"),"...",TEXT(Q333,"+00;-00;+00;"))</f>
        <v>122-221…-07...-04</v>
      </c>
      <c r="AF333" s="13" t="str">
        <f>_xlfn.CONCAT(R333,"…",TEXT(P333,"+00;-00;+00;"),"...",TEXT(Q333,"+00;-00;+00;"))</f>
        <v>DDLLW…-07...-04</v>
      </c>
    </row>
    <row r="334" spans="1:32" x14ac:dyDescent="0.25">
      <c r="A334" s="12" t="s">
        <v>598</v>
      </c>
      <c r="B334" s="13" t="s">
        <v>339</v>
      </c>
      <c r="C334" s="14">
        <v>1</v>
      </c>
      <c r="D334" s="13" t="s">
        <v>603</v>
      </c>
      <c r="E334" s="13" t="s">
        <v>352</v>
      </c>
      <c r="F334" s="15" t="s">
        <v>29</v>
      </c>
      <c r="G334" s="15" t="s">
        <v>30</v>
      </c>
      <c r="H334" s="15" t="s">
        <v>30</v>
      </c>
      <c r="I334" s="15" t="s">
        <v>29</v>
      </c>
      <c r="J334" s="15" t="s">
        <v>30</v>
      </c>
      <c r="K334" s="15" t="s">
        <v>29</v>
      </c>
      <c r="L334" s="15" t="s">
        <v>30</v>
      </c>
      <c r="M334" s="15" t="s">
        <v>30</v>
      </c>
      <c r="N334" s="15" t="s">
        <v>30</v>
      </c>
      <c r="O334" s="15" t="s">
        <v>30</v>
      </c>
      <c r="P334" s="16">
        <v>7</v>
      </c>
      <c r="Q334" s="16">
        <v>4</v>
      </c>
      <c r="R334" s="13" t="str">
        <f>_xlfn.CONCAT(F334,G334,H334,I334,J334)</f>
        <v>DWWDW</v>
      </c>
      <c r="S334" s="13" t="str">
        <f>_xlfn.CONCAT(K334,L334,M334,N334,O334)</f>
        <v>DWWWW</v>
      </c>
      <c r="T334" s="13" t="str">
        <f>_xlfn.CONCAT(R334,"***",S334)</f>
        <v>DWWDW***DWWWW</v>
      </c>
      <c r="U334" s="19">
        <f>(P334-Q334)</f>
        <v>3</v>
      </c>
      <c r="V334" s="14">
        <v>0</v>
      </c>
      <c r="W334" s="14">
        <v>1</v>
      </c>
      <c r="X334" s="20" t="str">
        <f>IF(ISBLANK(V334),"",IF(V334&gt;W334,"1",IF(V334&lt;W334,"2",IF(V334=W334,"X"))))</f>
        <v>2</v>
      </c>
      <c r="Y334" s="23" t="str">
        <f>COUNTIF(F334:J334, "W")&amp;COUNTIF(F334:J334, "d")&amp;COUNTIF(F334:J334, "l")</f>
        <v>320</v>
      </c>
      <c r="Z334" s="13" t="str">
        <f>COUNTIF(K334:O334, "W")&amp;COUNTIF(K334:O334, "d")&amp;COUNTIF(K334:O334, "l")</f>
        <v>410</v>
      </c>
      <c r="AA334" s="23" t="str">
        <f>_xlfn.CONCAT(Y334,"-",Z334)</f>
        <v>320-410</v>
      </c>
      <c r="AB334" s="15" t="str">
        <f>_xlfn.CONCAT(AA334,"…",TEXT(U334,"+00;-00;+00;"))</f>
        <v>320-410…+03</v>
      </c>
      <c r="AC334" s="23" t="str">
        <f>_xlfn.CONCAT(TEXT(P334,"+00;-00;+00;"),"…",TEXT(Q334,"+00;-00;+00;"))</f>
        <v>+07…+04</v>
      </c>
      <c r="AD334" s="14" t="str">
        <f>IF(X334="","?","")</f>
        <v/>
      </c>
      <c r="AE334" s="15" t="str">
        <f>_xlfn.CONCAT(AA334,"…",TEXT(P334,"+00;-00;+00;"),"...",TEXT(Q334,"+00;-00;+00;"))</f>
        <v>320-410…+07...+04</v>
      </c>
      <c r="AF334" s="13" t="str">
        <f>_xlfn.CONCAT(R334,"…",TEXT(P334,"+00;-00;+00;"),"...",TEXT(Q334,"+00;-00;+00;"))</f>
        <v>DWWDW…+07...+04</v>
      </c>
    </row>
    <row r="335" spans="1:32" x14ac:dyDescent="0.25">
      <c r="A335" s="12" t="s">
        <v>662</v>
      </c>
      <c r="B335" s="13" t="s">
        <v>295</v>
      </c>
      <c r="C335" s="14">
        <v>1</v>
      </c>
      <c r="D335" s="13" t="s">
        <v>691</v>
      </c>
      <c r="E335" s="13" t="s">
        <v>307</v>
      </c>
      <c r="F335" s="13" t="s">
        <v>29</v>
      </c>
      <c r="G335" s="13" t="s">
        <v>29</v>
      </c>
      <c r="H335" s="13" t="s">
        <v>29</v>
      </c>
      <c r="I335" s="13" t="s">
        <v>29</v>
      </c>
      <c r="J335" s="13" t="s">
        <v>29</v>
      </c>
      <c r="K335" s="13" t="s">
        <v>30</v>
      </c>
      <c r="L335" s="13" t="s">
        <v>29</v>
      </c>
      <c r="M335" s="13" t="s">
        <v>30</v>
      </c>
      <c r="N335" s="13" t="s">
        <v>30</v>
      </c>
      <c r="O335" s="13" t="s">
        <v>31</v>
      </c>
      <c r="P335" s="16">
        <v>-2</v>
      </c>
      <c r="Q335" s="16">
        <v>2</v>
      </c>
      <c r="R335" s="13" t="str">
        <f>_xlfn.CONCAT(F335,G335,H335,I335,J335)</f>
        <v>DDDDD</v>
      </c>
      <c r="S335" s="13" t="str">
        <f>_xlfn.CONCAT(K335,L335,M335,N335,O335)</f>
        <v>WDWWL</v>
      </c>
      <c r="T335" s="13" t="str">
        <f>_xlfn.CONCAT(R335,"***",S335)</f>
        <v>DDDDD***WDWWL</v>
      </c>
      <c r="U335" s="22">
        <f>(P335-Q335)</f>
        <v>-4</v>
      </c>
      <c r="V335" s="14">
        <v>1</v>
      </c>
      <c r="W335" s="14">
        <v>2</v>
      </c>
      <c r="X335" s="20" t="str">
        <f>IF(ISBLANK(V335),"",IF(V335&gt;W335,"1",IF(V335&lt;W335,"2",IF(V335=W335,"X"))))</f>
        <v>2</v>
      </c>
      <c r="Y335" s="23" t="str">
        <f>COUNTIF(F335:J335, "W")&amp;COUNTIF(F335:J335, "d")&amp;COUNTIF(F335:J335, "l")</f>
        <v>050</v>
      </c>
      <c r="Z335" s="13" t="str">
        <f>COUNTIF(K335:O335, "W")&amp;COUNTIF(K335:O335, "d")&amp;COUNTIF(K335:O335, "l")</f>
        <v>311</v>
      </c>
      <c r="AA335" s="23" t="str">
        <f>_xlfn.CONCAT(Y335,"-",Z335)</f>
        <v>050-311</v>
      </c>
      <c r="AB335" s="13" t="str">
        <f>_xlfn.CONCAT(AA335,"…",TEXT(U335,"+00;-00;+00;"))</f>
        <v>050-311…-04</v>
      </c>
      <c r="AC335" s="23" t="str">
        <f>_xlfn.CONCAT(TEXT(P335,"+00;-00;+00;"),"…",TEXT(Q335,"+00;-00;+00;"))</f>
        <v>-02…+02</v>
      </c>
      <c r="AD335" s="14" t="str">
        <f>IF(X335="","?","")</f>
        <v/>
      </c>
      <c r="AE335" s="15" t="str">
        <f>_xlfn.CONCAT(AA335,"…",TEXT(P335,"+00;-00;+00;"),"...",TEXT(Q335,"+00;-00;+00;"))</f>
        <v>050-311…-02...+02</v>
      </c>
      <c r="AF335" s="13" t="str">
        <f>_xlfn.CONCAT(R335,"…",TEXT(P335,"+00;-00;+00;"),"...",TEXT(Q335,"+00;-00;+00;"))</f>
        <v>DDDDD…-02...+02</v>
      </c>
    </row>
    <row r="336" spans="1:32" x14ac:dyDescent="0.25">
      <c r="A336" s="12" t="s">
        <v>662</v>
      </c>
      <c r="B336" s="13" t="s">
        <v>7</v>
      </c>
      <c r="C336" s="14" t="s">
        <v>32</v>
      </c>
      <c r="D336" s="13" t="s">
        <v>503</v>
      </c>
      <c r="E336" s="13" t="s">
        <v>496</v>
      </c>
      <c r="F336" s="13" t="s">
        <v>31</v>
      </c>
      <c r="G336" s="13" t="s">
        <v>30</v>
      </c>
      <c r="H336" s="13" t="s">
        <v>29</v>
      </c>
      <c r="I336" s="13" t="s">
        <v>30</v>
      </c>
      <c r="J336" s="13" t="s">
        <v>31</v>
      </c>
      <c r="K336" s="13" t="s">
        <v>31</v>
      </c>
      <c r="L336" s="13" t="s">
        <v>30</v>
      </c>
      <c r="M336" s="13" t="s">
        <v>30</v>
      </c>
      <c r="N336" s="13" t="s">
        <v>31</v>
      </c>
      <c r="O336" s="13" t="s">
        <v>31</v>
      </c>
      <c r="P336" s="16">
        <v>0</v>
      </c>
      <c r="Q336" s="16">
        <v>-3</v>
      </c>
      <c r="R336" s="13" t="str">
        <f>_xlfn.CONCAT(F336,G336,H336,I336,J336)</f>
        <v>LWDWL</v>
      </c>
      <c r="S336" s="13" t="str">
        <f>_xlfn.CONCAT(K336,L336,M336,N336,O336)</f>
        <v>LWWLL</v>
      </c>
      <c r="T336" s="13" t="str">
        <f>_xlfn.CONCAT(R336,"***",S336)</f>
        <v>LWDWL***LWWLL</v>
      </c>
      <c r="U336" s="19">
        <f>(P336-Q336)</f>
        <v>3</v>
      </c>
      <c r="V336" s="14">
        <v>1</v>
      </c>
      <c r="W336" s="14">
        <v>2</v>
      </c>
      <c r="X336" s="20" t="str">
        <f>IF(ISBLANK(V336),"",IF(V336&gt;W336,"1",IF(V336&lt;W336,"2",IF(V336=W336,"X"))))</f>
        <v>2</v>
      </c>
      <c r="Y336" s="23" t="str">
        <f>COUNTIF(F336:J336, "W")&amp;COUNTIF(F336:J336, "d")&amp;COUNTIF(F336:J336, "l")</f>
        <v>212</v>
      </c>
      <c r="Z336" s="13" t="str">
        <f>COUNTIF(K336:O336, "W")&amp;COUNTIF(K336:O336, "d")&amp;COUNTIF(K336:O336, "l")</f>
        <v>203</v>
      </c>
      <c r="AA336" s="23" t="str">
        <f>_xlfn.CONCAT(Y336,"-",Z336)</f>
        <v>212-203</v>
      </c>
      <c r="AB336" s="13" t="str">
        <f>_xlfn.CONCAT(AA336,"…",TEXT(U336,"+00;-00;+00;"))</f>
        <v>212-203…+03</v>
      </c>
      <c r="AC336" s="23" t="str">
        <f>_xlfn.CONCAT(TEXT(P336,"+00;-00;+00;"),"…",TEXT(Q336,"+00;-00;+00;"))</f>
        <v>+00…-03</v>
      </c>
      <c r="AD336" s="14" t="str">
        <f>IF(X336="","?","")</f>
        <v/>
      </c>
      <c r="AE336" s="15" t="str">
        <f>_xlfn.CONCAT(AA336,"…",TEXT(P336,"+00;-00;+00;"),"...",TEXT(Q336,"+00;-00;+00;"))</f>
        <v>212-203…+00...-03</v>
      </c>
      <c r="AF336" s="13" t="str">
        <f>_xlfn.CONCAT(R336,"…",TEXT(P336,"+00;-00;+00;"),"...",TEXT(Q336,"+00;-00;+00;"))</f>
        <v>LWDWL…+00...-03</v>
      </c>
    </row>
    <row r="337" spans="1:32" x14ac:dyDescent="0.25">
      <c r="A337" s="12" t="s">
        <v>662</v>
      </c>
      <c r="B337" s="13" t="s">
        <v>295</v>
      </c>
      <c r="C337" s="14">
        <v>1</v>
      </c>
      <c r="D337" s="13" t="s">
        <v>315</v>
      </c>
      <c r="E337" s="13" t="s">
        <v>690</v>
      </c>
      <c r="F337" s="13" t="s">
        <v>29</v>
      </c>
      <c r="G337" s="13" t="s">
        <v>30</v>
      </c>
      <c r="H337" s="13" t="s">
        <v>30</v>
      </c>
      <c r="I337" s="13" t="s">
        <v>29</v>
      </c>
      <c r="J337" s="13" t="s">
        <v>29</v>
      </c>
      <c r="K337" s="13" t="s">
        <v>31</v>
      </c>
      <c r="L337" s="13" t="s">
        <v>29</v>
      </c>
      <c r="M337" s="13" t="s">
        <v>29</v>
      </c>
      <c r="N337" s="13" t="s">
        <v>30</v>
      </c>
      <c r="O337" s="13" t="s">
        <v>29</v>
      </c>
      <c r="P337" s="16">
        <v>7</v>
      </c>
      <c r="Q337" s="16">
        <v>11</v>
      </c>
      <c r="R337" s="13" t="str">
        <f>_xlfn.CONCAT(F337,G337,H337,I337,J337)</f>
        <v>DWWDD</v>
      </c>
      <c r="S337" s="13" t="str">
        <f>_xlfn.CONCAT(K337,L337,M337,N337,O337)</f>
        <v>LDDWD</v>
      </c>
      <c r="T337" s="13" t="str">
        <f>_xlfn.CONCAT(R337,"***",S337)</f>
        <v>DWWDD***LDDWD</v>
      </c>
      <c r="U337" s="22">
        <f>(P337-Q337)</f>
        <v>-4</v>
      </c>
      <c r="V337" s="14">
        <v>1</v>
      </c>
      <c r="W337" s="14">
        <v>3</v>
      </c>
      <c r="X337" s="20" t="str">
        <f>IF(ISBLANK(V337),"",IF(V337&gt;W337,"1",IF(V337&lt;W337,"2",IF(V337=W337,"X"))))</f>
        <v>2</v>
      </c>
      <c r="Y337" s="23" t="str">
        <f>COUNTIF(F337:J337, "W")&amp;COUNTIF(F337:J337, "d")&amp;COUNTIF(F337:J337, "l")</f>
        <v>230</v>
      </c>
      <c r="Z337" s="13" t="str">
        <f>COUNTIF(K337:O337, "W")&amp;COUNTIF(K337:O337, "d")&amp;COUNTIF(K337:O337, "l")</f>
        <v>131</v>
      </c>
      <c r="AA337" s="23" t="str">
        <f>_xlfn.CONCAT(Y337,"-",Z337)</f>
        <v>230-131</v>
      </c>
      <c r="AB337" s="13" t="str">
        <f>_xlfn.CONCAT(AA337,"…",TEXT(U337,"+00;-00;+00;"))</f>
        <v>230-131…-04</v>
      </c>
      <c r="AC337" s="23" t="str">
        <f>_xlfn.CONCAT(TEXT(P337,"+00;-00;+00;"),"…",TEXT(Q337,"+00;-00;+00;"))</f>
        <v>+07…+11</v>
      </c>
      <c r="AD337" s="14" t="str">
        <f>IF(X337="","?","")</f>
        <v/>
      </c>
      <c r="AE337" s="15" t="str">
        <f>_xlfn.CONCAT(AA337,"…",TEXT(P337,"+00;-00;+00;"),"...",TEXT(Q337,"+00;-00;+00;"))</f>
        <v>230-131…+07...+11</v>
      </c>
      <c r="AF337" s="13" t="str">
        <f>_xlfn.CONCAT(R337,"…",TEXT(P337,"+00;-00;+00;"),"...",TEXT(Q337,"+00;-00;+00;"))</f>
        <v>DWWDD…+07...+11</v>
      </c>
    </row>
    <row r="338" spans="1:32" x14ac:dyDescent="0.25">
      <c r="A338" s="12" t="s">
        <v>606</v>
      </c>
      <c r="B338" s="13" t="s">
        <v>167</v>
      </c>
      <c r="C338" s="14">
        <v>1</v>
      </c>
      <c r="D338" s="13" t="s">
        <v>700</v>
      </c>
      <c r="E338" s="13" t="s">
        <v>701</v>
      </c>
      <c r="F338" s="13" t="s">
        <v>31</v>
      </c>
      <c r="G338" s="13" t="s">
        <v>29</v>
      </c>
      <c r="H338" s="13" t="s">
        <v>31</v>
      </c>
      <c r="I338" s="13" t="s">
        <v>31</v>
      </c>
      <c r="J338" s="13" t="s">
        <v>29</v>
      </c>
      <c r="K338" s="13" t="s">
        <v>31</v>
      </c>
      <c r="L338" s="13" t="s">
        <v>31</v>
      </c>
      <c r="M338" s="13" t="s">
        <v>29</v>
      </c>
      <c r="N338" s="13" t="s">
        <v>31</v>
      </c>
      <c r="O338" s="13" t="s">
        <v>30</v>
      </c>
      <c r="P338" s="16">
        <v>-4</v>
      </c>
      <c r="Q338" s="16">
        <v>-7</v>
      </c>
      <c r="R338" s="13" t="str">
        <f>_xlfn.CONCAT(F338,G338,H338,I338,J338)</f>
        <v>LDLLD</v>
      </c>
      <c r="S338" s="13" t="str">
        <f>_xlfn.CONCAT(K338,L338,M338,N338,O338)</f>
        <v>LLDLW</v>
      </c>
      <c r="T338" s="13" t="str">
        <f>_xlfn.CONCAT(R338,"***",S338)</f>
        <v>LDLLD***LLDLW</v>
      </c>
      <c r="U338" s="21">
        <f>(P338-Q338)</f>
        <v>3</v>
      </c>
      <c r="V338" s="14">
        <v>1</v>
      </c>
      <c r="W338" s="14">
        <v>1</v>
      </c>
      <c r="X338" s="20" t="str">
        <f>IF(ISBLANK(V338),"",IF(V338&gt;W338,"1",IF(V338&lt;W338,"2",IF(V338=W338,"X"))))</f>
        <v>X</v>
      </c>
      <c r="Y338" s="23" t="str">
        <f>COUNTIF(F338:J338, "W")&amp;COUNTIF(F338:J338, "d")&amp;COUNTIF(F338:J338, "l")</f>
        <v>023</v>
      </c>
      <c r="Z338" s="13" t="str">
        <f>COUNTIF(K338:O338, "W")&amp;COUNTIF(K338:O338, "d")&amp;COUNTIF(K338:O338, "l")</f>
        <v>113</v>
      </c>
      <c r="AA338" s="23" t="str">
        <f>_xlfn.CONCAT(Y338,"-",Z338)</f>
        <v>023-113</v>
      </c>
      <c r="AB338" s="13" t="str">
        <f>_xlfn.CONCAT(AA338,"…",TEXT(U338,"+00;-00;+00;"))</f>
        <v>023-113…+03</v>
      </c>
      <c r="AC338" s="23" t="str">
        <f>_xlfn.CONCAT(TEXT(P338,"+00;-00;+00;"),"…",TEXT(Q338,"+00;-00;+00;"))</f>
        <v>-04…-07</v>
      </c>
      <c r="AD338" s="14" t="str">
        <f>IF(X338="","?","")</f>
        <v/>
      </c>
      <c r="AE338" s="15" t="str">
        <f>_xlfn.CONCAT(AA338,"…",TEXT(P338,"+00;-00;+00;"),"...",TEXT(Q338,"+00;-00;+00;"))</f>
        <v>023-113…-04...-07</v>
      </c>
      <c r="AF338" s="13" t="str">
        <f>_xlfn.CONCAT(R338,"…",TEXT(P338,"+00;-00;+00;"),"...",TEXT(Q338,"+00;-00;+00;"))</f>
        <v>LDLLD…-04...-07</v>
      </c>
    </row>
    <row r="339" spans="1:32" x14ac:dyDescent="0.25">
      <c r="A339" s="12" t="s">
        <v>606</v>
      </c>
      <c r="B339" s="13" t="s">
        <v>117</v>
      </c>
      <c r="C339" s="14" t="s">
        <v>0</v>
      </c>
      <c r="D339" s="13" t="s">
        <v>637</v>
      </c>
      <c r="E339" s="13" t="s">
        <v>638</v>
      </c>
      <c r="F339" s="15" t="s">
        <v>31</v>
      </c>
      <c r="G339" s="15" t="s">
        <v>30</v>
      </c>
      <c r="H339" s="15" t="s">
        <v>31</v>
      </c>
      <c r="I339" s="15" t="s">
        <v>31</v>
      </c>
      <c r="J339" s="15" t="s">
        <v>31</v>
      </c>
      <c r="K339" s="15" t="s">
        <v>30</v>
      </c>
      <c r="L339" s="15" t="s">
        <v>29</v>
      </c>
      <c r="M339" s="15" t="s">
        <v>31</v>
      </c>
      <c r="N339" s="15" t="s">
        <v>31</v>
      </c>
      <c r="O339" s="15" t="s">
        <v>29</v>
      </c>
      <c r="P339" s="16">
        <v>3</v>
      </c>
      <c r="Q339" s="16">
        <v>-15</v>
      </c>
      <c r="R339" s="13" t="str">
        <f>_xlfn.CONCAT(F339,G339,H339,I339,J339)</f>
        <v>LWLLL</v>
      </c>
      <c r="S339" s="13" t="str">
        <f>_xlfn.CONCAT(K339,L339,M339,N339,O339)</f>
        <v>WDLLD</v>
      </c>
      <c r="T339" s="13" t="str">
        <f>_xlfn.CONCAT(R339,"***",S339)</f>
        <v>LWLLL***WDLLD</v>
      </c>
      <c r="U339" s="19">
        <f>(P339-Q339)</f>
        <v>18</v>
      </c>
      <c r="V339" s="14">
        <v>3</v>
      </c>
      <c r="W339" s="14">
        <v>0</v>
      </c>
      <c r="X339" s="20" t="str">
        <f>IF(ISBLANK(V339),"",IF(V339&gt;W339,"1",IF(V339&lt;W339,"2",IF(V339=W339,"X"))))</f>
        <v>1</v>
      </c>
      <c r="Y339" s="23" t="str">
        <f>COUNTIF(F339:J339, "W")&amp;COUNTIF(F339:J339, "d")&amp;COUNTIF(F339:J339, "l")</f>
        <v>104</v>
      </c>
      <c r="Z339" s="13" t="str">
        <f>COUNTIF(K339:O339, "W")&amp;COUNTIF(K339:O339, "d")&amp;COUNTIF(K339:O339, "l")</f>
        <v>122</v>
      </c>
      <c r="AA339" s="23" t="str">
        <f>_xlfn.CONCAT(Y339,"-",Z339)</f>
        <v>104-122</v>
      </c>
      <c r="AB339" s="15" t="str">
        <f>_xlfn.CONCAT(AA339,"…",TEXT(U339,"+00;-00;+00;"))</f>
        <v>104-122…+18</v>
      </c>
      <c r="AC339" s="23" t="str">
        <f>_xlfn.CONCAT(TEXT(P339,"+00;-00;+00;"),"…",TEXT(Q339,"+00;-00;+00;"))</f>
        <v>+03…-15</v>
      </c>
      <c r="AD339" s="14" t="str">
        <f>IF(X339="","?","")</f>
        <v/>
      </c>
      <c r="AE339" s="15" t="str">
        <f>_xlfn.CONCAT(AA339,"…",TEXT(P339,"+00;-00;+00;"),"...",TEXT(Q339,"+00;-00;+00;"))</f>
        <v>104-122…+03...-15</v>
      </c>
      <c r="AF339" s="13" t="str">
        <f>_xlfn.CONCAT(R339,"…",TEXT(P339,"+00;-00;+00;"),"...",TEXT(Q339,"+00;-00;+00;"))</f>
        <v>LWLLL…+03...-15</v>
      </c>
    </row>
    <row r="340" spans="1:32" x14ac:dyDescent="0.25">
      <c r="A340" s="12" t="s">
        <v>606</v>
      </c>
      <c r="B340" s="13" t="s">
        <v>167</v>
      </c>
      <c r="C340" s="14">
        <v>1</v>
      </c>
      <c r="D340" s="13" t="s">
        <v>180</v>
      </c>
      <c r="E340" s="13" t="s">
        <v>697</v>
      </c>
      <c r="F340" s="13" t="s">
        <v>30</v>
      </c>
      <c r="G340" s="13" t="s">
        <v>31</v>
      </c>
      <c r="H340" s="13" t="s">
        <v>31</v>
      </c>
      <c r="I340" s="13" t="s">
        <v>31</v>
      </c>
      <c r="J340" s="13" t="s">
        <v>29</v>
      </c>
      <c r="K340" s="13" t="s">
        <v>29</v>
      </c>
      <c r="L340" s="13" t="s">
        <v>31</v>
      </c>
      <c r="M340" s="13" t="s">
        <v>30</v>
      </c>
      <c r="N340" s="13" t="s">
        <v>29</v>
      </c>
      <c r="O340" s="13" t="s">
        <v>31</v>
      </c>
      <c r="P340" s="16">
        <v>0</v>
      </c>
      <c r="Q340" s="16">
        <v>-9</v>
      </c>
      <c r="R340" s="13" t="str">
        <f>_xlfn.CONCAT(F340,G340,H340,I340,J340)</f>
        <v>WLLLD</v>
      </c>
      <c r="S340" s="13" t="str">
        <f>_xlfn.CONCAT(K340,L340,M340,N340,O340)</f>
        <v>DLWDL</v>
      </c>
      <c r="T340" s="13" t="str">
        <f>_xlfn.CONCAT(R340,"***",S340)</f>
        <v>WLLLD***DLWDL</v>
      </c>
      <c r="U340" s="21">
        <f>(P340-Q340)</f>
        <v>9</v>
      </c>
      <c r="V340" s="14">
        <v>3</v>
      </c>
      <c r="W340" s="14">
        <v>0</v>
      </c>
      <c r="X340" s="20" t="str">
        <f>IF(ISBLANK(V340),"",IF(V340&gt;W340,"1",IF(V340&lt;W340,"2",IF(V340=W340,"X"))))</f>
        <v>1</v>
      </c>
      <c r="Y340" s="23" t="str">
        <f>COUNTIF(F340:J340, "W")&amp;COUNTIF(F340:J340, "d")&amp;COUNTIF(F340:J340, "l")</f>
        <v>113</v>
      </c>
      <c r="Z340" s="13" t="str">
        <f>COUNTIF(K340:O340, "W")&amp;COUNTIF(K340:O340, "d")&amp;COUNTIF(K340:O340, "l")</f>
        <v>122</v>
      </c>
      <c r="AA340" s="23" t="str">
        <f>_xlfn.CONCAT(Y340,"-",Z340)</f>
        <v>113-122</v>
      </c>
      <c r="AB340" s="13" t="str">
        <f>_xlfn.CONCAT(AA340,"…",TEXT(U340,"+00;-00;+00;"))</f>
        <v>113-122…+09</v>
      </c>
      <c r="AC340" s="23" t="str">
        <f>_xlfn.CONCAT(TEXT(P340,"+00;-00;+00;"),"…",TEXT(Q340,"+00;-00;+00;"))</f>
        <v>+00…-09</v>
      </c>
      <c r="AD340" s="14" t="str">
        <f>IF(X340="","?","")</f>
        <v/>
      </c>
      <c r="AE340" s="15" t="str">
        <f>_xlfn.CONCAT(AA340,"…",TEXT(P340,"+00;-00;+00;"),"...",TEXT(Q340,"+00;-00;+00;"))</f>
        <v>113-122…+00...-09</v>
      </c>
      <c r="AF340" s="13" t="str">
        <f>_xlfn.CONCAT(R340,"…",TEXT(P340,"+00;-00;+00;"),"...",TEXT(Q340,"+00;-00;+00;"))</f>
        <v>WLLLD…+00...-09</v>
      </c>
    </row>
    <row r="341" spans="1:32" x14ac:dyDescent="0.25">
      <c r="A341" s="12" t="s">
        <v>606</v>
      </c>
      <c r="B341" s="13" t="s">
        <v>414</v>
      </c>
      <c r="C341" s="14">
        <v>1</v>
      </c>
      <c r="D341" s="13" t="s">
        <v>842</v>
      </c>
      <c r="E341" s="13" t="s">
        <v>843</v>
      </c>
      <c r="F341" s="13" t="s">
        <v>30</v>
      </c>
      <c r="G341" s="13" t="s">
        <v>29</v>
      </c>
      <c r="H341" s="13" t="s">
        <v>31</v>
      </c>
      <c r="I341" s="13" t="s">
        <v>31</v>
      </c>
      <c r="J341" s="13" t="s">
        <v>31</v>
      </c>
      <c r="K341" s="13" t="s">
        <v>29</v>
      </c>
      <c r="L341" s="13" t="s">
        <v>29</v>
      </c>
      <c r="M341" s="13" t="s">
        <v>30</v>
      </c>
      <c r="N341" s="13" t="s">
        <v>31</v>
      </c>
      <c r="O341" s="13" t="s">
        <v>31</v>
      </c>
      <c r="P341" s="16">
        <v>-5</v>
      </c>
      <c r="Q341" s="16">
        <v>3</v>
      </c>
      <c r="R341" s="13" t="str">
        <f>_xlfn.CONCAT(F341,G341,H341,I341,J341)</f>
        <v>WDLLL</v>
      </c>
      <c r="S341" s="13" t="str">
        <f>_xlfn.CONCAT(K341,L341,M341,N341,O341)</f>
        <v>DDWLL</v>
      </c>
      <c r="T341" s="13" t="str">
        <f>_xlfn.CONCAT(R341,"***",S341)</f>
        <v>WDLLL***DDWLL</v>
      </c>
      <c r="U341" s="21">
        <f>(P341-Q341)</f>
        <v>-8</v>
      </c>
      <c r="V341" s="14">
        <v>0</v>
      </c>
      <c r="W341" s="14">
        <v>3</v>
      </c>
      <c r="X341" s="20" t="str">
        <f>IF(ISBLANK(V341),"",IF(V341&gt;W341,"1",IF(V341&lt;W341,"2",IF(V341=W341,"X"))))</f>
        <v>2</v>
      </c>
      <c r="Y341" s="23" t="str">
        <f>COUNTIF(F341:J341, "W")&amp;COUNTIF(F341:J341, "d")&amp;COUNTIF(F341:J341, "l")</f>
        <v>113</v>
      </c>
      <c r="Z341" s="13" t="str">
        <f>COUNTIF(K341:O341, "W")&amp;COUNTIF(K341:O341, "d")&amp;COUNTIF(K341:O341, "l")</f>
        <v>122</v>
      </c>
      <c r="AA341" s="23" t="str">
        <f>_xlfn.CONCAT(Y341,"-",Z341)</f>
        <v>113-122</v>
      </c>
      <c r="AB341" s="13" t="str">
        <f>_xlfn.CONCAT(AA341,"…",TEXT(U341,"+00;-00;+00;"))</f>
        <v>113-122…-08</v>
      </c>
      <c r="AC341" s="23" t="str">
        <f>_xlfn.CONCAT(TEXT(P341,"+00;-00;+00;"),"…",TEXT(Q341,"+00;-00;+00;"))</f>
        <v>-05…+03</v>
      </c>
      <c r="AD341" s="14" t="str">
        <f>IF(X341="","?","")</f>
        <v/>
      </c>
      <c r="AE341" s="15" t="str">
        <f>_xlfn.CONCAT(AA341,"…",TEXT(P341,"+00;-00;+00;"),"...",TEXT(Q341,"+00;-00;+00;"))</f>
        <v>113-122…-05...+03</v>
      </c>
      <c r="AF341" s="13" t="str">
        <f>_xlfn.CONCAT(R341,"…",TEXT(P341,"+00;-00;+00;"),"...",TEXT(Q341,"+00;-00;+00;"))</f>
        <v>WDLLL…-05...+03</v>
      </c>
    </row>
    <row r="342" spans="1:32" x14ac:dyDescent="0.25">
      <c r="A342" s="12" t="s">
        <v>606</v>
      </c>
      <c r="B342" s="13" t="s">
        <v>7</v>
      </c>
      <c r="C342" s="14" t="s">
        <v>8</v>
      </c>
      <c r="D342" s="13" t="s">
        <v>617</v>
      </c>
      <c r="E342" s="13" t="s">
        <v>618</v>
      </c>
      <c r="F342" s="15" t="s">
        <v>31</v>
      </c>
      <c r="G342" s="15" t="s">
        <v>29</v>
      </c>
      <c r="H342" s="15" t="s">
        <v>30</v>
      </c>
      <c r="I342" s="15" t="s">
        <v>31</v>
      </c>
      <c r="J342" s="15" t="s">
        <v>29</v>
      </c>
      <c r="K342" s="15" t="s">
        <v>30</v>
      </c>
      <c r="L342" s="15" t="s">
        <v>29</v>
      </c>
      <c r="M342" s="15" t="s">
        <v>29</v>
      </c>
      <c r="N342" s="15" t="s">
        <v>29</v>
      </c>
      <c r="O342" s="15" t="s">
        <v>31</v>
      </c>
      <c r="P342" s="16">
        <v>2</v>
      </c>
      <c r="Q342" s="16">
        <v>5</v>
      </c>
      <c r="R342" s="13" t="str">
        <f>_xlfn.CONCAT(F342,G342,H342,I342,J342)</f>
        <v>LDWLD</v>
      </c>
      <c r="S342" s="13" t="str">
        <f>_xlfn.CONCAT(K342,L342,M342,N342,O342)</f>
        <v>WDDDL</v>
      </c>
      <c r="T342" s="13" t="str">
        <f>_xlfn.CONCAT(R342,"***",S342)</f>
        <v>LDWLD***WDDDL</v>
      </c>
      <c r="U342" s="19">
        <f>(P342-Q342)</f>
        <v>-3</v>
      </c>
      <c r="V342" s="14">
        <v>3</v>
      </c>
      <c r="W342" s="14">
        <v>2</v>
      </c>
      <c r="X342" s="20" t="str">
        <f>IF(ISBLANK(V342),"",IF(V342&gt;W342,"1",IF(V342&lt;W342,"2",IF(V342=W342,"X"))))</f>
        <v>1</v>
      </c>
      <c r="Y342" s="23" t="str">
        <f>COUNTIF(F342:J342, "W")&amp;COUNTIF(F342:J342, "d")&amp;COUNTIF(F342:J342, "l")</f>
        <v>122</v>
      </c>
      <c r="Z342" s="13" t="str">
        <f>COUNTIF(K342:O342, "W")&amp;COUNTIF(K342:O342, "d")&amp;COUNTIF(K342:O342, "l")</f>
        <v>131</v>
      </c>
      <c r="AA342" s="23" t="str">
        <f>_xlfn.CONCAT(Y342,"-",Z342)</f>
        <v>122-131</v>
      </c>
      <c r="AB342" s="15" t="str">
        <f>_xlfn.CONCAT(AA342,"…",TEXT(U342,"+00;-00;+00;"))</f>
        <v>122-131…-03</v>
      </c>
      <c r="AC342" s="23" t="str">
        <f>_xlfn.CONCAT(TEXT(P342,"+00;-00;+00;"),"…",TEXT(Q342,"+00;-00;+00;"))</f>
        <v>+02…+05</v>
      </c>
      <c r="AD342" s="14" t="str">
        <f>IF(X342="","?","")</f>
        <v/>
      </c>
      <c r="AE342" s="15" t="str">
        <f>_xlfn.CONCAT(AA342,"…",TEXT(P342,"+00;-00;+00;"),"...",TEXT(Q342,"+00;-00;+00;"))</f>
        <v>122-131…+02...+05</v>
      </c>
      <c r="AF342" s="13" t="str">
        <f>_xlfn.CONCAT(R342,"…",TEXT(P342,"+00;-00;+00;"),"...",TEXT(Q342,"+00;-00;+00;"))</f>
        <v>LDWLD…+02...+05</v>
      </c>
    </row>
    <row r="343" spans="1:32" x14ac:dyDescent="0.25">
      <c r="A343" s="12" t="s">
        <v>606</v>
      </c>
      <c r="B343" s="13" t="s">
        <v>117</v>
      </c>
      <c r="C343" s="14" t="s">
        <v>0</v>
      </c>
      <c r="D343" s="13" t="s">
        <v>139</v>
      </c>
      <c r="E343" s="13" t="s">
        <v>639</v>
      </c>
      <c r="F343" s="15" t="s">
        <v>31</v>
      </c>
      <c r="G343" s="15" t="s">
        <v>29</v>
      </c>
      <c r="H343" s="15" t="s">
        <v>30</v>
      </c>
      <c r="I343" s="15" t="s">
        <v>29</v>
      </c>
      <c r="J343" s="15" t="s">
        <v>29</v>
      </c>
      <c r="K343" s="15" t="s">
        <v>29</v>
      </c>
      <c r="L343" s="15" t="s">
        <v>31</v>
      </c>
      <c r="M343" s="15" t="s">
        <v>31</v>
      </c>
      <c r="N343" s="15" t="s">
        <v>31</v>
      </c>
      <c r="O343" s="15" t="s">
        <v>31</v>
      </c>
      <c r="P343" s="16">
        <v>-9</v>
      </c>
      <c r="Q343" s="16">
        <v>-9</v>
      </c>
      <c r="R343" s="13" t="str">
        <f>_xlfn.CONCAT(F343,G343,H343,I343,J343)</f>
        <v>LDWDD</v>
      </c>
      <c r="S343" s="13" t="str">
        <f>_xlfn.CONCAT(K343,L343,M343,N343,O343)</f>
        <v>DLLLL</v>
      </c>
      <c r="T343" s="13" t="str">
        <f>_xlfn.CONCAT(R343,"***",S343)</f>
        <v>LDWDD***DLLLL</v>
      </c>
      <c r="U343" s="19">
        <f>(P343-Q343)</f>
        <v>0</v>
      </c>
      <c r="V343" s="14">
        <v>3</v>
      </c>
      <c r="W343" s="14">
        <v>3</v>
      </c>
      <c r="X343" s="20" t="str">
        <f>IF(ISBLANK(V343),"",IF(V343&gt;W343,"1",IF(V343&lt;W343,"2",IF(V343=W343,"X"))))</f>
        <v>X</v>
      </c>
      <c r="Y343" s="23" t="str">
        <f>COUNTIF(F343:J343, "W")&amp;COUNTIF(F343:J343, "d")&amp;COUNTIF(F343:J343, "l")</f>
        <v>131</v>
      </c>
      <c r="Z343" s="13" t="str">
        <f>COUNTIF(K343:O343, "W")&amp;COUNTIF(K343:O343, "d")&amp;COUNTIF(K343:O343, "l")</f>
        <v>014</v>
      </c>
      <c r="AA343" s="23" t="str">
        <f>_xlfn.CONCAT(Y343,"-",Z343)</f>
        <v>131-014</v>
      </c>
      <c r="AB343" s="15" t="str">
        <f>_xlfn.CONCAT(AA343,"…",TEXT(U343,"+00;-00;+00;"))</f>
        <v>131-014…+00</v>
      </c>
      <c r="AC343" s="23" t="str">
        <f>_xlfn.CONCAT(TEXT(P343,"+00;-00;+00;"),"…",TEXT(Q343,"+00;-00;+00;"))</f>
        <v>-09…-09</v>
      </c>
      <c r="AD343" s="14" t="str">
        <f>IF(X343="","?","")</f>
        <v/>
      </c>
      <c r="AE343" s="15" t="str">
        <f>_xlfn.CONCAT(AA343,"…",TEXT(P343,"+00;-00;+00;"),"...",TEXT(Q343,"+00;-00;+00;"))</f>
        <v>131-014…-09...-09</v>
      </c>
      <c r="AF343" s="13" t="str">
        <f>_xlfn.CONCAT(R343,"…",TEXT(P343,"+00;-00;+00;"),"...",TEXT(Q343,"+00;-00;+00;"))</f>
        <v>LDWDD…-09...-09</v>
      </c>
    </row>
    <row r="344" spans="1:32" x14ac:dyDescent="0.25">
      <c r="A344" s="12" t="s">
        <v>606</v>
      </c>
      <c r="B344" s="13" t="s">
        <v>7</v>
      </c>
      <c r="C344" s="14" t="s">
        <v>8</v>
      </c>
      <c r="D344" s="13" t="s">
        <v>620</v>
      </c>
      <c r="E344" s="13" t="s">
        <v>21</v>
      </c>
      <c r="F344" s="15" t="s">
        <v>30</v>
      </c>
      <c r="G344" s="15" t="s">
        <v>30</v>
      </c>
      <c r="H344" s="15" t="s">
        <v>31</v>
      </c>
      <c r="I344" s="15" t="s">
        <v>31</v>
      </c>
      <c r="J344" s="15" t="s">
        <v>31</v>
      </c>
      <c r="K344" s="15" t="s">
        <v>31</v>
      </c>
      <c r="L344" s="15" t="s">
        <v>31</v>
      </c>
      <c r="M344" s="15" t="s">
        <v>30</v>
      </c>
      <c r="N344" s="15" t="s">
        <v>31</v>
      </c>
      <c r="O344" s="15" t="s">
        <v>31</v>
      </c>
      <c r="P344" s="16">
        <v>0</v>
      </c>
      <c r="Q344" s="16">
        <v>-5</v>
      </c>
      <c r="R344" s="13" t="str">
        <f>_xlfn.CONCAT(F344,G344,H344,I344,J344)</f>
        <v>WWLLL</v>
      </c>
      <c r="S344" s="13" t="str">
        <f>_xlfn.CONCAT(K344,L344,M344,N344,O344)</f>
        <v>LLWLL</v>
      </c>
      <c r="T344" s="13" t="str">
        <f>_xlfn.CONCAT(R344,"***",S344)</f>
        <v>WWLLL***LLWLL</v>
      </c>
      <c r="U344" s="19">
        <f>(P344-Q344)</f>
        <v>5</v>
      </c>
      <c r="V344" s="14">
        <v>1</v>
      </c>
      <c r="W344" s="14">
        <v>1</v>
      </c>
      <c r="X344" s="20" t="str">
        <f>IF(ISBLANK(V344),"",IF(V344&gt;W344,"1",IF(V344&lt;W344,"2",IF(V344=W344,"X"))))</f>
        <v>X</v>
      </c>
      <c r="Y344" s="23" t="str">
        <f>COUNTIF(F344:J344, "W")&amp;COUNTIF(F344:J344, "d")&amp;COUNTIF(F344:J344, "l")</f>
        <v>203</v>
      </c>
      <c r="Z344" s="13" t="str">
        <f>COUNTIF(K344:O344, "W")&amp;COUNTIF(K344:O344, "d")&amp;COUNTIF(K344:O344, "l")</f>
        <v>104</v>
      </c>
      <c r="AA344" s="23" t="str">
        <f>_xlfn.CONCAT(Y344,"-",Z344)</f>
        <v>203-104</v>
      </c>
      <c r="AB344" s="15" t="str">
        <f>_xlfn.CONCAT(AA344,"…",TEXT(U344,"+00;-00;+00;"))</f>
        <v>203-104…+05</v>
      </c>
      <c r="AC344" s="23" t="str">
        <f>_xlfn.CONCAT(TEXT(P344,"+00;-00;+00;"),"…",TEXT(Q344,"+00;-00;+00;"))</f>
        <v>+00…-05</v>
      </c>
      <c r="AD344" s="14" t="str">
        <f>IF(X344="","?","")</f>
        <v/>
      </c>
      <c r="AE344" s="15" t="str">
        <f>_xlfn.CONCAT(AA344,"…",TEXT(P344,"+00;-00;+00;"),"...",TEXT(Q344,"+00;-00;+00;"))</f>
        <v>203-104…+00...-05</v>
      </c>
      <c r="AF344" s="13" t="str">
        <f>_xlfn.CONCAT(R344,"…",TEXT(P344,"+00;-00;+00;"),"...",TEXT(Q344,"+00;-00;+00;"))</f>
        <v>WWLLL…+00...-05</v>
      </c>
    </row>
    <row r="345" spans="1:32" x14ac:dyDescent="0.25">
      <c r="A345" s="13" t="s">
        <v>606</v>
      </c>
      <c r="B345" s="13" t="s">
        <v>250</v>
      </c>
      <c r="C345" s="14">
        <v>2</v>
      </c>
      <c r="D345" s="13" t="s">
        <v>862</v>
      </c>
      <c r="E345" s="13" t="s">
        <v>863</v>
      </c>
      <c r="F345" s="13" t="s">
        <v>31</v>
      </c>
      <c r="G345" s="13" t="s">
        <v>30</v>
      </c>
      <c r="H345" s="13" t="s">
        <v>31</v>
      </c>
      <c r="I345" s="13" t="s">
        <v>30</v>
      </c>
      <c r="J345" s="13" t="s">
        <v>31</v>
      </c>
      <c r="K345" s="13" t="s">
        <v>30</v>
      </c>
      <c r="L345" s="13" t="s">
        <v>30</v>
      </c>
      <c r="M345" s="13" t="s">
        <v>31</v>
      </c>
      <c r="N345" s="13" t="s">
        <v>29</v>
      </c>
      <c r="O345" s="13" t="s">
        <v>30</v>
      </c>
      <c r="P345" s="16">
        <v>-6</v>
      </c>
      <c r="Q345" s="16">
        <v>0</v>
      </c>
      <c r="R345" s="13" t="str">
        <f>_xlfn.CONCAT(F345,G345,H345,I345,J345)</f>
        <v>LWLWL</v>
      </c>
      <c r="S345" s="13" t="str">
        <f>_xlfn.CONCAT(K345,L345,M345,N345,O345)</f>
        <v>WWLDW</v>
      </c>
      <c r="T345" s="13" t="str">
        <f>_xlfn.CONCAT(R345,"***",S345)</f>
        <v>LWLWL***WWLDW</v>
      </c>
      <c r="U345" s="21">
        <f>(P345-Q345)</f>
        <v>-6</v>
      </c>
      <c r="V345" s="14">
        <v>0</v>
      </c>
      <c r="W345" s="14">
        <v>2</v>
      </c>
      <c r="X345" s="20" t="str">
        <f>IF(ISBLANK(V345),"",IF(V345&gt;W345,"1",IF(V345&lt;W345,"2",IF(V345=W345,"X"))))</f>
        <v>2</v>
      </c>
      <c r="Y345" s="23" t="str">
        <f>COUNTIF(F345:J345, "W")&amp;COUNTIF(F345:J345, "d")&amp;COUNTIF(F345:J345, "l")</f>
        <v>203</v>
      </c>
      <c r="Z345" s="13" t="str">
        <f>COUNTIF(K345:O345, "W")&amp;COUNTIF(K345:O345, "d")&amp;COUNTIF(K345:O345, "l")</f>
        <v>311</v>
      </c>
      <c r="AA345" s="23" t="str">
        <f>_xlfn.CONCAT(Y345,"-",Z345)</f>
        <v>203-311</v>
      </c>
      <c r="AB345" s="13" t="str">
        <f>_xlfn.CONCAT(AA345,"…",TEXT(U345,"+00;-00;+00;"))</f>
        <v>203-311…-06</v>
      </c>
      <c r="AC345" s="23" t="str">
        <f>_xlfn.CONCAT(TEXT(P345,"+00;-00;+00;"),"…",TEXT(Q345,"+00;-00;+00;"))</f>
        <v>-06…+00</v>
      </c>
      <c r="AD345" s="14" t="str">
        <f>IF(X345="","?","")</f>
        <v/>
      </c>
      <c r="AE345" s="15" t="str">
        <f>_xlfn.CONCAT(AA345,"…",TEXT(P345,"+00;-00;+00;"),"...",TEXT(Q345,"+00;-00;+00;"))</f>
        <v>203-311…-06...+00</v>
      </c>
      <c r="AF345" s="13" t="str">
        <f>_xlfn.CONCAT(R345,"…",TEXT(P345,"+00;-00;+00;"),"...",TEXT(Q345,"+00;-00;+00;"))</f>
        <v>LWLWL…-06...+00</v>
      </c>
    </row>
    <row r="346" spans="1:32" x14ac:dyDescent="0.25">
      <c r="A346" s="12" t="s">
        <v>606</v>
      </c>
      <c r="B346" s="13" t="s">
        <v>167</v>
      </c>
      <c r="C346" s="14">
        <v>1</v>
      </c>
      <c r="D346" s="13" t="s">
        <v>698</v>
      </c>
      <c r="E346" s="13" t="s">
        <v>699</v>
      </c>
      <c r="F346" s="13" t="s">
        <v>31</v>
      </c>
      <c r="G346" s="13" t="s">
        <v>29</v>
      </c>
      <c r="H346" s="13" t="s">
        <v>30</v>
      </c>
      <c r="I346" s="13" t="s">
        <v>31</v>
      </c>
      <c r="J346" s="13" t="s">
        <v>30</v>
      </c>
      <c r="K346" s="13" t="s">
        <v>29</v>
      </c>
      <c r="L346" s="13" t="s">
        <v>31</v>
      </c>
      <c r="M346" s="13" t="s">
        <v>29</v>
      </c>
      <c r="N346" s="13" t="s">
        <v>31</v>
      </c>
      <c r="O346" s="13" t="s">
        <v>30</v>
      </c>
      <c r="P346" s="16">
        <v>8</v>
      </c>
      <c r="Q346" s="16">
        <v>-1</v>
      </c>
      <c r="R346" s="13" t="str">
        <f>_xlfn.CONCAT(F346,G346,H346,I346,J346)</f>
        <v>LDWLW</v>
      </c>
      <c r="S346" s="13" t="str">
        <f>_xlfn.CONCAT(K346,L346,M346,N346,O346)</f>
        <v>DLDLW</v>
      </c>
      <c r="T346" s="13" t="str">
        <f>_xlfn.CONCAT(R346,"***",S346)</f>
        <v>LDWLW***DLDLW</v>
      </c>
      <c r="U346" s="21">
        <f>(P346-Q346)</f>
        <v>9</v>
      </c>
      <c r="V346" s="14">
        <v>2</v>
      </c>
      <c r="W346" s="14">
        <v>0</v>
      </c>
      <c r="X346" s="20" t="str">
        <f>IF(ISBLANK(V346),"",IF(V346&gt;W346,"1",IF(V346&lt;W346,"2",IF(V346=W346,"X"))))</f>
        <v>1</v>
      </c>
      <c r="Y346" s="23" t="str">
        <f>COUNTIF(F346:J346, "W")&amp;COUNTIF(F346:J346, "d")&amp;COUNTIF(F346:J346, "l")</f>
        <v>212</v>
      </c>
      <c r="Z346" s="13" t="str">
        <f>COUNTIF(K346:O346, "W")&amp;COUNTIF(K346:O346, "d")&amp;COUNTIF(K346:O346, "l")</f>
        <v>122</v>
      </c>
      <c r="AA346" s="23" t="str">
        <f>_xlfn.CONCAT(Y346,"-",Z346)</f>
        <v>212-122</v>
      </c>
      <c r="AB346" s="13" t="str">
        <f>_xlfn.CONCAT(AA346,"…",TEXT(U346,"+00;-00;+00;"))</f>
        <v>212-122…+09</v>
      </c>
      <c r="AC346" s="23" t="str">
        <f>_xlfn.CONCAT(TEXT(P346,"+00;-00;+00;"),"…",TEXT(Q346,"+00;-00;+00;"))</f>
        <v>+08…-01</v>
      </c>
      <c r="AD346" s="14" t="str">
        <f>IF(X346="","?","")</f>
        <v/>
      </c>
      <c r="AE346" s="15" t="str">
        <f>_xlfn.CONCAT(AA346,"…",TEXT(P346,"+00;-00;+00;"),"...",TEXT(Q346,"+00;-00;+00;"))</f>
        <v>212-122…+08...-01</v>
      </c>
      <c r="AF346" s="13" t="str">
        <f>_xlfn.CONCAT(R346,"…",TEXT(P346,"+00;-00;+00;"),"...",TEXT(Q346,"+00;-00;+00;"))</f>
        <v>LDWLW…+08...-01</v>
      </c>
    </row>
    <row r="347" spans="1:32" x14ac:dyDescent="0.25">
      <c r="A347" s="12" t="s">
        <v>606</v>
      </c>
      <c r="B347" s="13" t="s">
        <v>7</v>
      </c>
      <c r="C347" s="14" t="s">
        <v>8</v>
      </c>
      <c r="D347" s="13" t="s">
        <v>616</v>
      </c>
      <c r="E347" s="13" t="s">
        <v>26</v>
      </c>
      <c r="F347" s="15" t="s">
        <v>30</v>
      </c>
      <c r="G347" s="15" t="s">
        <v>30</v>
      </c>
      <c r="H347" s="15" t="s">
        <v>31</v>
      </c>
      <c r="I347" s="15" t="s">
        <v>30</v>
      </c>
      <c r="J347" s="15" t="s">
        <v>31</v>
      </c>
      <c r="K347" s="15" t="s">
        <v>30</v>
      </c>
      <c r="L347" s="15" t="s">
        <v>30</v>
      </c>
      <c r="M347" s="15" t="s">
        <v>31</v>
      </c>
      <c r="N347" s="15" t="s">
        <v>30</v>
      </c>
      <c r="O347" s="15" t="s">
        <v>30</v>
      </c>
      <c r="P347" s="16">
        <v>-14</v>
      </c>
      <c r="Q347" s="16">
        <v>13</v>
      </c>
      <c r="R347" s="13" t="str">
        <f>_xlfn.CONCAT(F347,G347,H347,I347,J347)</f>
        <v>WWLWL</v>
      </c>
      <c r="S347" s="13" t="str">
        <f>_xlfn.CONCAT(K347,L347,M347,N347,O347)</f>
        <v>WWLWW</v>
      </c>
      <c r="T347" s="13" t="str">
        <f>_xlfn.CONCAT(R347,"***",S347)</f>
        <v>WWLWL***WWLWW</v>
      </c>
      <c r="U347" s="19">
        <f>(P347-Q347)</f>
        <v>-27</v>
      </c>
      <c r="V347" s="14">
        <v>2</v>
      </c>
      <c r="W347" s="14">
        <v>2</v>
      </c>
      <c r="X347" s="20" t="str">
        <f>IF(ISBLANK(V347),"",IF(V347&gt;W347,"1",IF(V347&lt;W347,"2",IF(V347=W347,"X"))))</f>
        <v>X</v>
      </c>
      <c r="Y347" s="23" t="str">
        <f>COUNTIF(F347:J347, "W")&amp;COUNTIF(F347:J347, "d")&amp;COUNTIF(F347:J347, "l")</f>
        <v>302</v>
      </c>
      <c r="Z347" s="13" t="str">
        <f>COUNTIF(K347:O347, "W")&amp;COUNTIF(K347:O347, "d")&amp;COUNTIF(K347:O347, "l")</f>
        <v>401</v>
      </c>
      <c r="AA347" s="23" t="str">
        <f>_xlfn.CONCAT(Y347,"-",Z347)</f>
        <v>302-401</v>
      </c>
      <c r="AB347" s="15" t="str">
        <f>_xlfn.CONCAT(AA347,"…",TEXT(U347,"+00;-00;+00;"))</f>
        <v>302-401…-27</v>
      </c>
      <c r="AC347" s="23" t="str">
        <f>_xlfn.CONCAT(TEXT(P347,"+00;-00;+00;"),"…",TEXT(Q347,"+00;-00;+00;"))</f>
        <v>-14…+13</v>
      </c>
      <c r="AD347" s="14" t="str">
        <f>IF(X347="","?","")</f>
        <v/>
      </c>
      <c r="AE347" s="15" t="str">
        <f>_xlfn.CONCAT(AA347,"…",TEXT(P347,"+00;-00;+00;"),"...",TEXT(Q347,"+00;-00;+00;"))</f>
        <v>302-401…-14...+13</v>
      </c>
      <c r="AF347" s="13" t="str">
        <f>_xlfn.CONCAT(R347,"…",TEXT(P347,"+00;-00;+00;"),"...",TEXT(Q347,"+00;-00;+00;"))</f>
        <v>WWLWL…-14...+13</v>
      </c>
    </row>
    <row r="348" spans="1:32" x14ac:dyDescent="0.25">
      <c r="A348" s="12" t="s">
        <v>606</v>
      </c>
      <c r="B348" s="13" t="s">
        <v>7</v>
      </c>
      <c r="C348" s="14" t="s">
        <v>8</v>
      </c>
      <c r="D348" s="13" t="s">
        <v>19</v>
      </c>
      <c r="E348" s="13" t="s">
        <v>619</v>
      </c>
      <c r="F348" s="15" t="s">
        <v>29</v>
      </c>
      <c r="G348" s="15" t="s">
        <v>30</v>
      </c>
      <c r="H348" s="15" t="s">
        <v>29</v>
      </c>
      <c r="I348" s="15" t="s">
        <v>30</v>
      </c>
      <c r="J348" s="15" t="s">
        <v>30</v>
      </c>
      <c r="K348" s="15" t="s">
        <v>30</v>
      </c>
      <c r="L348" s="15" t="s">
        <v>31</v>
      </c>
      <c r="M348" s="15" t="s">
        <v>31</v>
      </c>
      <c r="N348" s="15" t="s">
        <v>29</v>
      </c>
      <c r="O348" s="15" t="s">
        <v>31</v>
      </c>
      <c r="P348" s="16">
        <v>17</v>
      </c>
      <c r="Q348" s="16">
        <v>-9</v>
      </c>
      <c r="R348" s="13" t="str">
        <f>_xlfn.CONCAT(F348,G348,H348,I348,J348)</f>
        <v>DWDWW</v>
      </c>
      <c r="S348" s="13" t="str">
        <f>_xlfn.CONCAT(K348,L348,M348,N348,O348)</f>
        <v>WLLDL</v>
      </c>
      <c r="T348" s="13" t="str">
        <f>_xlfn.CONCAT(R348,"***",S348)</f>
        <v>DWDWW***WLLDL</v>
      </c>
      <c r="U348" s="19">
        <f>(P348-Q348)</f>
        <v>26</v>
      </c>
      <c r="V348" s="14">
        <v>4</v>
      </c>
      <c r="W348" s="14">
        <v>3</v>
      </c>
      <c r="X348" s="20" t="str">
        <f>IF(ISBLANK(V348),"",IF(V348&gt;W348,"1",IF(V348&lt;W348,"2",IF(V348=W348,"X"))))</f>
        <v>1</v>
      </c>
      <c r="Y348" s="23" t="str">
        <f>COUNTIF(F348:J348, "W")&amp;COUNTIF(F348:J348, "d")&amp;COUNTIF(F348:J348, "l")</f>
        <v>320</v>
      </c>
      <c r="Z348" s="13" t="str">
        <f>COUNTIF(K348:O348, "W")&amp;COUNTIF(K348:O348, "d")&amp;COUNTIF(K348:O348, "l")</f>
        <v>113</v>
      </c>
      <c r="AA348" s="23" t="str">
        <f>_xlfn.CONCAT(Y348,"-",Z348)</f>
        <v>320-113</v>
      </c>
      <c r="AB348" s="15" t="str">
        <f>_xlfn.CONCAT(AA348,"…",TEXT(U348,"+00;-00;+00;"))</f>
        <v>320-113…+26</v>
      </c>
      <c r="AC348" s="23" t="str">
        <f>_xlfn.CONCAT(TEXT(P348,"+00;-00;+00;"),"…",TEXT(Q348,"+00;-00;+00;"))</f>
        <v>+17…-09</v>
      </c>
      <c r="AD348" s="14" t="str">
        <f>IF(X348="","?","")</f>
        <v/>
      </c>
      <c r="AE348" s="15" t="str">
        <f>_xlfn.CONCAT(AA348,"…",TEXT(P348,"+00;-00;+00;"),"...",TEXT(Q348,"+00;-00;+00;"))</f>
        <v>320-113…+17...-09</v>
      </c>
      <c r="AF348" s="13" t="str">
        <f>_xlfn.CONCAT(R348,"…",TEXT(P348,"+00;-00;+00;"),"...",TEXT(Q348,"+00;-00;+00;"))</f>
        <v>DWDWW…+17...-09</v>
      </c>
    </row>
    <row r="349" spans="1:32" x14ac:dyDescent="0.25">
      <c r="A349" s="12" t="s">
        <v>563</v>
      </c>
      <c r="B349" s="13" t="s">
        <v>208</v>
      </c>
      <c r="C349" s="14">
        <v>1</v>
      </c>
      <c r="D349" s="13" t="s">
        <v>225</v>
      </c>
      <c r="E349" s="13" t="s">
        <v>573</v>
      </c>
      <c r="F349" s="15" t="s">
        <v>29</v>
      </c>
      <c r="G349" s="15" t="s">
        <v>29</v>
      </c>
      <c r="H349" s="15" t="s">
        <v>30</v>
      </c>
      <c r="I349" s="15" t="s">
        <v>29</v>
      </c>
      <c r="J349" s="15" t="s">
        <v>31</v>
      </c>
      <c r="K349" s="15" t="s">
        <v>29</v>
      </c>
      <c r="L349" s="15" t="s">
        <v>31</v>
      </c>
      <c r="M349" s="15" t="s">
        <v>29</v>
      </c>
      <c r="N349" s="15" t="s">
        <v>31</v>
      </c>
      <c r="O349" s="15" t="s">
        <v>30</v>
      </c>
      <c r="P349" s="16">
        <v>-13</v>
      </c>
      <c r="Q349" s="16">
        <v>-8</v>
      </c>
      <c r="R349" s="13" t="str">
        <f>_xlfn.CONCAT(F349,G349,H349,I349,J349)</f>
        <v>DDWDL</v>
      </c>
      <c r="S349" s="13" t="str">
        <f>_xlfn.CONCAT(K349,L349,M349,N349,O349)</f>
        <v>DLDLW</v>
      </c>
      <c r="T349" s="13" t="str">
        <f>_xlfn.CONCAT(R349,"***",S349)</f>
        <v>DDWDL***DLDLW</v>
      </c>
      <c r="U349" s="19">
        <f>(P349-Q349)</f>
        <v>-5</v>
      </c>
      <c r="V349" s="14">
        <v>0</v>
      </c>
      <c r="W349" s="14">
        <v>1</v>
      </c>
      <c r="X349" s="20" t="str">
        <f>IF(ISBLANK(V349),"",IF(V349&gt;W349,"1",IF(V349&lt;W349,"2",IF(V349=W349,"X"))))</f>
        <v>2</v>
      </c>
      <c r="Y349" s="23" t="str">
        <f>COUNTIF(F349:J349, "W")&amp;COUNTIF(F349:J349, "d")&amp;COUNTIF(F349:J349, "l")</f>
        <v>131</v>
      </c>
      <c r="Z349" s="13" t="str">
        <f>COUNTIF(K349:O349, "W")&amp;COUNTIF(K349:O349, "d")&amp;COUNTIF(K349:O349, "l")</f>
        <v>122</v>
      </c>
      <c r="AA349" s="23" t="str">
        <f>_xlfn.CONCAT(Y349,"-",Z349)</f>
        <v>131-122</v>
      </c>
      <c r="AB349" s="15" t="str">
        <f>_xlfn.CONCAT(AA349,"…",TEXT(U349,"+00;-00;+00;"))</f>
        <v>131-122…-05</v>
      </c>
      <c r="AC349" s="23" t="str">
        <f>_xlfn.CONCAT(TEXT(P349,"+00;-00;+00;"),"…",TEXT(Q349,"+00;-00;+00;"))</f>
        <v>-13…-08</v>
      </c>
      <c r="AD349" s="14" t="str">
        <f>IF(X349="","?","")</f>
        <v/>
      </c>
      <c r="AE349" s="15" t="str">
        <f>_xlfn.CONCAT(AA349,"…",TEXT(P349,"+00;-00;+00;"),"...",TEXT(Q349,"+00;-00;+00;"))</f>
        <v>131-122…-13...-08</v>
      </c>
      <c r="AF349" s="13" t="str">
        <f>_xlfn.CONCAT(R349,"…",TEXT(P349,"+00;-00;+00;"),"...",TEXT(Q349,"+00;-00;+00;"))</f>
        <v>DDWDL…-13...-08</v>
      </c>
    </row>
    <row r="350" spans="1:32" s="11" customFormat="1" x14ac:dyDescent="0.25">
      <c r="A350" s="12" t="s">
        <v>563</v>
      </c>
      <c r="B350" s="13" t="s">
        <v>401</v>
      </c>
      <c r="C350" s="14">
        <v>1</v>
      </c>
      <c r="D350" s="13" t="s">
        <v>404</v>
      </c>
      <c r="E350" s="13" t="s">
        <v>792</v>
      </c>
      <c r="F350" s="13" t="s">
        <v>30</v>
      </c>
      <c r="G350" s="13" t="s">
        <v>29</v>
      </c>
      <c r="H350" s="13" t="s">
        <v>31</v>
      </c>
      <c r="I350" s="13" t="s">
        <v>29</v>
      </c>
      <c r="J350" s="13" t="s">
        <v>30</v>
      </c>
      <c r="K350" s="13" t="s">
        <v>30</v>
      </c>
      <c r="L350" s="13" t="s">
        <v>30</v>
      </c>
      <c r="M350" s="13" t="s">
        <v>31</v>
      </c>
      <c r="N350" s="13" t="s">
        <v>30</v>
      </c>
      <c r="O350" s="13" t="s">
        <v>31</v>
      </c>
      <c r="P350" s="16">
        <v>-10</v>
      </c>
      <c r="Q350" s="16">
        <v>21</v>
      </c>
      <c r="R350" s="13" t="str">
        <f>_xlfn.CONCAT(F350,G350,H350,I350,J350)</f>
        <v>WDLDW</v>
      </c>
      <c r="S350" s="13" t="str">
        <f>_xlfn.CONCAT(K350,L350,M350,N350,O350)</f>
        <v>WWLWL</v>
      </c>
      <c r="T350" s="13" t="str">
        <f>_xlfn.CONCAT(R350,"***",S350)</f>
        <v>WDLDW***WWLWL</v>
      </c>
      <c r="U350" s="21">
        <f>(P350-Q350)</f>
        <v>-31</v>
      </c>
      <c r="V350" s="14">
        <v>2</v>
      </c>
      <c r="W350" s="14">
        <v>2</v>
      </c>
      <c r="X350" s="20" t="str">
        <f>IF(ISBLANK(V350),"",IF(V350&gt;W350,"1",IF(V350&lt;W350,"2",IF(V350=W350,"X"))))</f>
        <v>X</v>
      </c>
      <c r="Y350" s="23" t="str">
        <f>COUNTIF(F350:J350, "W")&amp;COUNTIF(F350:J350, "d")&amp;COUNTIF(F350:J350, "l")</f>
        <v>221</v>
      </c>
      <c r="Z350" s="13" t="str">
        <f>COUNTIF(K350:O350, "W")&amp;COUNTIF(K350:O350, "d")&amp;COUNTIF(K350:O350, "l")</f>
        <v>302</v>
      </c>
      <c r="AA350" s="23" t="str">
        <f>_xlfn.CONCAT(Y350,"-",Z350)</f>
        <v>221-302</v>
      </c>
      <c r="AB350" s="13" t="str">
        <f>_xlfn.CONCAT(AA350,"…",TEXT(U350,"+00;-00;+00;"))</f>
        <v>221-302…-31</v>
      </c>
      <c r="AC350" s="23" t="str">
        <f>_xlfn.CONCAT(TEXT(P350,"+00;-00;+00;"),"…",TEXT(Q350,"+00;-00;+00;"))</f>
        <v>-10…+21</v>
      </c>
      <c r="AD350" s="14" t="str">
        <f>IF(X350="","?","")</f>
        <v/>
      </c>
      <c r="AE350" s="24" t="str">
        <f>_xlfn.CONCAT(AA350,"…",TEXT(P350,"+00;-00;+00;"),"...",TEXT(Q350,"+00;-00;+00;"))</f>
        <v>221-302…-10...+21</v>
      </c>
      <c r="AF350" s="26" t="str">
        <f>_xlfn.CONCAT(R350,"…",TEXT(P350,"+00;-00;+00;"),"...",TEXT(Q350,"+00;-00;+00;"))</f>
        <v>WDLDW…-10...+21</v>
      </c>
    </row>
    <row r="351" spans="1:32" x14ac:dyDescent="0.25">
      <c r="A351" s="13" t="s">
        <v>755</v>
      </c>
      <c r="B351" s="13" t="s">
        <v>364</v>
      </c>
      <c r="C351" s="14">
        <v>1</v>
      </c>
      <c r="D351" s="13" t="s">
        <v>831</v>
      </c>
      <c r="E351" s="13" t="s">
        <v>832</v>
      </c>
      <c r="F351" s="13" t="s">
        <v>29</v>
      </c>
      <c r="G351" s="13" t="s">
        <v>29</v>
      </c>
      <c r="H351" s="13" t="s">
        <v>29</v>
      </c>
      <c r="I351" s="13" t="s">
        <v>30</v>
      </c>
      <c r="J351" s="13" t="s">
        <v>29</v>
      </c>
      <c r="K351" s="13" t="s">
        <v>29</v>
      </c>
      <c r="L351" s="13" t="s">
        <v>30</v>
      </c>
      <c r="M351" s="13" t="s">
        <v>31</v>
      </c>
      <c r="N351" s="13" t="s">
        <v>31</v>
      </c>
      <c r="O351" s="13" t="s">
        <v>31</v>
      </c>
      <c r="P351" s="16">
        <v>12</v>
      </c>
      <c r="Q351" s="16">
        <v>-22</v>
      </c>
      <c r="R351" s="13" t="str">
        <f>_xlfn.CONCAT(F351,G351,H351,I351,J351)</f>
        <v>DDDWD</v>
      </c>
      <c r="S351" s="13" t="str">
        <f>_xlfn.CONCAT(K351,L351,M351,N351,O351)</f>
        <v>DWLLL</v>
      </c>
      <c r="T351" s="13" t="str">
        <f>_xlfn.CONCAT(R351,"***",S351)</f>
        <v>DDDWD***DWLLL</v>
      </c>
      <c r="U351" s="19">
        <f>(P351-Q351)</f>
        <v>34</v>
      </c>
      <c r="V351" s="14">
        <v>4</v>
      </c>
      <c r="W351" s="14">
        <v>0</v>
      </c>
      <c r="X351" s="20" t="str">
        <f>IF(ISBLANK(V351),"",IF(V351&gt;W351,"1",IF(V351&lt;W351,"2",IF(V351=W351,"X"))))</f>
        <v>1</v>
      </c>
      <c r="Y351" s="23" t="str">
        <f>COUNTIF(F351:J351, "W")&amp;COUNTIF(F351:J351, "d")&amp;COUNTIF(F351:J351, "l")</f>
        <v>140</v>
      </c>
      <c r="Z351" s="13" t="str">
        <f>COUNTIF(K351:O351, "W")&amp;COUNTIF(K351:O351, "d")&amp;COUNTIF(K351:O351, "l")</f>
        <v>113</v>
      </c>
      <c r="AA351" s="23" t="str">
        <f>_xlfn.CONCAT(Y351,"-",Z351)</f>
        <v>140-113</v>
      </c>
      <c r="AB351" s="13" t="str">
        <f>_xlfn.CONCAT(AA351,"…",TEXT(U351,"+00;-00;+00;"))</f>
        <v>140-113…+34</v>
      </c>
      <c r="AC351" s="23" t="str">
        <f>_xlfn.CONCAT(TEXT(P351,"+00;-00;+00;"),"…",TEXT(Q351,"+00;-00;+00;"))</f>
        <v>+12…-22</v>
      </c>
      <c r="AD351" s="14" t="str">
        <f>IF(X351="","?","")</f>
        <v/>
      </c>
      <c r="AE351" s="15" t="str">
        <f>_xlfn.CONCAT(AA351,"…",TEXT(P351,"+00;-00;+00;"),"...",TEXT(Q351,"+00;-00;+00;"))</f>
        <v>140-113…+12...-22</v>
      </c>
      <c r="AF351" s="13" t="str">
        <f>_xlfn.CONCAT(R351,"…",TEXT(P351,"+00;-00;+00;"),"...",TEXT(Q351,"+00;-00;+00;"))</f>
        <v>DDDWD…+12...-22</v>
      </c>
    </row>
    <row r="352" spans="1:32" x14ac:dyDescent="0.25">
      <c r="A352" s="13" t="s">
        <v>755</v>
      </c>
      <c r="B352" s="13" t="s">
        <v>318</v>
      </c>
      <c r="C352" s="14">
        <v>1</v>
      </c>
      <c r="D352" s="13" t="s">
        <v>338</v>
      </c>
      <c r="E352" s="13" t="s">
        <v>760</v>
      </c>
      <c r="F352" s="13" t="s">
        <v>30</v>
      </c>
      <c r="G352" s="13" t="s">
        <v>30</v>
      </c>
      <c r="H352" s="13" t="s">
        <v>29</v>
      </c>
      <c r="I352" s="13" t="s">
        <v>31</v>
      </c>
      <c r="J352" s="13" t="s">
        <v>31</v>
      </c>
      <c r="K352" s="13" t="s">
        <v>29</v>
      </c>
      <c r="L352" s="13" t="s">
        <v>29</v>
      </c>
      <c r="M352" s="13" t="s">
        <v>29</v>
      </c>
      <c r="N352" s="13" t="s">
        <v>30</v>
      </c>
      <c r="O352" s="13" t="s">
        <v>31</v>
      </c>
      <c r="P352" s="16">
        <v>-3</v>
      </c>
      <c r="Q352" s="16">
        <v>-6</v>
      </c>
      <c r="R352" s="13" t="str">
        <f>_xlfn.CONCAT(F352,G352,H352,I352,J352)</f>
        <v>WWDLL</v>
      </c>
      <c r="S352" s="13" t="str">
        <f>_xlfn.CONCAT(K352,L352,M352,N352,O352)</f>
        <v>DDDWL</v>
      </c>
      <c r="T352" s="13" t="str">
        <f>_xlfn.CONCAT(R352,"***",S352)</f>
        <v>WWDLL***DDDWL</v>
      </c>
      <c r="U352" s="19">
        <f>(P352-Q352)</f>
        <v>3</v>
      </c>
      <c r="V352" s="14">
        <v>0</v>
      </c>
      <c r="W352" s="14">
        <v>2</v>
      </c>
      <c r="X352" s="20" t="str">
        <f>IF(ISBLANK(V352),"",IF(V352&gt;W352,"1",IF(V352&lt;W352,"2",IF(V352=W352,"X"))))</f>
        <v>2</v>
      </c>
      <c r="Y352" s="23" t="str">
        <f>COUNTIF(F352:J352, "W")&amp;COUNTIF(F352:J352, "d")&amp;COUNTIF(F352:J352, "l")</f>
        <v>212</v>
      </c>
      <c r="Z352" s="13" t="str">
        <f>COUNTIF(K352:O352, "W")&amp;COUNTIF(K352:O352, "d")&amp;COUNTIF(K352:O352, "l")</f>
        <v>131</v>
      </c>
      <c r="AA352" s="23" t="str">
        <f>_xlfn.CONCAT(Y352,"-",Z352)</f>
        <v>212-131</v>
      </c>
      <c r="AB352" s="13" t="str">
        <f>_xlfn.CONCAT(AA352,"…",TEXT(U352,"+00;-00;+00;"))</f>
        <v>212-131…+03</v>
      </c>
      <c r="AC352" s="23" t="str">
        <f>_xlfn.CONCAT(TEXT(P352,"+00;-00;+00;"),"…",TEXT(Q352,"+00;-00;+00;"))</f>
        <v>-03…-06</v>
      </c>
      <c r="AD352" s="14" t="str">
        <f>IF(X352="","?","")</f>
        <v/>
      </c>
      <c r="AE352" s="15" t="str">
        <f>_xlfn.CONCAT(AA352,"…",TEXT(P352,"+00;-00;+00;"),"...",TEXT(Q352,"+00;-00;+00;"))</f>
        <v>212-131…-03...-06</v>
      </c>
      <c r="AF352" s="13" t="str">
        <f>_xlfn.CONCAT(R352,"…",TEXT(P352,"+00;-00;+00;"),"...",TEXT(Q352,"+00;-00;+00;"))</f>
        <v>WWDLL…-03...-06</v>
      </c>
    </row>
    <row r="353" spans="1:32" x14ac:dyDescent="0.25">
      <c r="A353" s="13" t="s">
        <v>664</v>
      </c>
      <c r="B353" s="13" t="s">
        <v>59</v>
      </c>
      <c r="C353" s="14">
        <v>1</v>
      </c>
      <c r="D353" s="13" t="s">
        <v>732</v>
      </c>
      <c r="E353" s="13" t="s">
        <v>85</v>
      </c>
      <c r="F353" s="13" t="s">
        <v>31</v>
      </c>
      <c r="G353" s="13" t="s">
        <v>31</v>
      </c>
      <c r="H353" s="13" t="s">
        <v>31</v>
      </c>
      <c r="I353" s="13" t="s">
        <v>31</v>
      </c>
      <c r="J353" s="13" t="s">
        <v>31</v>
      </c>
      <c r="K353" s="13" t="s">
        <v>30</v>
      </c>
      <c r="L353" s="13" t="s">
        <v>29</v>
      </c>
      <c r="M353" s="13" t="s">
        <v>30</v>
      </c>
      <c r="N353" s="13" t="s">
        <v>30</v>
      </c>
      <c r="O353" s="13" t="s">
        <v>29</v>
      </c>
      <c r="P353" s="16">
        <v>-21</v>
      </c>
      <c r="Q353" s="16">
        <v>2</v>
      </c>
      <c r="R353" s="13" t="str">
        <f>_xlfn.CONCAT(F353,G353,H353,I353,J353)</f>
        <v>LLLLL</v>
      </c>
      <c r="S353" s="13" t="str">
        <f>_xlfn.CONCAT(K353,L353,M353,N353,O353)</f>
        <v>WDWWD</v>
      </c>
      <c r="T353" s="13" t="str">
        <f>_xlfn.CONCAT(R353,"***",S353)</f>
        <v>LLLLL***WDWWD</v>
      </c>
      <c r="U353" s="19">
        <f>(P353-Q353)</f>
        <v>-23</v>
      </c>
      <c r="V353" s="14">
        <v>0</v>
      </c>
      <c r="W353" s="14">
        <v>0</v>
      </c>
      <c r="X353" s="20" t="str">
        <f>IF(ISBLANK(V353),"",IF(V353&gt;W353,"1",IF(V353&lt;W353,"2",IF(V353=W353,"X"))))</f>
        <v>X</v>
      </c>
      <c r="Y353" s="23" t="str">
        <f>COUNTIF(F353:J353, "W")&amp;COUNTIF(F353:J353, "d")&amp;COUNTIF(F353:J353, "l")</f>
        <v>005</v>
      </c>
      <c r="Z353" s="13" t="str">
        <f>COUNTIF(K353:O353, "W")&amp;COUNTIF(K353:O353, "d")&amp;COUNTIF(K353:O353, "l")</f>
        <v>320</v>
      </c>
      <c r="AA353" s="23" t="str">
        <f>_xlfn.CONCAT(Y353,"-",Z353)</f>
        <v>005-320</v>
      </c>
      <c r="AB353" s="13" t="str">
        <f>_xlfn.CONCAT(AA353,"…",TEXT(U353,"+00;-00;+00;"))</f>
        <v>005-320…-23</v>
      </c>
      <c r="AC353" s="23" t="str">
        <f>_xlfn.CONCAT(TEXT(P353,"+00;-00;+00;"),"…",TEXT(Q353,"+00;-00;+00;"))</f>
        <v>-21…+02</v>
      </c>
      <c r="AD353" s="14" t="str">
        <f>IF(X353="","?","")</f>
        <v/>
      </c>
      <c r="AE353" s="15" t="str">
        <f>_xlfn.CONCAT(AA353,"…",TEXT(P353,"+00;-00;+00;"),"...",TEXT(Q353,"+00;-00;+00;"))</f>
        <v>005-320…-21...+02</v>
      </c>
      <c r="AF353" s="13" t="str">
        <f>_xlfn.CONCAT(R353,"…",TEXT(P353,"+00;-00;+00;"),"...",TEXT(Q353,"+00;-00;+00;"))</f>
        <v>LLLLL…-21...+02</v>
      </c>
    </row>
    <row r="354" spans="1:32" x14ac:dyDescent="0.25">
      <c r="A354" s="13" t="s">
        <v>664</v>
      </c>
      <c r="B354" s="13" t="s">
        <v>117</v>
      </c>
      <c r="C354" s="14" t="s">
        <v>33</v>
      </c>
      <c r="D354" s="13" t="s">
        <v>646</v>
      </c>
      <c r="E354" s="13" t="s">
        <v>677</v>
      </c>
      <c r="F354" s="13" t="s">
        <v>29</v>
      </c>
      <c r="G354" s="13" t="s">
        <v>29</v>
      </c>
      <c r="H354" s="13" t="s">
        <v>31</v>
      </c>
      <c r="I354" s="13" t="s">
        <v>31</v>
      </c>
      <c r="J354" s="13" t="s">
        <v>31</v>
      </c>
      <c r="K354" s="13" t="s">
        <v>30</v>
      </c>
      <c r="L354" s="13" t="s">
        <v>30</v>
      </c>
      <c r="M354" s="13" t="s">
        <v>30</v>
      </c>
      <c r="N354" s="13" t="s">
        <v>31</v>
      </c>
      <c r="O354" s="13" t="s">
        <v>30</v>
      </c>
      <c r="P354" s="16">
        <v>-3</v>
      </c>
      <c r="Q354" s="16">
        <v>-1</v>
      </c>
      <c r="R354" s="13" t="str">
        <f>_xlfn.CONCAT(F354,G354,H354,I354,J354)</f>
        <v>DDLLL</v>
      </c>
      <c r="S354" s="13" t="str">
        <f>_xlfn.CONCAT(K354,L354,M354,N354,O354)</f>
        <v>WWWLW</v>
      </c>
      <c r="T354" s="13" t="str">
        <f>_xlfn.CONCAT(R354,"***",S354)</f>
        <v>DDLLL***WWWLW</v>
      </c>
      <c r="U354" s="19">
        <f>(P354-Q354)</f>
        <v>-2</v>
      </c>
      <c r="V354" s="14">
        <v>3</v>
      </c>
      <c r="W354" s="14">
        <v>1</v>
      </c>
      <c r="X354" s="20" t="str">
        <f>IF(ISBLANK(V354),"",IF(V354&gt;W354,"1",IF(V354&lt;W354,"2",IF(V354=W354,"X"))))</f>
        <v>1</v>
      </c>
      <c r="Y354" s="23" t="str">
        <f>COUNTIF(F354:J354, "W")&amp;COUNTIF(F354:J354, "d")&amp;COUNTIF(F354:J354, "l")</f>
        <v>023</v>
      </c>
      <c r="Z354" s="13" t="str">
        <f>COUNTIF(K354:O354, "W")&amp;COUNTIF(K354:O354, "d")&amp;COUNTIF(K354:O354, "l")</f>
        <v>401</v>
      </c>
      <c r="AA354" s="23" t="str">
        <f>_xlfn.CONCAT(Y354,"-",Z354)</f>
        <v>023-401</v>
      </c>
      <c r="AB354" s="13" t="str">
        <f>_xlfn.CONCAT(AA354,"…",TEXT(U354,"+00;-00;+00;"))</f>
        <v>023-401…-02</v>
      </c>
      <c r="AC354" s="23" t="str">
        <f>_xlfn.CONCAT(TEXT(P354,"+00;-00;+00;"),"…",TEXT(Q354,"+00;-00;+00;"))</f>
        <v>-03…-01</v>
      </c>
      <c r="AD354" s="14" t="str">
        <f>IF(X354="","?","")</f>
        <v/>
      </c>
      <c r="AE354" s="15" t="str">
        <f>_xlfn.CONCAT(AA354,"…",TEXT(P354,"+00;-00;+00;"),"...",TEXT(Q354,"+00;-00;+00;"))</f>
        <v>023-401…-03...-01</v>
      </c>
      <c r="AF354" s="13" t="str">
        <f>_xlfn.CONCAT(R354,"…",TEXT(P354,"+00;-00;+00;"),"...",TEXT(Q354,"+00;-00;+00;"))</f>
        <v>DDLLL…-03...-01</v>
      </c>
    </row>
    <row r="355" spans="1:32" x14ac:dyDescent="0.25">
      <c r="A355" s="13" t="s">
        <v>664</v>
      </c>
      <c r="B355" s="13" t="s">
        <v>59</v>
      </c>
      <c r="C355" s="14">
        <v>2</v>
      </c>
      <c r="D355" s="13" t="s">
        <v>747</v>
      </c>
      <c r="E355" s="13" t="s">
        <v>104</v>
      </c>
      <c r="F355" s="13" t="s">
        <v>31</v>
      </c>
      <c r="G355" s="13" t="s">
        <v>29</v>
      </c>
      <c r="H355" s="13" t="s">
        <v>31</v>
      </c>
      <c r="I355" s="13" t="s">
        <v>30</v>
      </c>
      <c r="J355" s="13" t="s">
        <v>31</v>
      </c>
      <c r="K355" s="13" t="s">
        <v>30</v>
      </c>
      <c r="L355" s="13" t="s">
        <v>31</v>
      </c>
      <c r="M355" s="13" t="s">
        <v>30</v>
      </c>
      <c r="N355" s="13" t="s">
        <v>29</v>
      </c>
      <c r="O355" s="13" t="s">
        <v>30</v>
      </c>
      <c r="P355" s="16">
        <v>-13</v>
      </c>
      <c r="Q355" s="16">
        <v>-1</v>
      </c>
      <c r="R355" s="13" t="str">
        <f>_xlfn.CONCAT(F355,G355,H355,I355,J355)</f>
        <v>LDLWL</v>
      </c>
      <c r="S355" s="13" t="str">
        <f>_xlfn.CONCAT(K355,L355,M355,N355,O355)</f>
        <v>WLWDW</v>
      </c>
      <c r="T355" s="13" t="str">
        <f>_xlfn.CONCAT(R355,"***",S355)</f>
        <v>LDLWL***WLWDW</v>
      </c>
      <c r="U355" s="19">
        <f>(P355-Q355)</f>
        <v>-12</v>
      </c>
      <c r="V355" s="14">
        <v>0</v>
      </c>
      <c r="W355" s="14">
        <v>2</v>
      </c>
      <c r="X355" s="20" t="str">
        <f>IF(ISBLANK(V355),"",IF(V355&gt;W355,"1",IF(V355&lt;W355,"2",IF(V355=W355,"X"))))</f>
        <v>2</v>
      </c>
      <c r="Y355" s="23" t="str">
        <f>COUNTIF(F355:J355, "W")&amp;COUNTIF(F355:J355, "d")&amp;COUNTIF(F355:J355, "l")</f>
        <v>113</v>
      </c>
      <c r="Z355" s="13" t="str">
        <f>COUNTIF(K355:O355, "W")&amp;COUNTIF(K355:O355, "d")&amp;COUNTIF(K355:O355, "l")</f>
        <v>311</v>
      </c>
      <c r="AA355" s="23" t="str">
        <f>_xlfn.CONCAT(Y355,"-",Z355)</f>
        <v>113-311</v>
      </c>
      <c r="AB355" s="13" t="str">
        <f>_xlfn.CONCAT(AA355,"…",TEXT(U355,"+00;-00;+00;"))</f>
        <v>113-311…-12</v>
      </c>
      <c r="AC355" s="23" t="str">
        <f>_xlfn.CONCAT(TEXT(P355,"+00;-00;+00;"),"…",TEXT(Q355,"+00;-00;+00;"))</f>
        <v>-13…-01</v>
      </c>
      <c r="AD355" s="14" t="str">
        <f>IF(X355="","?","")</f>
        <v/>
      </c>
      <c r="AE355" s="15" t="str">
        <f>_xlfn.CONCAT(AA355,"…",TEXT(P355,"+00;-00;+00;"),"...",TEXT(Q355,"+00;-00;+00;"))</f>
        <v>113-311…-13...-01</v>
      </c>
      <c r="AF355" s="13" t="str">
        <f>_xlfn.CONCAT(R355,"…",TEXT(P355,"+00;-00;+00;"),"...",TEXT(Q355,"+00;-00;+00;"))</f>
        <v>LDLWL…-13...-01</v>
      </c>
    </row>
    <row r="356" spans="1:32" x14ac:dyDescent="0.25">
      <c r="A356" s="13" t="s">
        <v>664</v>
      </c>
      <c r="B356" s="13" t="s">
        <v>117</v>
      </c>
      <c r="C356" s="14" t="s">
        <v>33</v>
      </c>
      <c r="D356" s="13" t="s">
        <v>645</v>
      </c>
      <c r="E356" s="13" t="s">
        <v>153</v>
      </c>
      <c r="F356" s="13" t="s">
        <v>29</v>
      </c>
      <c r="G356" s="13" t="s">
        <v>31</v>
      </c>
      <c r="H356" s="13" t="s">
        <v>31</v>
      </c>
      <c r="I356" s="13" t="s">
        <v>31</v>
      </c>
      <c r="J356" s="13" t="s">
        <v>30</v>
      </c>
      <c r="K356" s="13" t="s">
        <v>29</v>
      </c>
      <c r="L356" s="13" t="s">
        <v>30</v>
      </c>
      <c r="M356" s="13" t="s">
        <v>30</v>
      </c>
      <c r="N356" s="13" t="s">
        <v>29</v>
      </c>
      <c r="O356" s="13" t="s">
        <v>30</v>
      </c>
      <c r="P356" s="16">
        <v>1</v>
      </c>
      <c r="Q356" s="16">
        <v>3</v>
      </c>
      <c r="R356" s="13" t="str">
        <f>_xlfn.CONCAT(F356,G356,H356,I356,J356)</f>
        <v>DLLLW</v>
      </c>
      <c r="S356" s="13" t="str">
        <f>_xlfn.CONCAT(K356,L356,M356,N356,O356)</f>
        <v>DWWDW</v>
      </c>
      <c r="T356" s="13" t="str">
        <f>_xlfn.CONCAT(R356,"***",S356)</f>
        <v>DLLLW***DWWDW</v>
      </c>
      <c r="U356" s="19">
        <f>(P356-Q356)</f>
        <v>-2</v>
      </c>
      <c r="V356" s="14">
        <v>0</v>
      </c>
      <c r="W356" s="14">
        <v>1</v>
      </c>
      <c r="X356" s="20" t="str">
        <f>IF(ISBLANK(V356),"",IF(V356&gt;W356,"1",IF(V356&lt;W356,"2",IF(V356=W356,"X"))))</f>
        <v>2</v>
      </c>
      <c r="Y356" s="23" t="str">
        <f>COUNTIF(F356:J356, "W")&amp;COUNTIF(F356:J356, "d")&amp;COUNTIF(F356:J356, "l")</f>
        <v>113</v>
      </c>
      <c r="Z356" s="13" t="str">
        <f>COUNTIF(K356:O356, "W")&amp;COUNTIF(K356:O356, "d")&amp;COUNTIF(K356:O356, "l")</f>
        <v>320</v>
      </c>
      <c r="AA356" s="23" t="str">
        <f>_xlfn.CONCAT(Y356,"-",Z356)</f>
        <v>113-320</v>
      </c>
      <c r="AB356" s="13" t="str">
        <f>_xlfn.CONCAT(AA356,"…",TEXT(U356,"+00;-00;+00;"))</f>
        <v>113-320…-02</v>
      </c>
      <c r="AC356" s="23" t="str">
        <f>_xlfn.CONCAT(TEXT(P356,"+00;-00;+00;"),"…",TEXT(Q356,"+00;-00;+00;"))</f>
        <v>+01…+03</v>
      </c>
      <c r="AD356" s="14" t="str">
        <f>IF(X356="","?","")</f>
        <v/>
      </c>
      <c r="AE356" s="15" t="str">
        <f>_xlfn.CONCAT(AA356,"…",TEXT(P356,"+00;-00;+00;"),"...",TEXT(Q356,"+00;-00;+00;"))</f>
        <v>113-320…+01...+03</v>
      </c>
      <c r="AF356" s="13" t="str">
        <f>_xlfn.CONCAT(R356,"…",TEXT(P356,"+00;-00;+00;"),"...",TEXT(Q356,"+00;-00;+00;"))</f>
        <v>DLLLW…+01...+03</v>
      </c>
    </row>
    <row r="357" spans="1:32" x14ac:dyDescent="0.25">
      <c r="A357" s="13" t="s">
        <v>664</v>
      </c>
      <c r="B357" s="13" t="s">
        <v>117</v>
      </c>
      <c r="C357" s="14" t="s">
        <v>33</v>
      </c>
      <c r="D357" s="13" t="s">
        <v>156</v>
      </c>
      <c r="E357" s="13" t="s">
        <v>149</v>
      </c>
      <c r="F357" s="13" t="s">
        <v>29</v>
      </c>
      <c r="G357" s="13" t="s">
        <v>31</v>
      </c>
      <c r="H357" s="13" t="s">
        <v>30</v>
      </c>
      <c r="I357" s="13" t="s">
        <v>29</v>
      </c>
      <c r="J357" s="13" t="s">
        <v>29</v>
      </c>
      <c r="K357" s="13" t="s">
        <v>31</v>
      </c>
      <c r="L357" s="13" t="s">
        <v>29</v>
      </c>
      <c r="M357" s="13" t="s">
        <v>30</v>
      </c>
      <c r="N357" s="13" t="s">
        <v>30</v>
      </c>
      <c r="O357" s="13" t="s">
        <v>29</v>
      </c>
      <c r="P357" s="16">
        <v>-8</v>
      </c>
      <c r="Q357" s="16">
        <v>-1</v>
      </c>
      <c r="R357" s="13" t="str">
        <f>_xlfn.CONCAT(F357,G357,H357,I357,J357)</f>
        <v>DLWDD</v>
      </c>
      <c r="S357" s="13" t="str">
        <f>_xlfn.CONCAT(K357,L357,M357,N357,O357)</f>
        <v>LDWWD</v>
      </c>
      <c r="T357" s="13" t="str">
        <f>_xlfn.CONCAT(R357,"***",S357)</f>
        <v>DLWDD***LDWWD</v>
      </c>
      <c r="U357" s="19">
        <f>(P357-Q357)</f>
        <v>-7</v>
      </c>
      <c r="V357" s="14">
        <v>1</v>
      </c>
      <c r="W357" s="14">
        <v>0</v>
      </c>
      <c r="X357" s="20" t="str">
        <f>IF(ISBLANK(V357),"",IF(V357&gt;W357,"1",IF(V357&lt;W357,"2",IF(V357=W357,"X"))))</f>
        <v>1</v>
      </c>
      <c r="Y357" s="23" t="str">
        <f>COUNTIF(F357:J357, "W")&amp;COUNTIF(F357:J357, "d")&amp;COUNTIF(F357:J357, "l")</f>
        <v>131</v>
      </c>
      <c r="Z357" s="13" t="str">
        <f>COUNTIF(K357:O357, "W")&amp;COUNTIF(K357:O357, "d")&amp;COUNTIF(K357:O357, "l")</f>
        <v>221</v>
      </c>
      <c r="AA357" s="23" t="str">
        <f>_xlfn.CONCAT(Y357,"-",Z357)</f>
        <v>131-221</v>
      </c>
      <c r="AB357" s="13" t="str">
        <f>_xlfn.CONCAT(AA357,"…",TEXT(U357,"+00;-00;+00;"))</f>
        <v>131-221…-07</v>
      </c>
      <c r="AC357" s="23" t="str">
        <f>_xlfn.CONCAT(TEXT(P357,"+00;-00;+00;"),"…",TEXT(Q357,"+00;-00;+00;"))</f>
        <v>-08…-01</v>
      </c>
      <c r="AD357" s="14" t="str">
        <f>IF(X357="","?","")</f>
        <v/>
      </c>
      <c r="AE357" s="15" t="str">
        <f>_xlfn.CONCAT(AA357,"…",TEXT(P357,"+00;-00;+00;"),"...",TEXT(Q357,"+00;-00;+00;"))</f>
        <v>131-221…-08...-01</v>
      </c>
      <c r="AF357" s="13" t="str">
        <f>_xlfn.CONCAT(R357,"…",TEXT(P357,"+00;-00;+00;"),"...",TEXT(Q357,"+00;-00;+00;"))</f>
        <v>DLWDD…-08...-01</v>
      </c>
    </row>
    <row r="358" spans="1:32" x14ac:dyDescent="0.25">
      <c r="A358" s="13" t="s">
        <v>255</v>
      </c>
      <c r="B358" s="13" t="s">
        <v>401</v>
      </c>
      <c r="C358" s="14">
        <v>1</v>
      </c>
      <c r="D358" s="13" t="s">
        <v>793</v>
      </c>
      <c r="E358" s="13" t="s">
        <v>794</v>
      </c>
      <c r="F358" s="13" t="s">
        <v>29</v>
      </c>
      <c r="G358" s="13" t="s">
        <v>29</v>
      </c>
      <c r="H358" s="13" t="s">
        <v>30</v>
      </c>
      <c r="I358" s="13" t="s">
        <v>30</v>
      </c>
      <c r="J358" s="13" t="s">
        <v>31</v>
      </c>
      <c r="K358" s="13" t="s">
        <v>31</v>
      </c>
      <c r="L358" s="13" t="s">
        <v>29</v>
      </c>
      <c r="M358" s="13" t="s">
        <v>29</v>
      </c>
      <c r="N358" s="13" t="s">
        <v>31</v>
      </c>
      <c r="O358" s="13" t="s">
        <v>31</v>
      </c>
      <c r="P358" s="16">
        <v>-10</v>
      </c>
      <c r="Q358" s="16">
        <v>-8</v>
      </c>
      <c r="R358" s="13" t="str">
        <f>_xlfn.CONCAT(F358,G358,H358,I358,J358)</f>
        <v>DDWWL</v>
      </c>
      <c r="S358" s="13" t="str">
        <f>_xlfn.CONCAT(K358,L358,M358,N358,O358)</f>
        <v>LDDLL</v>
      </c>
      <c r="T358" s="13" t="str">
        <f>_xlfn.CONCAT(R358,"***",S358)</f>
        <v>DDWWL***LDDLL</v>
      </c>
      <c r="U358" s="19">
        <f>(P358-Q358)</f>
        <v>-2</v>
      </c>
      <c r="V358" s="14">
        <v>1</v>
      </c>
      <c r="W358" s="14">
        <v>1</v>
      </c>
      <c r="X358" s="20" t="str">
        <f>IF(ISBLANK(V358),"",IF(V358&gt;W358,"1",IF(V358&lt;W358,"2",IF(V358=W358,"X"))))</f>
        <v>X</v>
      </c>
      <c r="Y358" s="23" t="str">
        <f>COUNTIF(F358:J358, "W")&amp;COUNTIF(F358:J358, "d")&amp;COUNTIF(F358:J358, "l")</f>
        <v>221</v>
      </c>
      <c r="Z358" s="13" t="str">
        <f>COUNTIF(K358:O358, "W")&amp;COUNTIF(K358:O358, "d")&amp;COUNTIF(K358:O358, "l")</f>
        <v>023</v>
      </c>
      <c r="AA358" s="23" t="str">
        <f>_xlfn.CONCAT(Y358,"-",Z358)</f>
        <v>221-023</v>
      </c>
      <c r="AB358" s="13" t="str">
        <f>_xlfn.CONCAT(AA358,"…",TEXT(U358,"+00;-00;+00;"))</f>
        <v>221-023…-02</v>
      </c>
      <c r="AC358" s="23" t="str">
        <f>_xlfn.CONCAT(TEXT(P358,"+00;-00;+00;"),"…",TEXT(Q358,"+00;-00;+00;"))</f>
        <v>-10…-08</v>
      </c>
      <c r="AD358" s="14" t="str">
        <f>IF(X358="","?","")</f>
        <v/>
      </c>
      <c r="AE358" s="15" t="str">
        <f>_xlfn.CONCAT(AA358,"…",TEXT(P358,"+00;-00;+00;"),"...",TEXT(Q358,"+00;-00;+00;"))</f>
        <v>221-023…-10...-08</v>
      </c>
      <c r="AF358" s="13" t="str">
        <f>_xlfn.CONCAT(R358,"…",TEXT(P358,"+00;-00;+00;"),"...",TEXT(Q358,"+00;-00;+00;"))</f>
        <v>DDWWL…-10...-08</v>
      </c>
    </row>
    <row r="359" spans="1:32" x14ac:dyDescent="0.25">
      <c r="A359" s="13" t="s">
        <v>255</v>
      </c>
      <c r="B359" s="13" t="s">
        <v>250</v>
      </c>
      <c r="C359" s="14">
        <v>2</v>
      </c>
      <c r="D359" s="13" t="s">
        <v>864</v>
      </c>
      <c r="E359" s="13" t="s">
        <v>865</v>
      </c>
      <c r="F359" s="13" t="s">
        <v>30</v>
      </c>
      <c r="G359" s="13" t="s">
        <v>30</v>
      </c>
      <c r="H359" s="13" t="s">
        <v>29</v>
      </c>
      <c r="I359" s="13" t="s">
        <v>29</v>
      </c>
      <c r="J359" s="13" t="s">
        <v>30</v>
      </c>
      <c r="K359" s="13" t="s">
        <v>31</v>
      </c>
      <c r="L359" s="13" t="s">
        <v>30</v>
      </c>
      <c r="M359" s="13" t="s">
        <v>31</v>
      </c>
      <c r="N359" s="13" t="s">
        <v>29</v>
      </c>
      <c r="O359" s="13" t="s">
        <v>30</v>
      </c>
      <c r="P359" s="16">
        <v>11</v>
      </c>
      <c r="Q359" s="16">
        <v>4</v>
      </c>
      <c r="R359" s="13" t="str">
        <f>_xlfn.CONCAT(F359,G359,H359,I359,J359)</f>
        <v>WWDDW</v>
      </c>
      <c r="S359" s="13" t="str">
        <f>_xlfn.CONCAT(K359,L359,M359,N359,O359)</f>
        <v>LWLDW</v>
      </c>
      <c r="T359" s="13" t="str">
        <f>_xlfn.CONCAT(R359,"***",S359)</f>
        <v>WWDDW***LWLDW</v>
      </c>
      <c r="U359" s="19">
        <f>(P359-Q359)</f>
        <v>7</v>
      </c>
      <c r="V359" s="14">
        <v>2</v>
      </c>
      <c r="W359" s="14">
        <v>1</v>
      </c>
      <c r="X359" s="20" t="str">
        <f>IF(ISBLANK(V359),"",IF(V359&gt;W359,"1",IF(V359&lt;W359,"2",IF(V359=W359,"X"))))</f>
        <v>1</v>
      </c>
      <c r="Y359" s="23" t="str">
        <f>COUNTIF(F359:J359, "W")&amp;COUNTIF(F359:J359, "d")&amp;COUNTIF(F359:J359, "l")</f>
        <v>320</v>
      </c>
      <c r="Z359" s="13" t="str">
        <f>COUNTIF(K359:O359, "W")&amp;COUNTIF(K359:O359, "d")&amp;COUNTIF(K359:O359, "l")</f>
        <v>212</v>
      </c>
      <c r="AA359" s="23" t="str">
        <f>_xlfn.CONCAT(Y359,"-",Z359)</f>
        <v>320-212</v>
      </c>
      <c r="AB359" s="13" t="str">
        <f>_xlfn.CONCAT(AA359,"…",TEXT(U359,"+00;-00;+00;"))</f>
        <v>320-212…+07</v>
      </c>
      <c r="AC359" s="23" t="str">
        <f>_xlfn.CONCAT(TEXT(P359,"+00;-00;+00;"),"…",TEXT(Q359,"+00;-00;+00;"))</f>
        <v>+11…+04</v>
      </c>
      <c r="AD359" s="14" t="str">
        <f>IF(X359="","?","")</f>
        <v/>
      </c>
      <c r="AE359" s="15" t="str">
        <f>_xlfn.CONCAT(AA359,"…",TEXT(P359,"+00;-00;+00;"),"...",TEXT(Q359,"+00;-00;+00;"))</f>
        <v>320-212…+11...+04</v>
      </c>
      <c r="AF359" s="13" t="str">
        <f>_xlfn.CONCAT(R359,"…",TEXT(P359,"+00;-00;+00;"),"...",TEXT(Q359,"+00;-00;+00;"))</f>
        <v>WWDDW…+11...+04</v>
      </c>
    </row>
    <row r="360" spans="1:32" x14ac:dyDescent="0.25">
      <c r="A360" s="13" t="s">
        <v>255</v>
      </c>
      <c r="B360" s="13" t="s">
        <v>250</v>
      </c>
      <c r="C360" s="14">
        <v>1</v>
      </c>
      <c r="D360" s="13" t="s">
        <v>269</v>
      </c>
      <c r="E360" s="13" t="s">
        <v>653</v>
      </c>
      <c r="F360" s="13" t="s">
        <v>30</v>
      </c>
      <c r="G360" s="13" t="s">
        <v>30</v>
      </c>
      <c r="H360" s="13" t="s">
        <v>29</v>
      </c>
      <c r="I360" s="13" t="s">
        <v>30</v>
      </c>
      <c r="J360" s="13" t="s">
        <v>30</v>
      </c>
      <c r="K360" s="13" t="s">
        <v>30</v>
      </c>
      <c r="L360" s="13" t="s">
        <v>30</v>
      </c>
      <c r="M360" s="13" t="s">
        <v>31</v>
      </c>
      <c r="N360" s="13" t="s">
        <v>31</v>
      </c>
      <c r="O360" s="13" t="s">
        <v>31</v>
      </c>
      <c r="P360" s="16">
        <v>12</v>
      </c>
      <c r="Q360" s="16">
        <v>-1</v>
      </c>
      <c r="R360" s="13" t="str">
        <f>_xlfn.CONCAT(F360,G360,H360,I360,J360)</f>
        <v>WWDWW</v>
      </c>
      <c r="S360" s="13" t="str">
        <f>_xlfn.CONCAT(K360,L360,M360,N360,O360)</f>
        <v>WWLLL</v>
      </c>
      <c r="T360" s="13" t="str">
        <f>_xlfn.CONCAT(R360,"***",S360)</f>
        <v>WWDWW***WWLLL</v>
      </c>
      <c r="U360" s="19">
        <f>(P360-Q360)</f>
        <v>13</v>
      </c>
      <c r="V360" s="14">
        <v>3</v>
      </c>
      <c r="W360" s="14">
        <v>1</v>
      </c>
      <c r="X360" s="20" t="str">
        <f>IF(ISBLANK(V360),"",IF(V360&gt;W360,"1",IF(V360&lt;W360,"2",IF(V360=W360,"X"))))</f>
        <v>1</v>
      </c>
      <c r="Y360" s="23" t="str">
        <f>COUNTIF(F360:J360, "W")&amp;COUNTIF(F360:J360, "d")&amp;COUNTIF(F360:J360, "l")</f>
        <v>410</v>
      </c>
      <c r="Z360" s="13" t="str">
        <f>COUNTIF(K360:O360, "W")&amp;COUNTIF(K360:O360, "d")&amp;COUNTIF(K360:O360, "l")</f>
        <v>203</v>
      </c>
      <c r="AA360" s="23" t="str">
        <f>_xlfn.CONCAT(Y360,"-",Z360)</f>
        <v>410-203</v>
      </c>
      <c r="AB360" s="13" t="str">
        <f>_xlfn.CONCAT(AA360,"…",TEXT(U360,"+00;-00;+00;"))</f>
        <v>410-203…+13</v>
      </c>
      <c r="AC360" s="23" t="str">
        <f>_xlfn.CONCAT(TEXT(P360,"+00;-00;+00;"),"…",TEXT(Q360,"+00;-00;+00;"))</f>
        <v>+12…-01</v>
      </c>
      <c r="AD360" s="14" t="str">
        <f>IF(X360="","?","")</f>
        <v/>
      </c>
      <c r="AE360" s="15" t="str">
        <f>_xlfn.CONCAT(AA360,"…",TEXT(P360,"+00;-00;+00;"),"...",TEXT(Q360,"+00;-00;+00;"))</f>
        <v>410-203…+12...-01</v>
      </c>
      <c r="AF360" s="13" t="str">
        <f>_xlfn.CONCAT(R360,"…",TEXT(P360,"+00;-00;+00;"),"...",TEXT(Q360,"+00;-00;+00;"))</f>
        <v>WWDWW…+12...-01</v>
      </c>
    </row>
    <row r="361" spans="1:32" x14ac:dyDescent="0.25">
      <c r="A361" s="13" t="s">
        <v>682</v>
      </c>
      <c r="B361" s="13" t="s">
        <v>295</v>
      </c>
      <c r="C361" s="14">
        <v>1</v>
      </c>
      <c r="D361" s="13" t="s">
        <v>317</v>
      </c>
      <c r="E361" s="13" t="s">
        <v>692</v>
      </c>
      <c r="F361" s="13" t="s">
        <v>30</v>
      </c>
      <c r="G361" s="13" t="s">
        <v>29</v>
      </c>
      <c r="H361" s="13" t="s">
        <v>29</v>
      </c>
      <c r="I361" s="13" t="s">
        <v>29</v>
      </c>
      <c r="J361" s="13" t="s">
        <v>30</v>
      </c>
      <c r="K361" s="13" t="s">
        <v>30</v>
      </c>
      <c r="L361" s="13" t="s">
        <v>31</v>
      </c>
      <c r="M361" s="13" t="s">
        <v>29</v>
      </c>
      <c r="N361" s="13" t="s">
        <v>30</v>
      </c>
      <c r="O361" s="13" t="s">
        <v>30</v>
      </c>
      <c r="P361" s="16">
        <v>-11</v>
      </c>
      <c r="Q361" s="16">
        <v>23</v>
      </c>
      <c r="R361" s="13" t="str">
        <f>_xlfn.CONCAT(F361,G361,H361,I361,J361)</f>
        <v>WDDDW</v>
      </c>
      <c r="S361" s="13" t="str">
        <f>_xlfn.CONCAT(K361,L361,M361,N361,O361)</f>
        <v>WLDWW</v>
      </c>
      <c r="T361" s="13" t="str">
        <f>_xlfn.CONCAT(R361,"***",S361)</f>
        <v>WDDDW***WLDWW</v>
      </c>
      <c r="U361" s="19">
        <f>(P361-Q361)</f>
        <v>-34</v>
      </c>
      <c r="V361" s="14">
        <v>1</v>
      </c>
      <c r="W361" s="14">
        <v>1</v>
      </c>
      <c r="X361" s="20" t="str">
        <f>IF(ISBLANK(V361),"",IF(V361&gt;W361,"1",IF(V361&lt;W361,"2",IF(V361=W361,"X"))))</f>
        <v>X</v>
      </c>
      <c r="Y361" s="23" t="str">
        <f>COUNTIF(F361:J361, "W")&amp;COUNTIF(F361:J361, "d")&amp;COUNTIF(F361:J361, "l")</f>
        <v>230</v>
      </c>
      <c r="Z361" s="13" t="str">
        <f>COUNTIF(K361:O361, "W")&amp;COUNTIF(K361:O361, "d")&amp;COUNTIF(K361:O361, "l")</f>
        <v>311</v>
      </c>
      <c r="AA361" s="23" t="str">
        <f>_xlfn.CONCAT(Y361,"-",Z361)</f>
        <v>230-311</v>
      </c>
      <c r="AB361" s="13" t="str">
        <f>_xlfn.CONCAT(AA361,"…",TEXT(U361,"+00;-00;+00;"))</f>
        <v>230-311…-34</v>
      </c>
      <c r="AC361" s="23" t="str">
        <f>_xlfn.CONCAT(TEXT(P361,"+00;-00;+00;"),"…",TEXT(Q361,"+00;-00;+00;"))</f>
        <v>-11…+23</v>
      </c>
      <c r="AD361" s="14" t="str">
        <f>IF(X361="","?","")</f>
        <v/>
      </c>
      <c r="AE361" s="15" t="str">
        <f>_xlfn.CONCAT(AA361,"…",TEXT(P361,"+00;-00;+00;"),"...",TEXT(Q361,"+00;-00;+00;"))</f>
        <v>230-311…-11...+23</v>
      </c>
      <c r="AF361" s="13" t="str">
        <f>_xlfn.CONCAT(R361,"…",TEXT(P361,"+00;-00;+00;"),"...",TEXT(Q361,"+00;-00;+00;"))</f>
        <v>WDDDW…-11...+23</v>
      </c>
    </row>
    <row r="362" spans="1:32" x14ac:dyDescent="0.25">
      <c r="A362" s="13" t="s">
        <v>599</v>
      </c>
      <c r="B362" s="13" t="s">
        <v>379</v>
      </c>
      <c r="C362" s="14">
        <v>1</v>
      </c>
      <c r="D362" s="13" t="s">
        <v>388</v>
      </c>
      <c r="E362" s="13" t="s">
        <v>803</v>
      </c>
      <c r="F362" s="13" t="s">
        <v>29</v>
      </c>
      <c r="G362" s="13" t="s">
        <v>31</v>
      </c>
      <c r="H362" s="13" t="s">
        <v>31</v>
      </c>
      <c r="I362" s="13" t="s">
        <v>30</v>
      </c>
      <c r="J362" s="13" t="s">
        <v>31</v>
      </c>
      <c r="K362" s="13" t="s">
        <v>31</v>
      </c>
      <c r="L362" s="13" t="s">
        <v>31</v>
      </c>
      <c r="M362" s="13" t="s">
        <v>31</v>
      </c>
      <c r="N362" s="13" t="s">
        <v>31</v>
      </c>
      <c r="O362" s="13" t="s">
        <v>30</v>
      </c>
      <c r="P362" s="16">
        <v>-5</v>
      </c>
      <c r="Q362" s="16">
        <v>-47</v>
      </c>
      <c r="R362" s="13" t="str">
        <f>_xlfn.CONCAT(F362,G362,H362,I362,J362)</f>
        <v>DLLWL</v>
      </c>
      <c r="S362" s="13" t="str">
        <f>_xlfn.CONCAT(K362,L362,M362,N362,O362)</f>
        <v>LLLLW</v>
      </c>
      <c r="T362" s="13" t="str">
        <f>_xlfn.CONCAT(R362,"***",S362)</f>
        <v>DLLWL***LLLLW</v>
      </c>
      <c r="U362" s="19">
        <f>(P362-Q362)</f>
        <v>42</v>
      </c>
      <c r="V362" s="14">
        <v>4</v>
      </c>
      <c r="W362" s="14">
        <v>1</v>
      </c>
      <c r="X362" s="20" t="str">
        <f>IF(ISBLANK(V362),"",IF(V362&gt;W362,"1",IF(V362&lt;W362,"2",IF(V362=W362,"X"))))</f>
        <v>1</v>
      </c>
      <c r="Y362" s="23" t="str">
        <f>COUNTIF(F362:J362, "W")&amp;COUNTIF(F362:J362, "d")&amp;COUNTIF(F362:J362, "l")</f>
        <v>113</v>
      </c>
      <c r="Z362" s="13" t="str">
        <f>COUNTIF(K362:O362, "W")&amp;COUNTIF(K362:O362, "d")&amp;COUNTIF(K362:O362, "l")</f>
        <v>104</v>
      </c>
      <c r="AA362" s="23" t="str">
        <f>_xlfn.CONCAT(Y362,"-",Z362)</f>
        <v>113-104</v>
      </c>
      <c r="AB362" s="13" t="str">
        <f>_xlfn.CONCAT(AA362,"…",TEXT(U362,"+00;-00;+00;"))</f>
        <v>113-104…+42</v>
      </c>
      <c r="AC362" s="23" t="str">
        <f>_xlfn.CONCAT(TEXT(P362,"+00;-00;+00;"),"…",TEXT(Q362,"+00;-00;+00;"))</f>
        <v>-05…-47</v>
      </c>
      <c r="AD362" s="14" t="str">
        <f>IF(X362="","?","")</f>
        <v/>
      </c>
      <c r="AE362" s="15" t="str">
        <f>_xlfn.CONCAT(AA362,"…",TEXT(P362,"+00;-00;+00;"),"...",TEXT(Q362,"+00;-00;+00;"))</f>
        <v>113-104…-05...-47</v>
      </c>
      <c r="AF362" s="13" t="str">
        <f>_xlfn.CONCAT(R362,"…",TEXT(P362,"+00;-00;+00;"),"...",TEXT(Q362,"+00;-00;+00;"))</f>
        <v>DLLWL…-05...-47</v>
      </c>
    </row>
    <row r="363" spans="1:32" x14ac:dyDescent="0.25">
      <c r="A363" s="13" t="s">
        <v>599</v>
      </c>
      <c r="B363" s="13" t="s">
        <v>379</v>
      </c>
      <c r="C363" s="14">
        <v>1</v>
      </c>
      <c r="D363" s="13" t="s">
        <v>807</v>
      </c>
      <c r="E363" s="13" t="s">
        <v>395</v>
      </c>
      <c r="F363" s="13" t="s">
        <v>30</v>
      </c>
      <c r="G363" s="13" t="s">
        <v>29</v>
      </c>
      <c r="H363" s="13" t="s">
        <v>31</v>
      </c>
      <c r="I363" s="13" t="s">
        <v>31</v>
      </c>
      <c r="J363" s="13" t="s">
        <v>31</v>
      </c>
      <c r="K363" s="13" t="s">
        <v>30</v>
      </c>
      <c r="L363" s="13" t="s">
        <v>30</v>
      </c>
      <c r="M363" s="13" t="s">
        <v>31</v>
      </c>
      <c r="N363" s="13" t="s">
        <v>30</v>
      </c>
      <c r="O363" s="13" t="s">
        <v>30</v>
      </c>
      <c r="P363" s="16">
        <v>-11</v>
      </c>
      <c r="Q363" s="16">
        <v>15</v>
      </c>
      <c r="R363" s="13" t="str">
        <f>_xlfn.CONCAT(F363,G363,H363,I363,J363)</f>
        <v>WDLLL</v>
      </c>
      <c r="S363" s="13" t="str">
        <f>_xlfn.CONCAT(K363,L363,M363,N363,O363)</f>
        <v>WWLWW</v>
      </c>
      <c r="T363" s="13" t="str">
        <f>_xlfn.CONCAT(R363,"***",S363)</f>
        <v>WDLLL***WWLWW</v>
      </c>
      <c r="U363" s="19">
        <f>(P363-Q363)</f>
        <v>-26</v>
      </c>
      <c r="V363" s="14">
        <v>1</v>
      </c>
      <c r="W363" s="14">
        <v>1</v>
      </c>
      <c r="X363" s="20" t="str">
        <f>IF(ISBLANK(V363),"",IF(V363&gt;W363,"1",IF(V363&lt;W363,"2",IF(V363=W363,"X"))))</f>
        <v>X</v>
      </c>
      <c r="Y363" s="23" t="str">
        <f>COUNTIF(F363:J363, "W")&amp;COUNTIF(F363:J363, "d")&amp;COUNTIF(F363:J363, "l")</f>
        <v>113</v>
      </c>
      <c r="Z363" s="13" t="str">
        <f>COUNTIF(K363:O363, "W")&amp;COUNTIF(K363:O363, "d")&amp;COUNTIF(K363:O363, "l")</f>
        <v>401</v>
      </c>
      <c r="AA363" s="23" t="str">
        <f>_xlfn.CONCAT(Y363,"-",Z363)</f>
        <v>113-401</v>
      </c>
      <c r="AB363" s="13" t="str">
        <f>_xlfn.CONCAT(AA363,"…",TEXT(U363,"+00;-00;+00;"))</f>
        <v>113-401…-26</v>
      </c>
      <c r="AC363" s="23" t="str">
        <f>_xlfn.CONCAT(TEXT(P363,"+00;-00;+00;"),"…",TEXT(Q363,"+00;-00;+00;"))</f>
        <v>-11…+15</v>
      </c>
      <c r="AD363" s="14" t="str">
        <f>IF(X363="","?","")</f>
        <v/>
      </c>
      <c r="AE363" s="15" t="str">
        <f>_xlfn.CONCAT(AA363,"…",TEXT(P363,"+00;-00;+00;"),"...",TEXT(Q363,"+00;-00;+00;"))</f>
        <v>113-401…-11...+15</v>
      </c>
      <c r="AF363" s="13" t="str">
        <f>_xlfn.CONCAT(R363,"…",TEXT(P363,"+00;-00;+00;"),"...",TEXT(Q363,"+00;-00;+00;"))</f>
        <v>WDLLL…-11...+15</v>
      </c>
    </row>
    <row r="364" spans="1:32" x14ac:dyDescent="0.25">
      <c r="A364" s="13" t="s">
        <v>599</v>
      </c>
      <c r="B364" s="13" t="s">
        <v>379</v>
      </c>
      <c r="C364" s="14">
        <v>1</v>
      </c>
      <c r="D364" s="13" t="s">
        <v>800</v>
      </c>
      <c r="E364" s="13" t="s">
        <v>801</v>
      </c>
      <c r="F364" s="13" t="s">
        <v>31</v>
      </c>
      <c r="G364" s="13" t="s">
        <v>31</v>
      </c>
      <c r="H364" s="13" t="s">
        <v>31</v>
      </c>
      <c r="I364" s="13" t="s">
        <v>30</v>
      </c>
      <c r="J364" s="13" t="s">
        <v>30</v>
      </c>
      <c r="K364" s="13" t="s">
        <v>30</v>
      </c>
      <c r="L364" s="13" t="s">
        <v>29</v>
      </c>
      <c r="M364" s="13" t="s">
        <v>31</v>
      </c>
      <c r="N364" s="13" t="s">
        <v>29</v>
      </c>
      <c r="O364" s="13" t="s">
        <v>29</v>
      </c>
      <c r="P364" s="16">
        <v>-9</v>
      </c>
      <c r="Q364" s="16">
        <v>-15</v>
      </c>
      <c r="R364" s="13" t="str">
        <f>_xlfn.CONCAT(F364,G364,H364,I364,J364)</f>
        <v>LLLWW</v>
      </c>
      <c r="S364" s="13" t="str">
        <f>_xlfn.CONCAT(K364,L364,M364,N364,O364)</f>
        <v>WDLDD</v>
      </c>
      <c r="T364" s="13" t="str">
        <f>_xlfn.CONCAT(R364,"***",S364)</f>
        <v>LLLWW***WDLDD</v>
      </c>
      <c r="U364" s="19">
        <f>(P364-Q364)</f>
        <v>6</v>
      </c>
      <c r="V364" s="14">
        <v>3</v>
      </c>
      <c r="W364" s="14">
        <v>0</v>
      </c>
      <c r="X364" s="20" t="str">
        <f>IF(ISBLANK(V364),"",IF(V364&gt;W364,"1",IF(V364&lt;W364,"2",IF(V364=W364,"X"))))</f>
        <v>1</v>
      </c>
      <c r="Y364" s="23" t="str">
        <f>COUNTIF(F364:J364, "W")&amp;COUNTIF(F364:J364, "d")&amp;COUNTIF(F364:J364, "l")</f>
        <v>203</v>
      </c>
      <c r="Z364" s="13" t="str">
        <f>COUNTIF(K364:O364, "W")&amp;COUNTIF(K364:O364, "d")&amp;COUNTIF(K364:O364, "l")</f>
        <v>131</v>
      </c>
      <c r="AA364" s="23" t="str">
        <f>_xlfn.CONCAT(Y364,"-",Z364)</f>
        <v>203-131</v>
      </c>
      <c r="AB364" s="13" t="str">
        <f>_xlfn.CONCAT(AA364,"…",TEXT(U364,"+00;-00;+00;"))</f>
        <v>203-131…+06</v>
      </c>
      <c r="AC364" s="23" t="str">
        <f>_xlfn.CONCAT(TEXT(P364,"+00;-00;+00;"),"…",TEXT(Q364,"+00;-00;+00;"))</f>
        <v>-09…-15</v>
      </c>
      <c r="AD364" s="14" t="str">
        <f>IF(X364="","?","")</f>
        <v/>
      </c>
      <c r="AE364" s="15" t="str">
        <f>_xlfn.CONCAT(AA364,"…",TEXT(P364,"+00;-00;+00;"),"...",TEXT(Q364,"+00;-00;+00;"))</f>
        <v>203-131…-09...-15</v>
      </c>
      <c r="AF364" s="13" t="str">
        <f>_xlfn.CONCAT(R364,"…",TEXT(P364,"+00;-00;+00;"),"...",TEXT(Q364,"+00;-00;+00;"))</f>
        <v>LLLWW…-09...-15</v>
      </c>
    </row>
    <row r="365" spans="1:32" x14ac:dyDescent="0.25">
      <c r="A365" s="13" t="s">
        <v>599</v>
      </c>
      <c r="B365" s="13" t="s">
        <v>379</v>
      </c>
      <c r="C365" s="14">
        <v>1</v>
      </c>
      <c r="D365" s="13" t="s">
        <v>392</v>
      </c>
      <c r="E365" s="13" t="s">
        <v>802</v>
      </c>
      <c r="F365" s="13" t="s">
        <v>30</v>
      </c>
      <c r="G365" s="13" t="s">
        <v>30</v>
      </c>
      <c r="H365" s="13" t="s">
        <v>31</v>
      </c>
      <c r="I365" s="13" t="s">
        <v>31</v>
      </c>
      <c r="J365" s="13" t="s">
        <v>31</v>
      </c>
      <c r="K365" s="13" t="s">
        <v>31</v>
      </c>
      <c r="L365" s="13" t="s">
        <v>30</v>
      </c>
      <c r="M365" s="13" t="s">
        <v>30</v>
      </c>
      <c r="N365" s="13" t="s">
        <v>31</v>
      </c>
      <c r="O365" s="13" t="s">
        <v>31</v>
      </c>
      <c r="P365" s="16">
        <v>26</v>
      </c>
      <c r="Q365" s="16">
        <v>-20</v>
      </c>
      <c r="R365" s="13" t="str">
        <f>_xlfn.CONCAT(F365,G365,H365,I365,J365)</f>
        <v>WWLLL</v>
      </c>
      <c r="S365" s="13" t="str">
        <f>_xlfn.CONCAT(K365,L365,M365,N365,O365)</f>
        <v>LWWLL</v>
      </c>
      <c r="T365" s="13" t="str">
        <f>_xlfn.CONCAT(R365,"***",S365)</f>
        <v>WWLLL***LWWLL</v>
      </c>
      <c r="U365" s="19">
        <f>(P365-Q365)</f>
        <v>46</v>
      </c>
      <c r="V365" s="14">
        <v>1</v>
      </c>
      <c r="W365" s="14">
        <v>1</v>
      </c>
      <c r="X365" s="20" t="str">
        <f>IF(ISBLANK(V365),"",IF(V365&gt;W365,"1",IF(V365&lt;W365,"2",IF(V365=W365,"X"))))</f>
        <v>X</v>
      </c>
      <c r="Y365" s="23" t="str">
        <f>COUNTIF(F365:J365, "W")&amp;COUNTIF(F365:J365, "d")&amp;COUNTIF(F365:J365, "l")</f>
        <v>203</v>
      </c>
      <c r="Z365" s="13" t="str">
        <f>COUNTIF(K365:O365, "W")&amp;COUNTIF(K365:O365, "d")&amp;COUNTIF(K365:O365, "l")</f>
        <v>203</v>
      </c>
      <c r="AA365" s="23" t="str">
        <f>_xlfn.CONCAT(Y365,"-",Z365)</f>
        <v>203-203</v>
      </c>
      <c r="AB365" s="13" t="str">
        <f>_xlfn.CONCAT(AA365,"…",TEXT(U365,"+00;-00;+00;"))</f>
        <v>203-203…+46</v>
      </c>
      <c r="AC365" s="23" t="str">
        <f>_xlfn.CONCAT(TEXT(P365,"+00;-00;+00;"),"…",TEXT(Q365,"+00;-00;+00;"))</f>
        <v>+26…-20</v>
      </c>
      <c r="AD365" s="14" t="str">
        <f>IF(X365="","?","")</f>
        <v/>
      </c>
      <c r="AE365" s="15" t="str">
        <f>_xlfn.CONCAT(AA365,"…",TEXT(P365,"+00;-00;+00;"),"...",TEXT(Q365,"+00;-00;+00;"))</f>
        <v>203-203…+26...-20</v>
      </c>
      <c r="AF365" s="13" t="str">
        <f>_xlfn.CONCAT(R365,"…",TEXT(P365,"+00;-00;+00;"),"...",TEXT(Q365,"+00;-00;+00;"))</f>
        <v>WWLLL…+26...-20</v>
      </c>
    </row>
    <row r="366" spans="1:32" x14ac:dyDescent="0.25">
      <c r="A366" s="13" t="s">
        <v>599</v>
      </c>
      <c r="B366" s="13" t="s">
        <v>379</v>
      </c>
      <c r="C366" s="14">
        <v>1</v>
      </c>
      <c r="D366" s="13" t="s">
        <v>382</v>
      </c>
      <c r="E366" s="13" t="s">
        <v>808</v>
      </c>
      <c r="F366" s="13" t="s">
        <v>30</v>
      </c>
      <c r="G366" s="13" t="s">
        <v>30</v>
      </c>
      <c r="H366" s="13" t="s">
        <v>31</v>
      </c>
      <c r="I366" s="13" t="s">
        <v>31</v>
      </c>
      <c r="J366" s="13" t="s">
        <v>31</v>
      </c>
      <c r="K366" s="13" t="s">
        <v>31</v>
      </c>
      <c r="L366" s="13" t="s">
        <v>31</v>
      </c>
      <c r="M366" s="13" t="s">
        <v>30</v>
      </c>
      <c r="N366" s="13" t="s">
        <v>30</v>
      </c>
      <c r="O366" s="13" t="s">
        <v>29</v>
      </c>
      <c r="P366" s="16">
        <v>17</v>
      </c>
      <c r="Q366" s="16">
        <v>-8</v>
      </c>
      <c r="R366" s="13" t="str">
        <f>_xlfn.CONCAT(F366,G366,H366,I366,J366)</f>
        <v>WWLLL</v>
      </c>
      <c r="S366" s="13" t="str">
        <f>_xlfn.CONCAT(K366,L366,M366,N366,O366)</f>
        <v>LLWWD</v>
      </c>
      <c r="T366" s="13" t="str">
        <f>_xlfn.CONCAT(R366,"***",S366)</f>
        <v>WWLLL***LLWWD</v>
      </c>
      <c r="U366" s="19">
        <f>(P366-Q366)</f>
        <v>25</v>
      </c>
      <c r="V366" s="14">
        <v>1</v>
      </c>
      <c r="W366" s="14">
        <v>5</v>
      </c>
      <c r="X366" s="20" t="str">
        <f>IF(ISBLANK(V366),"",IF(V366&gt;W366,"1",IF(V366&lt;W366,"2",IF(V366=W366,"X"))))</f>
        <v>2</v>
      </c>
      <c r="Y366" s="23" t="str">
        <f>COUNTIF(F366:J366, "W")&amp;COUNTIF(F366:J366, "d")&amp;COUNTIF(F366:J366, "l")</f>
        <v>203</v>
      </c>
      <c r="Z366" s="13" t="str">
        <f>COUNTIF(K366:O366, "W")&amp;COUNTIF(K366:O366, "d")&amp;COUNTIF(K366:O366, "l")</f>
        <v>212</v>
      </c>
      <c r="AA366" s="23" t="str">
        <f>_xlfn.CONCAT(Y366,"-",Z366)</f>
        <v>203-212</v>
      </c>
      <c r="AB366" s="13" t="str">
        <f>_xlfn.CONCAT(AA366,"…",TEXT(U366,"+00;-00;+00;"))</f>
        <v>203-212…+25</v>
      </c>
      <c r="AC366" s="23" t="str">
        <f>_xlfn.CONCAT(TEXT(P366,"+00;-00;+00;"),"…",TEXT(Q366,"+00;-00;+00;"))</f>
        <v>+17…-08</v>
      </c>
      <c r="AD366" s="14" t="str">
        <f>IF(X366="","?","")</f>
        <v/>
      </c>
      <c r="AE366" s="15" t="str">
        <f>_xlfn.CONCAT(AA366,"…",TEXT(P366,"+00;-00;+00;"),"...",TEXT(Q366,"+00;-00;+00;"))</f>
        <v>203-212…+17...-08</v>
      </c>
      <c r="AF366" s="13" t="str">
        <f>_xlfn.CONCAT(R366,"…",TEXT(P366,"+00;-00;+00;"),"...",TEXT(Q366,"+00;-00;+00;"))</f>
        <v>WWLLL…+17...-08</v>
      </c>
    </row>
    <row r="367" spans="1:32" x14ac:dyDescent="0.25">
      <c r="A367" s="13" t="s">
        <v>599</v>
      </c>
      <c r="B367" s="13" t="s">
        <v>379</v>
      </c>
      <c r="C367" s="14">
        <v>1</v>
      </c>
      <c r="D367" s="13" t="s">
        <v>804</v>
      </c>
      <c r="E367" s="13" t="s">
        <v>805</v>
      </c>
      <c r="F367" s="13" t="s">
        <v>31</v>
      </c>
      <c r="G367" s="13" t="s">
        <v>30</v>
      </c>
      <c r="H367" s="13" t="s">
        <v>30</v>
      </c>
      <c r="I367" s="13" t="s">
        <v>29</v>
      </c>
      <c r="J367" s="13" t="s">
        <v>31</v>
      </c>
      <c r="K367" s="13" t="s">
        <v>29</v>
      </c>
      <c r="L367" s="13" t="s">
        <v>31</v>
      </c>
      <c r="M367" s="13" t="s">
        <v>30</v>
      </c>
      <c r="N367" s="13" t="s">
        <v>31</v>
      </c>
      <c r="O367" s="13" t="s">
        <v>29</v>
      </c>
      <c r="P367" s="16">
        <v>-9</v>
      </c>
      <c r="Q367" s="16">
        <v>1</v>
      </c>
      <c r="R367" s="13" t="str">
        <f>_xlfn.CONCAT(F367,G367,H367,I367,J367)</f>
        <v>LWWDL</v>
      </c>
      <c r="S367" s="13" t="str">
        <f>_xlfn.CONCAT(K367,L367,M367,N367,O367)</f>
        <v>DLWLD</v>
      </c>
      <c r="T367" s="13" t="str">
        <f>_xlfn.CONCAT(R367,"***",S367)</f>
        <v>LWWDL***DLWLD</v>
      </c>
      <c r="U367" s="19">
        <f>(P367-Q367)</f>
        <v>-10</v>
      </c>
      <c r="V367" s="14">
        <v>1</v>
      </c>
      <c r="W367" s="14">
        <v>0</v>
      </c>
      <c r="X367" s="20" t="str">
        <f>IF(ISBLANK(V367),"",IF(V367&gt;W367,"1",IF(V367&lt;W367,"2",IF(V367=W367,"X"))))</f>
        <v>1</v>
      </c>
      <c r="Y367" s="23" t="str">
        <f>COUNTIF(F367:J367, "W")&amp;COUNTIF(F367:J367, "d")&amp;COUNTIF(F367:J367, "l")</f>
        <v>212</v>
      </c>
      <c r="Z367" s="13" t="str">
        <f>COUNTIF(K367:O367, "W")&amp;COUNTIF(K367:O367, "d")&amp;COUNTIF(K367:O367, "l")</f>
        <v>122</v>
      </c>
      <c r="AA367" s="23" t="str">
        <f>_xlfn.CONCAT(Y367,"-",Z367)</f>
        <v>212-122</v>
      </c>
      <c r="AB367" s="13" t="str">
        <f>_xlfn.CONCAT(AA367,"…",TEXT(U367,"+00;-00;+00;"))</f>
        <v>212-122…-10</v>
      </c>
      <c r="AC367" s="23" t="str">
        <f>_xlfn.CONCAT(TEXT(P367,"+00;-00;+00;"),"…",TEXT(Q367,"+00;-00;+00;"))</f>
        <v>-09…+01</v>
      </c>
      <c r="AD367" s="14" t="str">
        <f>IF(X367="","?","")</f>
        <v/>
      </c>
      <c r="AE367" s="15" t="str">
        <f>_xlfn.CONCAT(AA367,"…",TEXT(P367,"+00;-00;+00;"),"...",TEXT(Q367,"+00;-00;+00;"))</f>
        <v>212-122…-09...+01</v>
      </c>
      <c r="AF367" s="13" t="str">
        <f>_xlfn.CONCAT(R367,"…",TEXT(P367,"+00;-00;+00;"),"...",TEXT(Q367,"+00;-00;+00;"))</f>
        <v>LWWDL…-09...+01</v>
      </c>
    </row>
    <row r="368" spans="1:32" x14ac:dyDescent="0.25">
      <c r="A368" s="13" t="s">
        <v>599</v>
      </c>
      <c r="B368" s="13" t="s">
        <v>339</v>
      </c>
      <c r="C368" s="14">
        <v>1</v>
      </c>
      <c r="D368" s="13" t="s">
        <v>347</v>
      </c>
      <c r="E368" s="13" t="s">
        <v>604</v>
      </c>
      <c r="F368" s="13" t="s">
        <v>30</v>
      </c>
      <c r="G368" s="13" t="s">
        <v>31</v>
      </c>
      <c r="H368" s="13" t="s">
        <v>29</v>
      </c>
      <c r="I368" s="13" t="s">
        <v>30</v>
      </c>
      <c r="J368" s="13" t="s">
        <v>31</v>
      </c>
      <c r="K368" s="13" t="s">
        <v>30</v>
      </c>
      <c r="L368" s="13" t="s">
        <v>30</v>
      </c>
      <c r="M368" s="13" t="s">
        <v>31</v>
      </c>
      <c r="N368" s="13" t="s">
        <v>30</v>
      </c>
      <c r="O368" s="13" t="s">
        <v>31</v>
      </c>
      <c r="P368" s="16">
        <v>0</v>
      </c>
      <c r="Q368" s="16">
        <v>5</v>
      </c>
      <c r="R368" s="13" t="str">
        <f>_xlfn.CONCAT(F368,G368,H368,I368,J368)</f>
        <v>WLDWL</v>
      </c>
      <c r="S368" s="13" t="str">
        <f>_xlfn.CONCAT(K368,L368,M368,N368,O368)</f>
        <v>WWLWL</v>
      </c>
      <c r="T368" s="13" t="str">
        <f>_xlfn.CONCAT(R368,"***",S368)</f>
        <v>WLDWL***WWLWL</v>
      </c>
      <c r="U368" s="19">
        <f>(P368-Q368)</f>
        <v>-5</v>
      </c>
      <c r="V368" s="14">
        <v>1</v>
      </c>
      <c r="W368" s="14">
        <v>1</v>
      </c>
      <c r="X368" s="20" t="str">
        <f>IF(ISBLANK(V368),"",IF(V368&gt;W368,"1",IF(V368&lt;W368,"2",IF(V368=W368,"X"))))</f>
        <v>X</v>
      </c>
      <c r="Y368" s="23" t="str">
        <f>COUNTIF(F368:J368, "W")&amp;COUNTIF(F368:J368, "d")&amp;COUNTIF(F368:J368, "l")</f>
        <v>212</v>
      </c>
      <c r="Z368" s="13" t="str">
        <f>COUNTIF(K368:O368, "W")&amp;COUNTIF(K368:O368, "d")&amp;COUNTIF(K368:O368, "l")</f>
        <v>302</v>
      </c>
      <c r="AA368" s="23" t="str">
        <f>_xlfn.CONCAT(Y368,"-",Z368)</f>
        <v>212-302</v>
      </c>
      <c r="AB368" s="13" t="str">
        <f>_xlfn.CONCAT(AA368,"…",TEXT(U368,"+00;-00;+00;"))</f>
        <v>212-302…-05</v>
      </c>
      <c r="AC368" s="23" t="str">
        <f>_xlfn.CONCAT(TEXT(P368,"+00;-00;+00;"),"…",TEXT(Q368,"+00;-00;+00;"))</f>
        <v>+00…+05</v>
      </c>
      <c r="AD368" s="14" t="str">
        <f>IF(X368="","?","")</f>
        <v/>
      </c>
      <c r="AE368" s="15" t="str">
        <f>_xlfn.CONCAT(AA368,"…",TEXT(P368,"+00;-00;+00;"),"...",TEXT(Q368,"+00;-00;+00;"))</f>
        <v>212-302…+00...+05</v>
      </c>
      <c r="AF368" s="13" t="str">
        <f>_xlfn.CONCAT(R368,"…",TEXT(P368,"+00;-00;+00;"),"...",TEXT(Q368,"+00;-00;+00;"))</f>
        <v>WLDWL…+00...+05</v>
      </c>
    </row>
    <row r="369" spans="1:32" x14ac:dyDescent="0.25">
      <c r="A369" s="13" t="s">
        <v>599</v>
      </c>
      <c r="B369" s="13" t="s">
        <v>379</v>
      </c>
      <c r="C369" s="14">
        <v>1</v>
      </c>
      <c r="D369" s="13" t="s">
        <v>798</v>
      </c>
      <c r="E369" s="13" t="s">
        <v>799</v>
      </c>
      <c r="F369" s="13" t="s">
        <v>31</v>
      </c>
      <c r="G369" s="13" t="s">
        <v>30</v>
      </c>
      <c r="H369" s="13" t="s">
        <v>30</v>
      </c>
      <c r="I369" s="13" t="s">
        <v>30</v>
      </c>
      <c r="J369" s="13" t="s">
        <v>30</v>
      </c>
      <c r="K369" s="13" t="s">
        <v>31</v>
      </c>
      <c r="L369" s="13" t="s">
        <v>31</v>
      </c>
      <c r="M369" s="13" t="s">
        <v>30</v>
      </c>
      <c r="N369" s="13" t="s">
        <v>29</v>
      </c>
      <c r="O369" s="13" t="s">
        <v>31</v>
      </c>
      <c r="P369" s="16">
        <v>38</v>
      </c>
      <c r="Q369" s="16">
        <v>5</v>
      </c>
      <c r="R369" s="13" t="str">
        <f>_xlfn.CONCAT(F369,G369,H369,I369,J369)</f>
        <v>LWWWW</v>
      </c>
      <c r="S369" s="13" t="str">
        <f>_xlfn.CONCAT(K369,L369,M369,N369,O369)</f>
        <v>LLWDL</v>
      </c>
      <c r="T369" s="13" t="str">
        <f>_xlfn.CONCAT(R369,"***",S369)</f>
        <v>LWWWW***LLWDL</v>
      </c>
      <c r="U369" s="19">
        <f>(P369-Q369)</f>
        <v>33</v>
      </c>
      <c r="V369" s="14">
        <v>2</v>
      </c>
      <c r="W369" s="14">
        <v>0</v>
      </c>
      <c r="X369" s="20" t="str">
        <f>IF(ISBLANK(V369),"",IF(V369&gt;W369,"1",IF(V369&lt;W369,"2",IF(V369=W369,"X"))))</f>
        <v>1</v>
      </c>
      <c r="Y369" s="23" t="str">
        <f>COUNTIF(F369:J369, "W")&amp;COUNTIF(F369:J369, "d")&amp;COUNTIF(F369:J369, "l")</f>
        <v>401</v>
      </c>
      <c r="Z369" s="13" t="str">
        <f>COUNTIF(K369:O369, "W")&amp;COUNTIF(K369:O369, "d")&amp;COUNTIF(K369:O369, "l")</f>
        <v>113</v>
      </c>
      <c r="AA369" s="23" t="str">
        <f>_xlfn.CONCAT(Y369,"-",Z369)</f>
        <v>401-113</v>
      </c>
      <c r="AB369" s="13" t="str">
        <f>_xlfn.CONCAT(AA369,"…",TEXT(U369,"+00;-00;+00;"))</f>
        <v>401-113…+33</v>
      </c>
      <c r="AC369" s="23" t="str">
        <f>_xlfn.CONCAT(TEXT(P369,"+00;-00;+00;"),"…",TEXT(Q369,"+00;-00;+00;"))</f>
        <v>+38…+05</v>
      </c>
      <c r="AD369" s="14" t="str">
        <f>IF(X369="","?","")</f>
        <v/>
      </c>
      <c r="AE369" s="15" t="str">
        <f>_xlfn.CONCAT(AA369,"…",TEXT(P369,"+00;-00;+00;"),"...",TEXT(Q369,"+00;-00;+00;"))</f>
        <v>401-113…+38...+05</v>
      </c>
      <c r="AF369" s="13" t="str">
        <f>_xlfn.CONCAT(R369,"…",TEXT(P369,"+00;-00;+00;"),"...",TEXT(Q369,"+00;-00;+00;"))</f>
        <v>LWWWW…+38...+05</v>
      </c>
    </row>
    <row r="370" spans="1:32" x14ac:dyDescent="0.25">
      <c r="A370" s="13" t="s">
        <v>599</v>
      </c>
      <c r="B370" s="13" t="s">
        <v>379</v>
      </c>
      <c r="C370" s="14">
        <v>1</v>
      </c>
      <c r="D370" s="13" t="s">
        <v>806</v>
      </c>
      <c r="E370" s="13" t="s">
        <v>383</v>
      </c>
      <c r="F370" s="13" t="s">
        <v>30</v>
      </c>
      <c r="G370" s="13" t="s">
        <v>31</v>
      </c>
      <c r="H370" s="13" t="s">
        <v>30</v>
      </c>
      <c r="I370" s="13" t="s">
        <v>30</v>
      </c>
      <c r="J370" s="13" t="s">
        <v>30</v>
      </c>
      <c r="K370" s="13" t="s">
        <v>30</v>
      </c>
      <c r="L370" s="13" t="s">
        <v>30</v>
      </c>
      <c r="M370" s="13" t="s">
        <v>30</v>
      </c>
      <c r="N370" s="13" t="s">
        <v>29</v>
      </c>
      <c r="O370" s="13" t="s">
        <v>30</v>
      </c>
      <c r="P370" s="16">
        <v>-1</v>
      </c>
      <c r="Q370" s="16">
        <v>23</v>
      </c>
      <c r="R370" s="13" t="str">
        <f>_xlfn.CONCAT(F370,G370,H370,I370,J370)</f>
        <v>WLWWW</v>
      </c>
      <c r="S370" s="13" t="str">
        <f>_xlfn.CONCAT(K370,L370,M370,N370,O370)</f>
        <v>WWWDW</v>
      </c>
      <c r="T370" s="13" t="str">
        <f>_xlfn.CONCAT(R370,"***",S370)</f>
        <v>WLWWW***WWWDW</v>
      </c>
      <c r="U370" s="19">
        <f>(P370-Q370)</f>
        <v>-24</v>
      </c>
      <c r="V370" s="14">
        <v>3</v>
      </c>
      <c r="W370" s="14">
        <v>0</v>
      </c>
      <c r="X370" s="20" t="str">
        <f>IF(ISBLANK(V370),"",IF(V370&gt;W370,"1",IF(V370&lt;W370,"2",IF(V370=W370,"X"))))</f>
        <v>1</v>
      </c>
      <c r="Y370" s="23" t="str">
        <f>COUNTIF(F370:J370, "W")&amp;COUNTIF(F370:J370, "d")&amp;COUNTIF(F370:J370, "l")</f>
        <v>401</v>
      </c>
      <c r="Z370" s="13" t="str">
        <f>COUNTIF(K370:O370, "W")&amp;COUNTIF(K370:O370, "d")&amp;COUNTIF(K370:O370, "l")</f>
        <v>410</v>
      </c>
      <c r="AA370" s="23" t="str">
        <f>_xlfn.CONCAT(Y370,"-",Z370)</f>
        <v>401-410</v>
      </c>
      <c r="AB370" s="13" t="str">
        <f>_xlfn.CONCAT(AA370,"…",TEXT(U370,"+00;-00;+00;"))</f>
        <v>401-410…-24</v>
      </c>
      <c r="AC370" s="23" t="str">
        <f>_xlfn.CONCAT(TEXT(P370,"+00;-00;+00;"),"…",TEXT(Q370,"+00;-00;+00;"))</f>
        <v>-01…+23</v>
      </c>
      <c r="AD370" s="14" t="str">
        <f>IF(X370="","?","")</f>
        <v/>
      </c>
      <c r="AE370" s="15" t="str">
        <f>_xlfn.CONCAT(AA370,"…",TEXT(P370,"+00;-00;+00;"),"...",TEXT(Q370,"+00;-00;+00;"))</f>
        <v>401-410…-01...+23</v>
      </c>
      <c r="AF370" s="13" t="str">
        <f>_xlfn.CONCAT(R370,"…",TEXT(P370,"+00;-00;+00;"),"...",TEXT(Q370,"+00;-00;+00;"))</f>
        <v>WLWWW…-01...+23</v>
      </c>
    </row>
    <row r="371" spans="1:32" x14ac:dyDescent="0.25">
      <c r="A371" s="13" t="s">
        <v>694</v>
      </c>
      <c r="B371" s="13" t="s">
        <v>167</v>
      </c>
      <c r="C371" s="14">
        <v>1</v>
      </c>
      <c r="D371" s="13" t="s">
        <v>186</v>
      </c>
      <c r="E371" s="13" t="s">
        <v>178</v>
      </c>
      <c r="F371" s="13" t="s">
        <v>30</v>
      </c>
      <c r="G371" s="13" t="s">
        <v>29</v>
      </c>
      <c r="H371" s="13" t="s">
        <v>29</v>
      </c>
      <c r="I371" s="13" t="s">
        <v>30</v>
      </c>
      <c r="J371" s="13" t="s">
        <v>30</v>
      </c>
      <c r="K371" s="13" t="s">
        <v>30</v>
      </c>
      <c r="L371" s="13" t="s">
        <v>30</v>
      </c>
      <c r="M371" s="13" t="s">
        <v>29</v>
      </c>
      <c r="N371" s="13" t="s">
        <v>29</v>
      </c>
      <c r="O371" s="13" t="s">
        <v>31</v>
      </c>
      <c r="P371" s="16">
        <v>6</v>
      </c>
      <c r="Q371" s="16">
        <v>-5</v>
      </c>
      <c r="R371" s="13" t="str">
        <f>_xlfn.CONCAT(F371,G371,H371,I371,J371)</f>
        <v>WDDWW</v>
      </c>
      <c r="S371" s="13" t="str">
        <f>_xlfn.CONCAT(K371,L371,M371,N371,O371)</f>
        <v>WWDDL</v>
      </c>
      <c r="T371" s="13" t="str">
        <f>_xlfn.CONCAT(R371,"***",S371)</f>
        <v>WDDWW***WWDDL</v>
      </c>
      <c r="U371" s="19">
        <f>(P371-Q371)</f>
        <v>11</v>
      </c>
      <c r="V371" s="14">
        <v>2</v>
      </c>
      <c r="W371" s="14">
        <v>0</v>
      </c>
      <c r="X371" s="20" t="str">
        <f>IF(ISBLANK(V371),"",IF(V371&gt;W371,"1",IF(V371&lt;W371,"2",IF(V371=W371,"X"))))</f>
        <v>1</v>
      </c>
      <c r="Y371" s="23" t="str">
        <f>COUNTIF(F371:J371, "W")&amp;COUNTIF(F371:J371, "d")&amp;COUNTIF(F371:J371, "l")</f>
        <v>320</v>
      </c>
      <c r="Z371" s="13" t="str">
        <f>COUNTIF(K371:O371, "W")&amp;COUNTIF(K371:O371, "d")&amp;COUNTIF(K371:O371, "l")</f>
        <v>221</v>
      </c>
      <c r="AA371" s="23" t="str">
        <f>_xlfn.CONCAT(Y371,"-",Z371)</f>
        <v>320-221</v>
      </c>
      <c r="AB371" s="13" t="str">
        <f>_xlfn.CONCAT(AA371,"…",TEXT(U371,"+00;-00;+00;"))</f>
        <v>320-221…+11</v>
      </c>
      <c r="AC371" s="23" t="str">
        <f>_xlfn.CONCAT(TEXT(P371,"+00;-00;+00;"),"…",TEXT(Q371,"+00;-00;+00;"))</f>
        <v>+06…-05</v>
      </c>
      <c r="AD371" s="14" t="str">
        <f>IF(X371="","?","")</f>
        <v/>
      </c>
      <c r="AE371" s="15" t="str">
        <f>_xlfn.CONCAT(AA371,"…",TEXT(P371,"+00;-00;+00;"),"...",TEXT(Q371,"+00;-00;+00;"))</f>
        <v>320-221…+06...-05</v>
      </c>
      <c r="AF371" s="13" t="str">
        <f>_xlfn.CONCAT(R371,"…",TEXT(P371,"+00;-00;+00;"),"...",TEXT(Q371,"+00;-00;+00;"))</f>
        <v>WDDWW…+06...-05</v>
      </c>
    </row>
    <row r="372" spans="1:32" x14ac:dyDescent="0.25">
      <c r="A372" s="13" t="s">
        <v>564</v>
      </c>
      <c r="B372" s="13" t="s">
        <v>7</v>
      </c>
      <c r="C372" s="14" t="s">
        <v>8</v>
      </c>
      <c r="D372" s="13" t="s">
        <v>621</v>
      </c>
      <c r="E372" s="13" t="s">
        <v>622</v>
      </c>
      <c r="F372" s="13" t="s">
        <v>29</v>
      </c>
      <c r="G372" s="13" t="s">
        <v>29</v>
      </c>
      <c r="H372" s="13" t="s">
        <v>30</v>
      </c>
      <c r="I372" s="13" t="s">
        <v>30</v>
      </c>
      <c r="J372" s="13" t="s">
        <v>30</v>
      </c>
      <c r="K372" s="13" t="s">
        <v>31</v>
      </c>
      <c r="L372" s="13" t="s">
        <v>31</v>
      </c>
      <c r="M372" s="13" t="s">
        <v>31</v>
      </c>
      <c r="N372" s="13" t="s">
        <v>30</v>
      </c>
      <c r="O372" s="13" t="s">
        <v>30</v>
      </c>
      <c r="P372" s="16">
        <v>20</v>
      </c>
      <c r="Q372" s="16">
        <v>8</v>
      </c>
      <c r="R372" s="13" t="str">
        <f>_xlfn.CONCAT(F372,G372,H372,I372,J372)</f>
        <v>DDWWW</v>
      </c>
      <c r="S372" s="13" t="str">
        <f>_xlfn.CONCAT(K372,L372,M372,N372,O372)</f>
        <v>LLLWW</v>
      </c>
      <c r="T372" s="13" t="str">
        <f>_xlfn.CONCAT(R372,"***",S372)</f>
        <v>DDWWW***LLLWW</v>
      </c>
      <c r="U372" s="19">
        <f>(P372-Q372)</f>
        <v>12</v>
      </c>
      <c r="V372" s="14">
        <v>3</v>
      </c>
      <c r="W372" s="14">
        <v>3</v>
      </c>
      <c r="X372" s="20" t="str">
        <f>IF(ISBLANK(V372),"",IF(V372&gt;W372,"1",IF(V372&lt;W372,"2",IF(V372=W372,"X"))))</f>
        <v>X</v>
      </c>
      <c r="Y372" s="23" t="str">
        <f>COUNTIF(F372:J372, "W")&amp;COUNTIF(F372:J372, "d")&amp;COUNTIF(F372:J372, "l")</f>
        <v>320</v>
      </c>
      <c r="Z372" s="13" t="str">
        <f>COUNTIF(K372:O372, "W")&amp;COUNTIF(K372:O372, "d")&amp;COUNTIF(K372:O372, "l")</f>
        <v>203</v>
      </c>
      <c r="AA372" s="23" t="str">
        <f>_xlfn.CONCAT(Y372,"-",Z372)</f>
        <v>320-203</v>
      </c>
      <c r="AB372" s="13" t="str">
        <f>_xlfn.CONCAT(AA372,"…",TEXT(U372,"+00;-00;+00;"))</f>
        <v>320-203…+12</v>
      </c>
      <c r="AC372" s="23" t="str">
        <f>_xlfn.CONCAT(TEXT(P372,"+00;-00;+00;"),"…",TEXT(Q372,"+00;-00;+00;"))</f>
        <v>+20…+08</v>
      </c>
      <c r="AD372" s="14" t="str">
        <f>IF(X372="","?","")</f>
        <v/>
      </c>
      <c r="AE372" s="15" t="str">
        <f>_xlfn.CONCAT(AA372,"…",TEXT(P372,"+00;-00;+00;"),"...",TEXT(Q372,"+00;-00;+00;"))</f>
        <v>320-203…+20...+08</v>
      </c>
      <c r="AF372" s="13" t="str">
        <f>_xlfn.CONCAT(R372,"…",TEXT(P372,"+00;-00;+00;"),"...",TEXT(Q372,"+00;-00;+00;"))</f>
        <v>DDWWW…+20...+08</v>
      </c>
    </row>
    <row r="373" spans="1:32" x14ac:dyDescent="0.25">
      <c r="A373" s="13" t="s">
        <v>564</v>
      </c>
      <c r="B373" s="13" t="s">
        <v>414</v>
      </c>
      <c r="C373" s="14">
        <v>1</v>
      </c>
      <c r="D373" s="13" t="s">
        <v>844</v>
      </c>
      <c r="E373" s="13" t="s">
        <v>845</v>
      </c>
      <c r="F373" s="13" t="s">
        <v>30</v>
      </c>
      <c r="G373" s="13" t="s">
        <v>30</v>
      </c>
      <c r="H373" s="13" t="s">
        <v>30</v>
      </c>
      <c r="I373" s="13" t="s">
        <v>29</v>
      </c>
      <c r="J373" s="13" t="s">
        <v>30</v>
      </c>
      <c r="K373" s="13" t="s">
        <v>29</v>
      </c>
      <c r="L373" s="13" t="s">
        <v>29</v>
      </c>
      <c r="M373" s="13" t="s">
        <v>30</v>
      </c>
      <c r="N373" s="13" t="s">
        <v>29</v>
      </c>
      <c r="O373" s="13" t="s">
        <v>31</v>
      </c>
      <c r="P373" s="16">
        <v>15</v>
      </c>
      <c r="Q373" s="16">
        <v>14</v>
      </c>
      <c r="R373" s="13" t="str">
        <f>_xlfn.CONCAT(F373,G373,H373,I373,J373)</f>
        <v>WWWDW</v>
      </c>
      <c r="S373" s="13" t="str">
        <f>_xlfn.CONCAT(K373,L373,M373,N373,O373)</f>
        <v>DDWDL</v>
      </c>
      <c r="T373" s="13" t="str">
        <f>_xlfn.CONCAT(R373,"***",S373)</f>
        <v>WWWDW***DDWDL</v>
      </c>
      <c r="U373" s="19">
        <f>(P373-Q373)</f>
        <v>1</v>
      </c>
      <c r="V373" s="14">
        <v>1</v>
      </c>
      <c r="W373" s="14">
        <v>1</v>
      </c>
      <c r="X373" s="20" t="str">
        <f>IF(ISBLANK(V373),"",IF(V373&gt;W373,"1",IF(V373&lt;W373,"2",IF(V373=W373,"X"))))</f>
        <v>X</v>
      </c>
      <c r="Y373" s="23" t="str">
        <f>COUNTIF(F373:J373, "W")&amp;COUNTIF(F373:J373, "d")&amp;COUNTIF(F373:J373, "l")</f>
        <v>410</v>
      </c>
      <c r="Z373" s="13" t="str">
        <f>COUNTIF(K373:O373, "W")&amp;COUNTIF(K373:O373, "d")&amp;COUNTIF(K373:O373, "l")</f>
        <v>131</v>
      </c>
      <c r="AA373" s="23" t="str">
        <f>_xlfn.CONCAT(Y373,"-",Z373)</f>
        <v>410-131</v>
      </c>
      <c r="AB373" s="13" t="str">
        <f>_xlfn.CONCAT(AA373,"…",TEXT(U373,"+00;-00;+00;"))</f>
        <v>410-131…+01</v>
      </c>
      <c r="AC373" s="23" t="str">
        <f>_xlfn.CONCAT(TEXT(P373,"+00;-00;+00;"),"…",TEXT(Q373,"+00;-00;+00;"))</f>
        <v>+15…+14</v>
      </c>
      <c r="AD373" s="14" t="str">
        <f>IF(X373="","?","")</f>
        <v/>
      </c>
      <c r="AE373" s="15" t="str">
        <f>_xlfn.CONCAT(AA373,"…",TEXT(P373,"+00;-00;+00;"),"...",TEXT(Q373,"+00;-00;+00;"))</f>
        <v>410-131…+15...+14</v>
      </c>
      <c r="AF373" s="13" t="str">
        <f>_xlfn.CONCAT(R373,"…",TEXT(P373,"+00;-00;+00;"),"...",TEXT(Q373,"+00;-00;+00;"))</f>
        <v>WWWDW…+15...+14</v>
      </c>
    </row>
    <row r="374" spans="1:32" x14ac:dyDescent="0.25">
      <c r="A374" s="13" t="s">
        <v>564</v>
      </c>
      <c r="B374" s="13" t="s">
        <v>208</v>
      </c>
      <c r="C374" s="14">
        <v>1</v>
      </c>
      <c r="D374" s="13" t="s">
        <v>218</v>
      </c>
      <c r="E374" s="13" t="s">
        <v>574</v>
      </c>
      <c r="F374" s="13" t="s">
        <v>30</v>
      </c>
      <c r="G374" s="13" t="s">
        <v>30</v>
      </c>
      <c r="H374" s="13" t="s">
        <v>30</v>
      </c>
      <c r="I374" s="13" t="s">
        <v>30</v>
      </c>
      <c r="J374" s="13" t="s">
        <v>30</v>
      </c>
      <c r="K374" s="13" t="s">
        <v>30</v>
      </c>
      <c r="L374" s="13" t="s">
        <v>31</v>
      </c>
      <c r="M374" s="13" t="s">
        <v>31</v>
      </c>
      <c r="N374" s="13" t="s">
        <v>29</v>
      </c>
      <c r="O374" s="13" t="s">
        <v>30</v>
      </c>
      <c r="P374" s="16">
        <v>27</v>
      </c>
      <c r="Q374" s="16">
        <v>6</v>
      </c>
      <c r="R374" s="13" t="str">
        <f>_xlfn.CONCAT(F374,G374,H374,I374,J374)</f>
        <v>WWWWW</v>
      </c>
      <c r="S374" s="13" t="str">
        <f>_xlfn.CONCAT(K374,L374,M374,N374,O374)</f>
        <v>WLLDW</v>
      </c>
      <c r="T374" s="13" t="str">
        <f>_xlfn.CONCAT(R374,"***",S374)</f>
        <v>WWWWW***WLLDW</v>
      </c>
      <c r="U374" s="19">
        <f>(P374-Q374)</f>
        <v>21</v>
      </c>
      <c r="V374" s="14">
        <v>1</v>
      </c>
      <c r="W374" s="14">
        <v>1</v>
      </c>
      <c r="X374" s="20" t="str">
        <f>IF(ISBLANK(V374),"",IF(V374&gt;W374,"1",IF(V374&lt;W374,"2",IF(V374=W374,"X"))))</f>
        <v>X</v>
      </c>
      <c r="Y374" s="23" t="str">
        <f>COUNTIF(F374:J374, "W")&amp;COUNTIF(F374:J374, "d")&amp;COUNTIF(F374:J374, "l")</f>
        <v>500</v>
      </c>
      <c r="Z374" s="13" t="str">
        <f>COUNTIF(K374:O374, "W")&amp;COUNTIF(K374:O374, "d")&amp;COUNTIF(K374:O374, "l")</f>
        <v>212</v>
      </c>
      <c r="AA374" s="23" t="str">
        <f>_xlfn.CONCAT(Y374,"-",Z374)</f>
        <v>500-212</v>
      </c>
      <c r="AB374" s="13" t="str">
        <f>_xlfn.CONCAT(AA374,"…",TEXT(U374,"+00;-00;+00;"))</f>
        <v>500-212…+21</v>
      </c>
      <c r="AC374" s="23" t="str">
        <f>_xlfn.CONCAT(TEXT(P374,"+00;-00;+00;"),"…",TEXT(Q374,"+00;-00;+00;"))</f>
        <v>+27…+06</v>
      </c>
      <c r="AD374" s="14" t="str">
        <f>IF(X374="","?","")</f>
        <v/>
      </c>
      <c r="AE374" s="15" t="str">
        <f>_xlfn.CONCAT(AA374,"…",TEXT(P374,"+00;-00;+00;"),"...",TEXT(Q374,"+00;-00;+00;"))</f>
        <v>500-212…+27...+06</v>
      </c>
      <c r="AF374" s="13" t="str">
        <f>_xlfn.CONCAT(R374,"…",TEXT(P374,"+00;-00;+00;"),"...",TEXT(Q374,"+00;-00;+00;"))</f>
        <v>WWWWW…+27...+06</v>
      </c>
    </row>
    <row r="375" spans="1:32" x14ac:dyDescent="0.25">
      <c r="A375" s="13" t="s">
        <v>628</v>
      </c>
      <c r="B375" s="13" t="s">
        <v>117</v>
      </c>
      <c r="C375" s="14" t="s">
        <v>0</v>
      </c>
      <c r="D375" s="13" t="s">
        <v>640</v>
      </c>
      <c r="E375" s="13" t="s">
        <v>138</v>
      </c>
      <c r="F375" s="13" t="s">
        <v>30</v>
      </c>
      <c r="G375" s="13" t="s">
        <v>29</v>
      </c>
      <c r="H375" s="13" t="s">
        <v>31</v>
      </c>
      <c r="I375" s="13" t="s">
        <v>29</v>
      </c>
      <c r="J375" s="13" t="s">
        <v>31</v>
      </c>
      <c r="K375" s="13" t="s">
        <v>30</v>
      </c>
      <c r="L375" s="13" t="s">
        <v>29</v>
      </c>
      <c r="M375" s="13" t="s">
        <v>30</v>
      </c>
      <c r="N375" s="13" t="s">
        <v>31</v>
      </c>
      <c r="O375" s="13" t="s">
        <v>30</v>
      </c>
      <c r="P375" s="16">
        <v>-4</v>
      </c>
      <c r="Q375" s="16">
        <v>10</v>
      </c>
      <c r="R375" s="13" t="str">
        <f>_xlfn.CONCAT(F375,G375,H375,I375,J375)</f>
        <v>WDLDL</v>
      </c>
      <c r="S375" s="13" t="str">
        <f>_xlfn.CONCAT(K375,L375,M375,N375,O375)</f>
        <v>WDWLW</v>
      </c>
      <c r="T375" s="13" t="str">
        <f>_xlfn.CONCAT(R375,"***",S375)</f>
        <v>WDLDL***WDWLW</v>
      </c>
      <c r="U375" s="19">
        <f>(P375-Q375)</f>
        <v>-14</v>
      </c>
      <c r="V375" s="14">
        <v>1</v>
      </c>
      <c r="W375" s="14">
        <v>2</v>
      </c>
      <c r="X375" s="20" t="str">
        <f>IF(ISBLANK(V375),"",IF(V375&gt;W375,"1",IF(V375&lt;W375,"2",IF(V375=W375,"X"))))</f>
        <v>2</v>
      </c>
      <c r="Y375" s="23" t="str">
        <f>COUNTIF(F375:J375, "W")&amp;COUNTIF(F375:J375, "d")&amp;COUNTIF(F375:J375, "l")</f>
        <v>122</v>
      </c>
      <c r="Z375" s="13" t="str">
        <f>COUNTIF(K375:O375, "W")&amp;COUNTIF(K375:O375, "d")&amp;COUNTIF(K375:O375, "l")</f>
        <v>311</v>
      </c>
      <c r="AA375" s="23" t="str">
        <f>_xlfn.CONCAT(Y375,"-",Z375)</f>
        <v>122-311</v>
      </c>
      <c r="AB375" s="13" t="str">
        <f>_xlfn.CONCAT(AA375,"…",TEXT(U375,"+00;-00;+00;"))</f>
        <v>122-311…-14</v>
      </c>
      <c r="AC375" s="23" t="str">
        <f>_xlfn.CONCAT(TEXT(P375,"+00;-00;+00;"),"…",TEXT(Q375,"+00;-00;+00;"))</f>
        <v>-04…+10</v>
      </c>
      <c r="AD375" s="14" t="str">
        <f>IF(X375="","?","")</f>
        <v/>
      </c>
      <c r="AE375" s="15" t="str">
        <f>_xlfn.CONCAT(AA375,"…",TEXT(P375,"+00;-00;+00;"),"...",TEXT(Q375,"+00;-00;+00;"))</f>
        <v>122-311…-04...+10</v>
      </c>
      <c r="AF375" s="13" t="str">
        <f>_xlfn.CONCAT(R375,"…",TEXT(P375,"+00;-00;+00;"),"...",TEXT(Q375,"+00;-00;+00;"))</f>
        <v>WDLDL…-04...+10</v>
      </c>
    </row>
    <row r="376" spans="1:32" x14ac:dyDescent="0.25">
      <c r="A376" s="13" t="s">
        <v>628</v>
      </c>
      <c r="B376" s="13" t="s">
        <v>364</v>
      </c>
      <c r="C376" s="14">
        <v>1</v>
      </c>
      <c r="D376" s="13" t="s">
        <v>833</v>
      </c>
      <c r="E376" s="13" t="s">
        <v>372</v>
      </c>
      <c r="F376" s="13" t="s">
        <v>31</v>
      </c>
      <c r="G376" s="13" t="s">
        <v>29</v>
      </c>
      <c r="H376" s="13" t="s">
        <v>30</v>
      </c>
      <c r="I376" s="13" t="s">
        <v>30</v>
      </c>
      <c r="J376" s="13" t="s">
        <v>30</v>
      </c>
      <c r="K376" s="13" t="s">
        <v>29</v>
      </c>
      <c r="L376" s="13" t="s">
        <v>30</v>
      </c>
      <c r="M376" s="13" t="s">
        <v>29</v>
      </c>
      <c r="N376" s="13" t="s">
        <v>30</v>
      </c>
      <c r="O376" s="13" t="s">
        <v>30</v>
      </c>
      <c r="P376" s="16">
        <v>14</v>
      </c>
      <c r="Q376" s="16">
        <v>3</v>
      </c>
      <c r="R376" s="13" t="str">
        <f>_xlfn.CONCAT(F376,G376,H376,I376,J376)</f>
        <v>LDWWW</v>
      </c>
      <c r="S376" s="13" t="str">
        <f>_xlfn.CONCAT(K376,L376,M376,N376,O376)</f>
        <v>DWDWW</v>
      </c>
      <c r="T376" s="13" t="str">
        <f>_xlfn.CONCAT(R376,"***",S376)</f>
        <v>LDWWW***DWDWW</v>
      </c>
      <c r="U376" s="19">
        <f>(P376-Q376)</f>
        <v>11</v>
      </c>
      <c r="V376" s="14">
        <v>1</v>
      </c>
      <c r="W376" s="14">
        <v>2</v>
      </c>
      <c r="X376" s="20" t="str">
        <f>IF(ISBLANK(V376),"",IF(V376&gt;W376,"1",IF(V376&lt;W376,"2",IF(V376=W376,"X"))))</f>
        <v>2</v>
      </c>
      <c r="Y376" s="23" t="str">
        <f>COUNTIF(F376:J376, "W")&amp;COUNTIF(F376:J376, "d")&amp;COUNTIF(F376:J376, "l")</f>
        <v>311</v>
      </c>
      <c r="Z376" s="13" t="str">
        <f>COUNTIF(K376:O376, "W")&amp;COUNTIF(K376:O376, "d")&amp;COUNTIF(K376:O376, "l")</f>
        <v>320</v>
      </c>
      <c r="AA376" s="23" t="str">
        <f>_xlfn.CONCAT(Y376,"-",Z376)</f>
        <v>311-320</v>
      </c>
      <c r="AB376" s="13" t="str">
        <f>_xlfn.CONCAT(AA376,"…",TEXT(U376,"+00;-00;+00;"))</f>
        <v>311-320…+11</v>
      </c>
      <c r="AC376" s="23" t="str">
        <f>_xlfn.CONCAT(TEXT(P376,"+00;-00;+00;"),"…",TEXT(Q376,"+00;-00;+00;"))</f>
        <v>+14…+03</v>
      </c>
      <c r="AD376" s="14" t="str">
        <f>IF(X376="","?","")</f>
        <v/>
      </c>
      <c r="AE376" s="15" t="str">
        <f>_xlfn.CONCAT(AA376,"…",TEXT(P376,"+00;-00;+00;"),"...",TEXT(Q376,"+00;-00;+00;"))</f>
        <v>311-320…+14...+03</v>
      </c>
      <c r="AF376" s="13" t="str">
        <f>_xlfn.CONCAT(R376,"…",TEXT(P376,"+00;-00;+00;"),"...",TEXT(Q376,"+00;-00;+00;"))</f>
        <v>LDWWW…+14...+03</v>
      </c>
    </row>
    <row r="377" spans="1:32" x14ac:dyDescent="0.25">
      <c r="A377" s="13" t="s">
        <v>718</v>
      </c>
      <c r="B377" s="13" t="s">
        <v>59</v>
      </c>
      <c r="C377" s="14">
        <v>1</v>
      </c>
      <c r="D377" s="13" t="s">
        <v>80</v>
      </c>
      <c r="E377" s="13" t="s">
        <v>733</v>
      </c>
      <c r="F377" s="13" t="s">
        <v>31</v>
      </c>
      <c r="G377" s="13" t="s">
        <v>29</v>
      </c>
      <c r="H377" s="13" t="s">
        <v>29</v>
      </c>
      <c r="I377" s="13" t="s">
        <v>29</v>
      </c>
      <c r="J377" s="13" t="s">
        <v>29</v>
      </c>
      <c r="K377" s="13" t="s">
        <v>30</v>
      </c>
      <c r="L377" s="13" t="s">
        <v>31</v>
      </c>
      <c r="M377" s="13" t="s">
        <v>31</v>
      </c>
      <c r="N377" s="13" t="s">
        <v>30</v>
      </c>
      <c r="O377" s="13" t="s">
        <v>29</v>
      </c>
      <c r="P377" s="16">
        <v>0</v>
      </c>
      <c r="Q377" s="16">
        <v>4</v>
      </c>
      <c r="R377" s="13" t="str">
        <f>_xlfn.CONCAT(F377,G377,H377,I377,J377)</f>
        <v>LDDDD</v>
      </c>
      <c r="S377" s="13" t="str">
        <f>_xlfn.CONCAT(K377,L377,M377,N377,O377)</f>
        <v>WLLWD</v>
      </c>
      <c r="T377" s="13" t="str">
        <f>_xlfn.CONCAT(R377,"***",S377)</f>
        <v>LDDDD***WLLWD</v>
      </c>
      <c r="U377" s="19">
        <f>(P377-Q377)</f>
        <v>-4</v>
      </c>
      <c r="V377" s="14">
        <v>1</v>
      </c>
      <c r="W377" s="14">
        <v>1</v>
      </c>
      <c r="X377" s="20" t="str">
        <f>IF(ISBLANK(V377),"",IF(V377&gt;W377,"1",IF(V377&lt;W377,"2",IF(V377=W377,"X"))))</f>
        <v>X</v>
      </c>
      <c r="Y377" s="23" t="str">
        <f>COUNTIF(F377:J377, "W")&amp;COUNTIF(F377:J377, "d")&amp;COUNTIF(F377:J377, "l")</f>
        <v>041</v>
      </c>
      <c r="Z377" s="13" t="str">
        <f>COUNTIF(K377:O377, "W")&amp;COUNTIF(K377:O377, "d")&amp;COUNTIF(K377:O377, "l")</f>
        <v>212</v>
      </c>
      <c r="AA377" s="23" t="str">
        <f>_xlfn.CONCAT(Y377,"-",Z377)</f>
        <v>041-212</v>
      </c>
      <c r="AB377" s="13" t="str">
        <f>_xlfn.CONCAT(AA377,"…",TEXT(U377,"+00;-00;+00;"))</f>
        <v>041-212…-04</v>
      </c>
      <c r="AC377" s="23" t="str">
        <f>_xlfn.CONCAT(TEXT(P377,"+00;-00;+00;"),"…",TEXT(Q377,"+00;-00;+00;"))</f>
        <v>+00…+04</v>
      </c>
      <c r="AD377" s="14" t="str">
        <f>IF(X377="","?","")</f>
        <v/>
      </c>
      <c r="AE377" s="15" t="str">
        <f>_xlfn.CONCAT(AA377,"…",TEXT(P377,"+00;-00;+00;"),"...",TEXT(Q377,"+00;-00;+00;"))</f>
        <v>041-212…+00...+04</v>
      </c>
      <c r="AF377" s="13" t="str">
        <f>_xlfn.CONCAT(R377,"…",TEXT(P377,"+00;-00;+00;"),"...",TEXT(Q377,"+00;-00;+00;"))</f>
        <v>LDDDD…+00...+04</v>
      </c>
    </row>
    <row r="378" spans="1:32" x14ac:dyDescent="0.25">
      <c r="A378" s="13" t="s">
        <v>718</v>
      </c>
      <c r="B378" s="13" t="s">
        <v>318</v>
      </c>
      <c r="C378" s="14">
        <v>1</v>
      </c>
      <c r="D378" s="13" t="s">
        <v>761</v>
      </c>
      <c r="E378" s="13" t="s">
        <v>328</v>
      </c>
      <c r="F378" s="13" t="s">
        <v>30</v>
      </c>
      <c r="G378" s="13" t="s">
        <v>29</v>
      </c>
      <c r="H378" s="13" t="s">
        <v>31</v>
      </c>
      <c r="I378" s="13" t="s">
        <v>30</v>
      </c>
      <c r="J378" s="13" t="s">
        <v>31</v>
      </c>
      <c r="K378" s="13" t="s">
        <v>30</v>
      </c>
      <c r="L378" s="13" t="s">
        <v>31</v>
      </c>
      <c r="M378" s="13" t="s">
        <v>29</v>
      </c>
      <c r="N378" s="13" t="s">
        <v>31</v>
      </c>
      <c r="O378" s="13" t="s">
        <v>30</v>
      </c>
      <c r="P378" s="16">
        <v>12</v>
      </c>
      <c r="Q378" s="16">
        <v>-5</v>
      </c>
      <c r="R378" s="13" t="str">
        <f>_xlfn.CONCAT(F378,G378,H378,I378,J378)</f>
        <v>WDLWL</v>
      </c>
      <c r="S378" s="13" t="str">
        <f>_xlfn.CONCAT(K378,L378,M378,N378,O378)</f>
        <v>WLDLW</v>
      </c>
      <c r="T378" s="13" t="str">
        <f>_xlfn.CONCAT(R378,"***",S378)</f>
        <v>WDLWL***WLDLW</v>
      </c>
      <c r="U378" s="19">
        <f>(P378-Q378)</f>
        <v>17</v>
      </c>
      <c r="V378" s="14">
        <v>2</v>
      </c>
      <c r="W378" s="14">
        <v>0</v>
      </c>
      <c r="X378" s="20" t="str">
        <f>IF(ISBLANK(V378),"",IF(V378&gt;W378,"1",IF(V378&lt;W378,"2",IF(V378=W378,"X"))))</f>
        <v>1</v>
      </c>
      <c r="Y378" s="23" t="str">
        <f>COUNTIF(F378:J378, "W")&amp;COUNTIF(F378:J378, "d")&amp;COUNTIF(F378:J378, "l")</f>
        <v>212</v>
      </c>
      <c r="Z378" s="13" t="str">
        <f>COUNTIF(K378:O378, "W")&amp;COUNTIF(K378:O378, "d")&amp;COUNTIF(K378:O378, "l")</f>
        <v>212</v>
      </c>
      <c r="AA378" s="23" t="str">
        <f>_xlfn.CONCAT(Y378,"-",Z378)</f>
        <v>212-212</v>
      </c>
      <c r="AB378" s="13" t="str">
        <f>_xlfn.CONCAT(AA378,"…",TEXT(U378,"+00;-00;+00;"))</f>
        <v>212-212…+17</v>
      </c>
      <c r="AC378" s="23" t="str">
        <f>_xlfn.CONCAT(TEXT(P378,"+00;-00;+00;"),"…",TEXT(Q378,"+00;-00;+00;"))</f>
        <v>+12…-05</v>
      </c>
      <c r="AD378" s="14" t="str">
        <f>IF(X378="","?","")</f>
        <v/>
      </c>
      <c r="AE378" s="15" t="str">
        <f>_xlfn.CONCAT(AA378,"…",TEXT(P378,"+00;-00;+00;"),"...",TEXT(Q378,"+00;-00;+00;"))</f>
        <v>212-212…+12...-05</v>
      </c>
      <c r="AF378" s="13" t="str">
        <f>_xlfn.CONCAT(R378,"…",TEXT(P378,"+00;-00;+00;"),"...",TEXT(Q378,"+00;-00;+00;"))</f>
        <v>WDLWL…+12...-05</v>
      </c>
    </row>
    <row r="379" spans="1:32" x14ac:dyDescent="0.25">
      <c r="A379" s="13" t="s">
        <v>718</v>
      </c>
      <c r="B379" s="13" t="s">
        <v>59</v>
      </c>
      <c r="C379" s="14">
        <v>2</v>
      </c>
      <c r="D379" s="13" t="s">
        <v>749</v>
      </c>
      <c r="E379" s="13" t="s">
        <v>750</v>
      </c>
      <c r="F379" s="13" t="s">
        <v>30</v>
      </c>
      <c r="G379" s="13" t="s">
        <v>29</v>
      </c>
      <c r="H379" s="13" t="s">
        <v>31</v>
      </c>
      <c r="I379" s="13" t="s">
        <v>29</v>
      </c>
      <c r="J379" s="13" t="s">
        <v>30</v>
      </c>
      <c r="K379" s="13" t="s">
        <v>30</v>
      </c>
      <c r="L379" s="13" t="s">
        <v>30</v>
      </c>
      <c r="M379" s="13" t="s">
        <v>31</v>
      </c>
      <c r="N379" s="13" t="s">
        <v>31</v>
      </c>
      <c r="O379" s="13" t="s">
        <v>31</v>
      </c>
      <c r="P379" s="16">
        <v>-1</v>
      </c>
      <c r="Q379" s="16">
        <v>5</v>
      </c>
      <c r="R379" s="13" t="str">
        <f>_xlfn.CONCAT(F379,G379,H379,I379,J379)</f>
        <v>WDLDW</v>
      </c>
      <c r="S379" s="13" t="str">
        <f>_xlfn.CONCAT(K379,L379,M379,N379,O379)</f>
        <v>WWLLL</v>
      </c>
      <c r="T379" s="13" t="str">
        <f>_xlfn.CONCAT(R379,"***",S379)</f>
        <v>WDLDW***WWLLL</v>
      </c>
      <c r="U379" s="19">
        <f>(P379-Q379)</f>
        <v>-6</v>
      </c>
      <c r="V379" s="14">
        <v>0</v>
      </c>
      <c r="W379" s="14">
        <v>0</v>
      </c>
      <c r="X379" s="20" t="str">
        <f>IF(ISBLANK(V379),"",IF(V379&gt;W379,"1",IF(V379&lt;W379,"2",IF(V379=W379,"X"))))</f>
        <v>X</v>
      </c>
      <c r="Y379" s="23" t="str">
        <f>COUNTIF(F379:J379, "W")&amp;COUNTIF(F379:J379, "d")&amp;COUNTIF(F379:J379, "l")</f>
        <v>221</v>
      </c>
      <c r="Z379" s="13" t="str">
        <f>COUNTIF(K379:O379, "W")&amp;COUNTIF(K379:O379, "d")&amp;COUNTIF(K379:O379, "l")</f>
        <v>203</v>
      </c>
      <c r="AA379" s="23" t="str">
        <f>_xlfn.CONCAT(Y379,"-",Z379)</f>
        <v>221-203</v>
      </c>
      <c r="AB379" s="13" t="str">
        <f>_xlfn.CONCAT(AA379,"…",TEXT(U379,"+00;-00;+00;"))</f>
        <v>221-203…-06</v>
      </c>
      <c r="AC379" s="23" t="str">
        <f>_xlfn.CONCAT(TEXT(P379,"+00;-00;+00;"),"…",TEXT(Q379,"+00;-00;+00;"))</f>
        <v>-01…+05</v>
      </c>
      <c r="AD379" s="14" t="str">
        <f>IF(X379="","?","")</f>
        <v/>
      </c>
      <c r="AE379" s="15" t="str">
        <f>_xlfn.CONCAT(AA379,"…",TEXT(P379,"+00;-00;+00;"),"...",TEXT(Q379,"+00;-00;+00;"))</f>
        <v>221-203…-01...+05</v>
      </c>
      <c r="AF379" s="13" t="str">
        <f>_xlfn.CONCAT(R379,"…",TEXT(P379,"+00;-00;+00;"),"...",TEXT(Q379,"+00;-00;+00;"))</f>
        <v>WDLDW…-01...+05</v>
      </c>
    </row>
    <row r="380" spans="1:32" x14ac:dyDescent="0.25">
      <c r="A380" s="13" t="s">
        <v>718</v>
      </c>
      <c r="B380" s="13" t="s">
        <v>59</v>
      </c>
      <c r="C380" s="14">
        <v>2</v>
      </c>
      <c r="D380" s="13" t="s">
        <v>105</v>
      </c>
      <c r="E380" s="13" t="s">
        <v>748</v>
      </c>
      <c r="F380" s="13" t="s">
        <v>29</v>
      </c>
      <c r="G380" s="13" t="s">
        <v>29</v>
      </c>
      <c r="H380" s="13" t="s">
        <v>30</v>
      </c>
      <c r="I380" s="13" t="s">
        <v>30</v>
      </c>
      <c r="J380" s="13" t="s">
        <v>30</v>
      </c>
      <c r="K380" s="13" t="s">
        <v>30</v>
      </c>
      <c r="L380" s="13" t="s">
        <v>29</v>
      </c>
      <c r="M380" s="13" t="s">
        <v>29</v>
      </c>
      <c r="N380" s="13" t="s">
        <v>29</v>
      </c>
      <c r="O380" s="13" t="s">
        <v>29</v>
      </c>
      <c r="P380" s="16">
        <v>3</v>
      </c>
      <c r="Q380" s="16">
        <v>-5</v>
      </c>
      <c r="R380" s="13" t="str">
        <f>_xlfn.CONCAT(F380,G380,H380,I380,J380)</f>
        <v>DDWWW</v>
      </c>
      <c r="S380" s="13" t="str">
        <f>_xlfn.CONCAT(K380,L380,M380,N380,O380)</f>
        <v>WDDDD</v>
      </c>
      <c r="T380" s="13" t="str">
        <f>_xlfn.CONCAT(R380,"***",S380)</f>
        <v>DDWWW***WDDDD</v>
      </c>
      <c r="U380" s="19">
        <f>(P380-Q380)</f>
        <v>8</v>
      </c>
      <c r="V380" s="14">
        <v>5</v>
      </c>
      <c r="W380" s="14">
        <v>4</v>
      </c>
      <c r="X380" s="20" t="str">
        <f>IF(ISBLANK(V380),"",IF(V380&gt;W380,"1",IF(V380&lt;W380,"2",IF(V380=W380,"X"))))</f>
        <v>1</v>
      </c>
      <c r="Y380" s="23" t="str">
        <f>COUNTIF(F380:J380, "W")&amp;COUNTIF(F380:J380, "d")&amp;COUNTIF(F380:J380, "l")</f>
        <v>320</v>
      </c>
      <c r="Z380" s="13" t="str">
        <f>COUNTIF(K380:O380, "W")&amp;COUNTIF(K380:O380, "d")&amp;COUNTIF(K380:O380, "l")</f>
        <v>140</v>
      </c>
      <c r="AA380" s="23" t="str">
        <f>_xlfn.CONCAT(Y380,"-",Z380)</f>
        <v>320-140</v>
      </c>
      <c r="AB380" s="13" t="str">
        <f>_xlfn.CONCAT(AA380,"…",TEXT(U380,"+00;-00;+00;"))</f>
        <v>320-140…+08</v>
      </c>
      <c r="AC380" s="23" t="str">
        <f>_xlfn.CONCAT(TEXT(P380,"+00;-00;+00;"),"…",TEXT(Q380,"+00;-00;+00;"))</f>
        <v>+03…-05</v>
      </c>
      <c r="AD380" s="14" t="str">
        <f>IF(X380="","?","")</f>
        <v/>
      </c>
      <c r="AE380" s="15" t="str">
        <f>_xlfn.CONCAT(AA380,"…",TEXT(P380,"+00;-00;+00;"),"...",TEXT(Q380,"+00;-00;+00;"))</f>
        <v>320-140…+03...-05</v>
      </c>
      <c r="AF380" s="13" t="str">
        <f>_xlfn.CONCAT(R380,"…",TEXT(P380,"+00;-00;+00;"),"...",TEXT(Q380,"+00;-00;+00;"))</f>
        <v>DDWWW…+03...-05</v>
      </c>
    </row>
    <row r="381" spans="1:32" x14ac:dyDescent="0.25">
      <c r="A381" s="13" t="s">
        <v>718</v>
      </c>
      <c r="B381" s="13" t="s">
        <v>401</v>
      </c>
      <c r="C381" s="14">
        <v>1</v>
      </c>
      <c r="D381" s="13" t="s">
        <v>795</v>
      </c>
      <c r="E381" s="13" t="s">
        <v>403</v>
      </c>
      <c r="F381" s="13" t="s">
        <v>31</v>
      </c>
      <c r="G381" s="13" t="s">
        <v>30</v>
      </c>
      <c r="H381" s="13" t="s">
        <v>30</v>
      </c>
      <c r="I381" s="13" t="s">
        <v>30</v>
      </c>
      <c r="J381" s="13" t="s">
        <v>30</v>
      </c>
      <c r="K381" s="13" t="s">
        <v>29</v>
      </c>
      <c r="L381" s="13" t="s">
        <v>29</v>
      </c>
      <c r="M381" s="13" t="s">
        <v>31</v>
      </c>
      <c r="N381" s="13" t="s">
        <v>31</v>
      </c>
      <c r="O381" s="13" t="s">
        <v>29</v>
      </c>
      <c r="P381" s="16">
        <v>24</v>
      </c>
      <c r="Q381" s="16">
        <v>-2</v>
      </c>
      <c r="R381" s="13" t="str">
        <f>_xlfn.CONCAT(F381,G381,H381,I381,J381)</f>
        <v>LWWWW</v>
      </c>
      <c r="S381" s="13" t="str">
        <f>_xlfn.CONCAT(K381,L381,M381,N381,O381)</f>
        <v>DDLLD</v>
      </c>
      <c r="T381" s="13" t="str">
        <f>_xlfn.CONCAT(R381,"***",S381)</f>
        <v>LWWWW***DDLLD</v>
      </c>
      <c r="U381" s="19">
        <f>(P381-Q381)</f>
        <v>26</v>
      </c>
      <c r="V381" s="14">
        <v>4</v>
      </c>
      <c r="W381" s="14">
        <v>0</v>
      </c>
      <c r="X381" s="20" t="str">
        <f>IF(ISBLANK(V381),"",IF(V381&gt;W381,"1",IF(V381&lt;W381,"2",IF(V381=W381,"X"))))</f>
        <v>1</v>
      </c>
      <c r="Y381" s="23" t="str">
        <f>COUNTIF(F381:J381, "W")&amp;COUNTIF(F381:J381, "d")&amp;COUNTIF(F381:J381, "l")</f>
        <v>401</v>
      </c>
      <c r="Z381" s="13" t="str">
        <f>COUNTIF(K381:O381, "W")&amp;COUNTIF(K381:O381, "d")&amp;COUNTIF(K381:O381, "l")</f>
        <v>032</v>
      </c>
      <c r="AA381" s="23" t="str">
        <f>_xlfn.CONCAT(Y381,"-",Z381)</f>
        <v>401-032</v>
      </c>
      <c r="AB381" s="13" t="str">
        <f>_xlfn.CONCAT(AA381,"…",TEXT(U381,"+00;-00;+00;"))</f>
        <v>401-032…+26</v>
      </c>
      <c r="AC381" s="23" t="str">
        <f>_xlfn.CONCAT(TEXT(P381,"+00;-00;+00;"),"…",TEXT(Q381,"+00;-00;+00;"))</f>
        <v>+24…-02</v>
      </c>
      <c r="AD381" s="14" t="str">
        <f>IF(X381="","?","")</f>
        <v/>
      </c>
      <c r="AE381" s="15" t="str">
        <f>_xlfn.CONCAT(AA381,"…",TEXT(P381,"+00;-00;+00;"),"...",TEXT(Q381,"+00;-00;+00;"))</f>
        <v>401-032…+24...-02</v>
      </c>
      <c r="AF381" s="13" t="str">
        <f>_xlfn.CONCAT(R381,"…",TEXT(P381,"+00;-00;+00;"),"...",TEXT(Q381,"+00;-00;+00;"))</f>
        <v>LWWWW…+24...-02</v>
      </c>
    </row>
    <row r="382" spans="1:32" x14ac:dyDescent="0.25">
      <c r="A382" s="13" t="s">
        <v>256</v>
      </c>
      <c r="B382" s="13" t="s">
        <v>250</v>
      </c>
      <c r="C382" s="14">
        <v>1</v>
      </c>
      <c r="D382" s="13" t="s">
        <v>651</v>
      </c>
      <c r="E382" s="13" t="s">
        <v>652</v>
      </c>
      <c r="F382" s="13" t="s">
        <v>30</v>
      </c>
      <c r="G382" s="13" t="s">
        <v>30</v>
      </c>
      <c r="H382" s="13" t="s">
        <v>30</v>
      </c>
      <c r="I382" s="13" t="s">
        <v>29</v>
      </c>
      <c r="J382" s="13" t="s">
        <v>30</v>
      </c>
      <c r="K382" s="13" t="s">
        <v>30</v>
      </c>
      <c r="L382" s="13" t="s">
        <v>30</v>
      </c>
      <c r="M382" s="13" t="s">
        <v>29</v>
      </c>
      <c r="N382" s="13" t="s">
        <v>30</v>
      </c>
      <c r="O382" s="13" t="s">
        <v>30</v>
      </c>
      <c r="P382" s="16">
        <v>4</v>
      </c>
      <c r="Q382" s="16">
        <v>14</v>
      </c>
      <c r="R382" s="13" t="str">
        <f>_xlfn.CONCAT(F382,G382,H382,I382,J382)</f>
        <v>WWWDW</v>
      </c>
      <c r="S382" s="13" t="str">
        <f>_xlfn.CONCAT(K382,L382,M382,N382,O382)</f>
        <v>WWDWW</v>
      </c>
      <c r="T382" s="13" t="str">
        <f>_xlfn.CONCAT(R382,"***",S382)</f>
        <v>WWWDW***WWDWW</v>
      </c>
      <c r="U382" s="19">
        <f>(P382-Q382)</f>
        <v>-10</v>
      </c>
      <c r="V382" s="14">
        <v>0</v>
      </c>
      <c r="W382" s="14">
        <v>0</v>
      </c>
      <c r="X382" s="20" t="str">
        <f>IF(ISBLANK(V382),"",IF(V382&gt;W382,"1",IF(V382&lt;W382,"2",IF(V382=W382,"X"))))</f>
        <v>X</v>
      </c>
      <c r="Y382" s="23" t="str">
        <f>COUNTIF(F382:J382, "W")&amp;COUNTIF(F382:J382, "d")&amp;COUNTIF(F382:J382, "l")</f>
        <v>410</v>
      </c>
      <c r="Z382" s="13" t="str">
        <f>COUNTIF(K382:O382, "W")&amp;COUNTIF(K382:O382, "d")&amp;COUNTIF(K382:O382, "l")</f>
        <v>410</v>
      </c>
      <c r="AA382" s="23" t="str">
        <f>_xlfn.CONCAT(Y382,"-",Z382)</f>
        <v>410-410</v>
      </c>
      <c r="AB382" s="13" t="str">
        <f>_xlfn.CONCAT(AA382,"…",TEXT(U382,"+00;-00;+00;"))</f>
        <v>410-410…-10</v>
      </c>
      <c r="AC382" s="23" t="str">
        <f>_xlfn.CONCAT(TEXT(P382,"+00;-00;+00;"),"…",TEXT(Q382,"+00;-00;+00;"))</f>
        <v>+04…+14</v>
      </c>
      <c r="AD382" s="14" t="str">
        <f>IF(X382="","?","")</f>
        <v/>
      </c>
      <c r="AE382" s="15" t="str">
        <f>_xlfn.CONCAT(AA382,"…",TEXT(P382,"+00;-00;+00;"),"...",TEXT(Q382,"+00;-00;+00;"))</f>
        <v>410-410…+04...+14</v>
      </c>
      <c r="AF382" s="13" t="str">
        <f>_xlfn.CONCAT(R382,"…",TEXT(P382,"+00;-00;+00;"),"...",TEXT(Q382,"+00;-00;+00;"))</f>
        <v>WWWDW…+04...+14</v>
      </c>
    </row>
    <row r="383" spans="1:32" x14ac:dyDescent="0.25">
      <c r="A383" s="13" t="s">
        <v>756</v>
      </c>
      <c r="B383" s="13" t="s">
        <v>318</v>
      </c>
      <c r="C383" s="14">
        <v>1</v>
      </c>
      <c r="D383" s="13" t="s">
        <v>762</v>
      </c>
      <c r="E383" s="13" t="s">
        <v>763</v>
      </c>
      <c r="F383" s="13" t="s">
        <v>29</v>
      </c>
      <c r="G383" s="13" t="s">
        <v>30</v>
      </c>
      <c r="H383" s="13" t="s">
        <v>30</v>
      </c>
      <c r="I383" s="13" t="s">
        <v>30</v>
      </c>
      <c r="J383" s="13" t="s">
        <v>30</v>
      </c>
      <c r="K383" s="13" t="s">
        <v>30</v>
      </c>
      <c r="L383" s="13" t="s">
        <v>29</v>
      </c>
      <c r="M383" s="13" t="s">
        <v>31</v>
      </c>
      <c r="N383" s="13" t="s">
        <v>30</v>
      </c>
      <c r="O383" s="13" t="s">
        <v>30</v>
      </c>
      <c r="P383" s="16">
        <v>19</v>
      </c>
      <c r="Q383" s="16">
        <v>4</v>
      </c>
      <c r="R383" s="13" t="str">
        <f>_xlfn.CONCAT(F383,G383,H383,I383,J383)</f>
        <v>DWWWW</v>
      </c>
      <c r="S383" s="13" t="str">
        <f>_xlfn.CONCAT(K383,L383,M383,N383,O383)</f>
        <v>WDLWW</v>
      </c>
      <c r="T383" s="13" t="str">
        <f>_xlfn.CONCAT(R383,"***",S383)</f>
        <v>DWWWW***WDLWW</v>
      </c>
      <c r="U383" s="19">
        <f>(P383-Q383)</f>
        <v>15</v>
      </c>
      <c r="V383" s="14">
        <v>2</v>
      </c>
      <c r="W383" s="14">
        <v>1</v>
      </c>
      <c r="X383" s="20" t="str">
        <f>IF(ISBLANK(V383),"",IF(V383&gt;W383,"1",IF(V383&lt;W383,"2",IF(V383=W383,"X"))))</f>
        <v>1</v>
      </c>
      <c r="Y383" s="23" t="str">
        <f>COUNTIF(F383:J383, "W")&amp;COUNTIF(F383:J383, "d")&amp;COUNTIF(F383:J383, "l")</f>
        <v>410</v>
      </c>
      <c r="Z383" s="13" t="str">
        <f>COUNTIF(K383:O383, "W")&amp;COUNTIF(K383:O383, "d")&amp;COUNTIF(K383:O383, "l")</f>
        <v>311</v>
      </c>
      <c r="AA383" s="23" t="str">
        <f>_xlfn.CONCAT(Y383,"-",Z383)</f>
        <v>410-311</v>
      </c>
      <c r="AB383" s="13" t="str">
        <f>_xlfn.CONCAT(AA383,"…",TEXT(U383,"+00;-00;+00;"))</f>
        <v>410-311…+15</v>
      </c>
      <c r="AC383" s="23" t="str">
        <f>_xlfn.CONCAT(TEXT(P383,"+00;-00;+00;"),"…",TEXT(Q383,"+00;-00;+00;"))</f>
        <v>+19…+04</v>
      </c>
      <c r="AD383" s="14" t="str">
        <f>IF(X383="","?","")</f>
        <v/>
      </c>
      <c r="AE383" s="15" t="str">
        <f>_xlfn.CONCAT(AA383,"…",TEXT(P383,"+00;-00;+00;"),"...",TEXT(Q383,"+00;-00;+00;"))</f>
        <v>410-311…+19...+04</v>
      </c>
      <c r="AF383" s="13" t="str">
        <f>_xlfn.CONCAT(R383,"…",TEXT(P383,"+00;-00;+00;"),"...",TEXT(Q383,"+00;-00;+00;"))</f>
        <v>DWWWW…+19...+04</v>
      </c>
    </row>
    <row r="384" spans="1:32" x14ac:dyDescent="0.25">
      <c r="A384" s="13" t="s">
        <v>875</v>
      </c>
      <c r="B384" s="13" t="s">
        <v>208</v>
      </c>
      <c r="C384" s="14">
        <v>1</v>
      </c>
      <c r="D384" s="13" t="s">
        <v>876</v>
      </c>
      <c r="E384" s="13" t="s">
        <v>877</v>
      </c>
      <c r="F384" s="13" t="s">
        <v>29</v>
      </c>
      <c r="G384" s="13" t="s">
        <v>29</v>
      </c>
      <c r="H384" s="13" t="s">
        <v>29</v>
      </c>
      <c r="I384" s="13" t="s">
        <v>30</v>
      </c>
      <c r="J384" s="13" t="s">
        <v>30</v>
      </c>
      <c r="K384" s="13" t="s">
        <v>31</v>
      </c>
      <c r="L384" s="13" t="s">
        <v>29</v>
      </c>
      <c r="M384" s="13" t="s">
        <v>30</v>
      </c>
      <c r="N384" s="13" t="s">
        <v>29</v>
      </c>
      <c r="O384" s="13" t="s">
        <v>30</v>
      </c>
      <c r="P384" s="16">
        <v>-3</v>
      </c>
      <c r="Q384" s="16">
        <v>5</v>
      </c>
      <c r="R384" s="13" t="str">
        <f>_xlfn.CONCAT(F384,G384,H384,I384,J384)</f>
        <v>DDDWW</v>
      </c>
      <c r="S384" s="13" t="str">
        <f>_xlfn.CONCAT(K384,L384,M384,N384,O384)</f>
        <v>LDWDW</v>
      </c>
      <c r="T384" s="13" t="str">
        <f>_xlfn.CONCAT(R384,"***",S384)</f>
        <v>DDDWW***LDWDW</v>
      </c>
      <c r="U384" s="19">
        <f>(P384-Q384)</f>
        <v>-8</v>
      </c>
      <c r="V384" s="14">
        <v>2</v>
      </c>
      <c r="W384" s="14">
        <v>1</v>
      </c>
      <c r="X384" s="20" t="str">
        <f>IF(ISBLANK(V384),"",IF(V384&gt;W384,"1",IF(V384&lt;W384,"2",IF(V384=W384,"X"))))</f>
        <v>1</v>
      </c>
      <c r="Y384" s="23" t="str">
        <f>COUNTIF(F384:J384, "W")&amp;COUNTIF(F384:J384, "d")&amp;COUNTIF(F384:J384, "l")</f>
        <v>230</v>
      </c>
      <c r="Z384" s="13" t="str">
        <f>COUNTIF(K384:O384, "W")&amp;COUNTIF(K384:O384, "d")&amp;COUNTIF(K384:O384, "l")</f>
        <v>221</v>
      </c>
      <c r="AA384" s="23" t="str">
        <f>_xlfn.CONCAT(Y384,"-",Z384)</f>
        <v>230-221</v>
      </c>
      <c r="AB384" s="13" t="str">
        <f>_xlfn.CONCAT(AA384,"…",TEXT(U384,"+00;-00;+00;"))</f>
        <v>230-221…-08</v>
      </c>
      <c r="AC384" s="23" t="str">
        <f>_xlfn.CONCAT(TEXT(P384,"+00;-00;+00;"),"…",TEXT(Q384,"+00;-00;+00;"))</f>
        <v>-03…+05</v>
      </c>
      <c r="AD384" s="14" t="str">
        <f>IF(X384="","?","")</f>
        <v/>
      </c>
      <c r="AE384" s="15" t="str">
        <f>_xlfn.CONCAT(AA384,"…",TEXT(P384,"+00;-00;+00;"),"...",TEXT(Q384,"+00;-00;+00;"))</f>
        <v>230-221…-03...+05</v>
      </c>
      <c r="AF384" s="13" t="str">
        <f>_xlfn.CONCAT(R384,"…",TEXT(P384,"+00;-00;+00;"),"...",TEXT(Q384,"+00;-00;+00;"))</f>
        <v>DDDWW…-03...+05</v>
      </c>
    </row>
    <row r="385" spans="1:32" x14ac:dyDescent="0.25">
      <c r="A385" s="13" t="s">
        <v>811</v>
      </c>
      <c r="B385" s="13" t="s">
        <v>397</v>
      </c>
      <c r="C385" s="14" t="s">
        <v>0</v>
      </c>
      <c r="D385" s="13" t="s">
        <v>816</v>
      </c>
      <c r="E385" s="13" t="s">
        <v>817</v>
      </c>
      <c r="F385" s="13" t="s">
        <v>31</v>
      </c>
      <c r="G385" s="13" t="s">
        <v>30</v>
      </c>
      <c r="H385" s="13" t="s">
        <v>30</v>
      </c>
      <c r="I385" s="13" t="s">
        <v>29</v>
      </c>
      <c r="J385" s="13" t="s">
        <v>30</v>
      </c>
      <c r="K385" s="13" t="s">
        <v>31</v>
      </c>
      <c r="L385" s="13" t="s">
        <v>29</v>
      </c>
      <c r="M385" s="13" t="s">
        <v>30</v>
      </c>
      <c r="N385" s="13" t="s">
        <v>30</v>
      </c>
      <c r="O385" s="13" t="s">
        <v>29</v>
      </c>
      <c r="P385" s="16">
        <v>14</v>
      </c>
      <c r="Q385" s="16">
        <v>-1</v>
      </c>
      <c r="R385" s="13" t="str">
        <f>_xlfn.CONCAT(F385,G385,H385,I385,J385)</f>
        <v>LWWDW</v>
      </c>
      <c r="S385" s="13" t="str">
        <f>_xlfn.CONCAT(K385,L385,M385,N385,O385)</f>
        <v>LDWWD</v>
      </c>
      <c r="T385" s="13" t="str">
        <f>_xlfn.CONCAT(R385,"***",S385)</f>
        <v>LWWDW***LDWWD</v>
      </c>
      <c r="U385" s="19">
        <f>(P385-Q385)</f>
        <v>15</v>
      </c>
      <c r="V385" s="14">
        <v>2</v>
      </c>
      <c r="W385" s="14">
        <v>1</v>
      </c>
      <c r="X385" s="20" t="str">
        <f>IF(ISBLANK(V385),"",IF(V385&gt;W385,"1",IF(V385&lt;W385,"2",IF(V385=W385,"X"))))</f>
        <v>1</v>
      </c>
      <c r="Y385" s="23" t="str">
        <f>COUNTIF(F385:J385, "W")&amp;COUNTIF(F385:J385, "d")&amp;COUNTIF(F385:J385, "l")</f>
        <v>311</v>
      </c>
      <c r="Z385" s="13" t="str">
        <f>COUNTIF(K385:O385, "W")&amp;COUNTIF(K385:O385, "d")&amp;COUNTIF(K385:O385, "l")</f>
        <v>221</v>
      </c>
      <c r="AA385" s="23" t="str">
        <f>_xlfn.CONCAT(Y385,"-",Z385)</f>
        <v>311-221</v>
      </c>
      <c r="AB385" s="13" t="str">
        <f>_xlfn.CONCAT(AA385,"…",TEXT(U385,"+00;-00;+00;"))</f>
        <v>311-221…+15</v>
      </c>
      <c r="AC385" s="23" t="str">
        <f>_xlfn.CONCAT(TEXT(P385,"+00;-00;+00;"),"…",TEXT(Q385,"+00;-00;+00;"))</f>
        <v>+14…-01</v>
      </c>
      <c r="AD385" s="14" t="str">
        <f>IF(X385="","?","")</f>
        <v/>
      </c>
      <c r="AE385" s="15" t="str">
        <f>_xlfn.CONCAT(AA385,"…",TEXT(P385,"+00;-00;+00;"),"...",TEXT(Q385,"+00;-00;+00;"))</f>
        <v>311-221…+14...-01</v>
      </c>
      <c r="AF385" s="13" t="str">
        <f>_xlfn.CONCAT(R385,"…",TEXT(P385,"+00;-00;+00;"),"...",TEXT(Q385,"+00;-00;+00;"))</f>
        <v>LWWDW…+14...-01</v>
      </c>
    </row>
    <row r="386" spans="1:32" x14ac:dyDescent="0.25">
      <c r="A386" s="13" t="s">
        <v>811</v>
      </c>
      <c r="B386" s="13" t="s">
        <v>397</v>
      </c>
      <c r="C386" s="14" t="s">
        <v>0</v>
      </c>
      <c r="D386" s="13" t="s">
        <v>818</v>
      </c>
      <c r="E386" s="13" t="s">
        <v>819</v>
      </c>
      <c r="F386" s="13" t="s">
        <v>30</v>
      </c>
      <c r="G386" s="13" t="s">
        <v>29</v>
      </c>
      <c r="H386" s="13" t="s">
        <v>30</v>
      </c>
      <c r="I386" s="13" t="s">
        <v>31</v>
      </c>
      <c r="J386" s="13" t="s">
        <v>30</v>
      </c>
      <c r="K386" s="13" t="s">
        <v>30</v>
      </c>
      <c r="L386" s="13" t="s">
        <v>30</v>
      </c>
      <c r="M386" s="13" t="s">
        <v>30</v>
      </c>
      <c r="N386" s="13" t="s">
        <v>29</v>
      </c>
      <c r="O386" s="13" t="s">
        <v>29</v>
      </c>
      <c r="P386" s="16">
        <v>30</v>
      </c>
      <c r="Q386" s="16">
        <v>6</v>
      </c>
      <c r="R386" s="13" t="str">
        <f>_xlfn.CONCAT(F386,G386,H386,I386,J386)</f>
        <v>WDWLW</v>
      </c>
      <c r="S386" s="13" t="str">
        <f>_xlfn.CONCAT(K386,L386,M386,N386,O386)</f>
        <v>WWWDD</v>
      </c>
      <c r="T386" s="13" t="str">
        <f>_xlfn.CONCAT(R386,"***",S386)</f>
        <v>WDWLW***WWWDD</v>
      </c>
      <c r="U386" s="19">
        <f>(P386-Q386)</f>
        <v>24</v>
      </c>
      <c r="V386" s="14">
        <v>1</v>
      </c>
      <c r="W386" s="14">
        <v>0</v>
      </c>
      <c r="X386" s="20" t="str">
        <f>IF(ISBLANK(V386),"",IF(V386&gt;W386,"1",IF(V386&lt;W386,"2",IF(V386=W386,"X"))))</f>
        <v>1</v>
      </c>
      <c r="Y386" s="23" t="str">
        <f>COUNTIF(F386:J386, "W")&amp;COUNTIF(F386:J386, "d")&amp;COUNTIF(F386:J386, "l")</f>
        <v>311</v>
      </c>
      <c r="Z386" s="13" t="str">
        <f>COUNTIF(K386:O386, "W")&amp;COUNTIF(K386:O386, "d")&amp;COUNTIF(K386:O386, "l")</f>
        <v>320</v>
      </c>
      <c r="AA386" s="23" t="str">
        <f>_xlfn.CONCAT(Y386,"-",Z386)</f>
        <v>311-320</v>
      </c>
      <c r="AB386" s="13" t="str">
        <f>_xlfn.CONCAT(AA386,"…",TEXT(U386,"+00;-00;+00;"))</f>
        <v>311-320…+24</v>
      </c>
      <c r="AC386" s="23" t="str">
        <f>_xlfn.CONCAT(TEXT(P386,"+00;-00;+00;"),"…",TEXT(Q386,"+00;-00;+00;"))</f>
        <v>+30…+06</v>
      </c>
      <c r="AD386" s="14" t="str">
        <f>IF(X386="","?","")</f>
        <v/>
      </c>
      <c r="AE386" s="15" t="str">
        <f>_xlfn.CONCAT(AA386,"…",TEXT(P386,"+00;-00;+00;"),"...",TEXT(Q386,"+00;-00;+00;"))</f>
        <v>311-320…+30...+06</v>
      </c>
      <c r="AF386" s="13" t="str">
        <f>_xlfn.CONCAT(R386,"…",TEXT(P386,"+00;-00;+00;"),"...",TEXT(Q386,"+00;-00;+00;"))</f>
        <v>WDWLW…+30...+06</v>
      </c>
    </row>
    <row r="387" spans="1:32" x14ac:dyDescent="0.25">
      <c r="A387" s="13" t="s">
        <v>629</v>
      </c>
      <c r="B387" s="13" t="s">
        <v>167</v>
      </c>
      <c r="C387" s="14">
        <v>1</v>
      </c>
      <c r="D387" s="13" t="s">
        <v>702</v>
      </c>
      <c r="E387" s="13" t="s">
        <v>703</v>
      </c>
      <c r="F387" s="13" t="s">
        <v>29</v>
      </c>
      <c r="G387" s="13" t="s">
        <v>31</v>
      </c>
      <c r="H387" s="13" t="s">
        <v>29</v>
      </c>
      <c r="I387" s="13" t="s">
        <v>31</v>
      </c>
      <c r="J387" s="13" t="s">
        <v>30</v>
      </c>
      <c r="K387" s="13" t="s">
        <v>30</v>
      </c>
      <c r="L387" s="13" t="s">
        <v>31</v>
      </c>
      <c r="M387" s="13" t="s">
        <v>31</v>
      </c>
      <c r="N387" s="13" t="s">
        <v>29</v>
      </c>
      <c r="O387" s="13" t="s">
        <v>31</v>
      </c>
      <c r="P387" s="16">
        <v>-1</v>
      </c>
      <c r="Q387" s="16">
        <v>2</v>
      </c>
      <c r="R387" s="13" t="str">
        <f>_xlfn.CONCAT(F387,G387,H387,I387,J387)</f>
        <v>DLDLW</v>
      </c>
      <c r="S387" s="13" t="str">
        <f>_xlfn.CONCAT(K387,L387,M387,N387,O387)</f>
        <v>WLLDL</v>
      </c>
      <c r="T387" s="13" t="str">
        <f>_xlfn.CONCAT(R387,"***",S387)</f>
        <v>DLDLW***WLLDL</v>
      </c>
      <c r="U387" s="19">
        <f>(P387-Q387)</f>
        <v>-3</v>
      </c>
      <c r="V387" s="14">
        <v>2</v>
      </c>
      <c r="W387" s="14">
        <v>0</v>
      </c>
      <c r="X387" s="20" t="str">
        <f>IF(ISBLANK(V387),"",IF(V387&gt;W387,"1",IF(V387&lt;W387,"2",IF(V387=W387,"X"))))</f>
        <v>1</v>
      </c>
      <c r="Y387" s="23" t="str">
        <f>COUNTIF(F387:J387, "W")&amp;COUNTIF(F387:J387, "d")&amp;COUNTIF(F387:J387, "l")</f>
        <v>122</v>
      </c>
      <c r="Z387" s="13" t="str">
        <f>COUNTIF(K387:O387, "W")&amp;COUNTIF(K387:O387, "d")&amp;COUNTIF(K387:O387, "l")</f>
        <v>113</v>
      </c>
      <c r="AA387" s="23" t="str">
        <f>_xlfn.CONCAT(Y387,"-",Z387)</f>
        <v>122-113</v>
      </c>
      <c r="AB387" s="13" t="str">
        <f>_xlfn.CONCAT(AA387,"…",TEXT(U387,"+00;-00;+00;"))</f>
        <v>122-113…-03</v>
      </c>
      <c r="AC387" s="23" t="str">
        <f>_xlfn.CONCAT(TEXT(P387,"+00;-00;+00;"),"…",TEXT(Q387,"+00;-00;+00;"))</f>
        <v>-01…+02</v>
      </c>
      <c r="AD387" s="14" t="str">
        <f>IF(X387="","?","")</f>
        <v/>
      </c>
      <c r="AE387" s="15" t="str">
        <f>_xlfn.CONCAT(AA387,"…",TEXT(P387,"+00;-00;+00;"),"...",TEXT(Q387,"+00;-00;+00;"))</f>
        <v>122-113…-01...+02</v>
      </c>
      <c r="AF387" s="13" t="str">
        <f>_xlfn.CONCAT(R387,"…",TEXT(P387,"+00;-00;+00;"),"...",TEXT(Q387,"+00;-00;+00;"))</f>
        <v>DLDLW…-01...+02</v>
      </c>
    </row>
    <row r="388" spans="1:32" x14ac:dyDescent="0.25">
      <c r="A388" s="13" t="s">
        <v>629</v>
      </c>
      <c r="B388" s="13" t="s">
        <v>117</v>
      </c>
      <c r="C388" s="14" t="s">
        <v>0</v>
      </c>
      <c r="D388" s="13" t="s">
        <v>641</v>
      </c>
      <c r="E388" s="13" t="s">
        <v>141</v>
      </c>
      <c r="F388" s="13" t="s">
        <v>30</v>
      </c>
      <c r="G388" s="13" t="s">
        <v>31</v>
      </c>
      <c r="H388" s="13" t="s">
        <v>30</v>
      </c>
      <c r="I388" s="13" t="s">
        <v>29</v>
      </c>
      <c r="J388" s="13" t="s">
        <v>30</v>
      </c>
      <c r="K388" s="13" t="s">
        <v>29</v>
      </c>
      <c r="L388" s="13" t="s">
        <v>30</v>
      </c>
      <c r="M388" s="13" t="s">
        <v>30</v>
      </c>
      <c r="N388" s="13" t="s">
        <v>30</v>
      </c>
      <c r="O388" s="13" t="s">
        <v>30</v>
      </c>
      <c r="P388" s="16">
        <v>12</v>
      </c>
      <c r="Q388" s="16">
        <v>23</v>
      </c>
      <c r="R388" s="13" t="str">
        <f>_xlfn.CONCAT(F388,G388,H388,I388,J388)</f>
        <v>WLWDW</v>
      </c>
      <c r="S388" s="13" t="str">
        <f>_xlfn.CONCAT(K388,L388,M388,N388,O388)</f>
        <v>DWWWW</v>
      </c>
      <c r="T388" s="13" t="str">
        <f>_xlfn.CONCAT(R388,"***",S388)</f>
        <v>WLWDW***DWWWW</v>
      </c>
      <c r="U388" s="19">
        <f>(P388-Q388)</f>
        <v>-11</v>
      </c>
      <c r="V388" s="14">
        <v>0</v>
      </c>
      <c r="W388" s="14">
        <v>3</v>
      </c>
      <c r="X388" s="20" t="str">
        <f>IF(ISBLANK(V388),"",IF(V388&gt;W388,"1",IF(V388&lt;W388,"2",IF(V388=W388,"X"))))</f>
        <v>2</v>
      </c>
      <c r="Y388" s="23" t="str">
        <f>COUNTIF(F388:J388, "W")&amp;COUNTIF(F388:J388, "d")&amp;COUNTIF(F388:J388, "l")</f>
        <v>311</v>
      </c>
      <c r="Z388" s="13" t="str">
        <f>COUNTIF(K388:O388, "W")&amp;COUNTIF(K388:O388, "d")&amp;COUNTIF(K388:O388, "l")</f>
        <v>410</v>
      </c>
      <c r="AA388" s="23" t="str">
        <f>_xlfn.CONCAT(Y388,"-",Z388)</f>
        <v>311-410</v>
      </c>
      <c r="AB388" s="13" t="str">
        <f>_xlfn.CONCAT(AA388,"…",TEXT(U388,"+00;-00;+00;"))</f>
        <v>311-410…-11</v>
      </c>
      <c r="AC388" s="23" t="str">
        <f>_xlfn.CONCAT(TEXT(P388,"+00;-00;+00;"),"…",TEXT(Q388,"+00;-00;+00;"))</f>
        <v>+12…+23</v>
      </c>
      <c r="AD388" s="14" t="str">
        <f>IF(X388="","?","")</f>
        <v/>
      </c>
      <c r="AE388" s="15" t="str">
        <f>_xlfn.CONCAT(AA388,"…",TEXT(P388,"+00;-00;+00;"),"...",TEXT(Q388,"+00;-00;+00;"))</f>
        <v>311-410…+12...+23</v>
      </c>
      <c r="AF388" s="13" t="str">
        <f>_xlfn.CONCAT(R388,"…",TEXT(P388,"+00;-00;+00;"),"...",TEXT(Q388,"+00;-00;+00;"))</f>
        <v>WLWDW…+12...+23</v>
      </c>
    </row>
    <row r="389" spans="1:32" x14ac:dyDescent="0.25">
      <c r="A389" s="13" t="s">
        <v>719</v>
      </c>
      <c r="B389" s="13" t="s">
        <v>59</v>
      </c>
      <c r="C389" s="14">
        <v>2</v>
      </c>
      <c r="D389" s="13" t="s">
        <v>751</v>
      </c>
      <c r="E389" s="13" t="s">
        <v>752</v>
      </c>
      <c r="F389" s="13" t="s">
        <v>31</v>
      </c>
      <c r="G389" s="13" t="s">
        <v>30</v>
      </c>
      <c r="H389" s="13" t="s">
        <v>29</v>
      </c>
      <c r="I389" s="13" t="s">
        <v>31</v>
      </c>
      <c r="J389" s="13" t="s">
        <v>31</v>
      </c>
      <c r="K389" s="13" t="s">
        <v>29</v>
      </c>
      <c r="L389" s="13" t="s">
        <v>29</v>
      </c>
      <c r="M389" s="13" t="s">
        <v>30</v>
      </c>
      <c r="N389" s="13" t="s">
        <v>31</v>
      </c>
      <c r="O389" s="13" t="s">
        <v>29</v>
      </c>
      <c r="P389" s="16">
        <v>-10</v>
      </c>
      <c r="Q389" s="16">
        <v>-2</v>
      </c>
      <c r="R389" s="13" t="str">
        <f>_xlfn.CONCAT(F389,G389,H389,I389,J389)</f>
        <v>LWDLL</v>
      </c>
      <c r="S389" s="13" t="str">
        <f>_xlfn.CONCAT(K389,L389,M389,N389,O389)</f>
        <v>DDWLD</v>
      </c>
      <c r="T389" s="13" t="str">
        <f>_xlfn.CONCAT(R389,"***",S389)</f>
        <v>LWDLL***DDWLD</v>
      </c>
      <c r="U389" s="21">
        <f>(P389-Q389)</f>
        <v>-8</v>
      </c>
      <c r="V389" s="14">
        <v>0</v>
      </c>
      <c r="W389" s="14">
        <v>1</v>
      </c>
      <c r="X389" s="20" t="str">
        <f>IF(ISBLANK(V389),"",IF(V389&gt;W389,"1",IF(V389&lt;W389,"2",IF(V389=W389,"X"))))</f>
        <v>2</v>
      </c>
      <c r="Y389" s="23" t="str">
        <f>COUNTIF(F389:J389, "W")&amp;COUNTIF(F389:J389, "d")&amp;COUNTIF(F389:J389, "l")</f>
        <v>113</v>
      </c>
      <c r="Z389" s="13" t="str">
        <f>COUNTIF(K389:O389, "W")&amp;COUNTIF(K389:O389, "d")&amp;COUNTIF(K389:O389, "l")</f>
        <v>131</v>
      </c>
      <c r="AA389" s="23" t="str">
        <f>_xlfn.CONCAT(Y389,"-",Z389)</f>
        <v>113-131</v>
      </c>
      <c r="AB389" s="13" t="str">
        <f>_xlfn.CONCAT(AA389,"…",TEXT(U389,"+00;-00;+00;"))</f>
        <v>113-131…-08</v>
      </c>
      <c r="AC389" s="23" t="str">
        <f>_xlfn.CONCAT(TEXT(P389,"+00;-00;+00;"),"…",TEXT(Q389,"+00;-00;+00;"))</f>
        <v>-10…-02</v>
      </c>
      <c r="AD389" s="14" t="str">
        <f>IF(X389="","?","")</f>
        <v/>
      </c>
      <c r="AE389" s="15" t="str">
        <f>_xlfn.CONCAT(AA389,"…",TEXT(P389,"+00;-00;+00;"),"...",TEXT(Q389,"+00;-00;+00;"))</f>
        <v>113-131…-10...-02</v>
      </c>
      <c r="AF389" s="13" t="str">
        <f>_xlfn.CONCAT(R389,"…",TEXT(P389,"+00;-00;+00;"),"...",TEXT(Q389,"+00;-00;+00;"))</f>
        <v>LWDLL…-10...-02</v>
      </c>
    </row>
    <row r="390" spans="1:32" x14ac:dyDescent="0.25">
      <c r="A390" s="13" t="s">
        <v>719</v>
      </c>
      <c r="B390" s="13" t="s">
        <v>59</v>
      </c>
      <c r="C390" s="14">
        <v>1</v>
      </c>
      <c r="D390" s="13" t="s">
        <v>69</v>
      </c>
      <c r="E390" s="13" t="s">
        <v>734</v>
      </c>
      <c r="F390" s="13" t="s">
        <v>29</v>
      </c>
      <c r="G390" s="13" t="s">
        <v>30</v>
      </c>
      <c r="H390" s="13" t="s">
        <v>30</v>
      </c>
      <c r="I390" s="13" t="s">
        <v>31</v>
      </c>
      <c r="J390" s="13" t="s">
        <v>30</v>
      </c>
      <c r="K390" s="13" t="s">
        <v>30</v>
      </c>
      <c r="L390" s="13" t="s">
        <v>30</v>
      </c>
      <c r="M390" s="13" t="s">
        <v>31</v>
      </c>
      <c r="N390" s="13" t="s">
        <v>30</v>
      </c>
      <c r="O390" s="13" t="s">
        <v>30</v>
      </c>
      <c r="P390" s="16">
        <v>13</v>
      </c>
      <c r="Q390" s="16">
        <v>18</v>
      </c>
      <c r="R390" s="13" t="str">
        <f>_xlfn.CONCAT(F390,G390,H390,I390,J390)</f>
        <v>DWWLW</v>
      </c>
      <c r="S390" s="13" t="str">
        <f>_xlfn.CONCAT(K390,L390,M390,N390,O390)</f>
        <v>WWLWW</v>
      </c>
      <c r="T390" s="13" t="str">
        <f>_xlfn.CONCAT(R390,"***",S390)</f>
        <v>DWWLW***WWLWW</v>
      </c>
      <c r="U390" s="21">
        <f>(P390-Q390)</f>
        <v>-5</v>
      </c>
      <c r="V390" s="14">
        <v>1</v>
      </c>
      <c r="W390" s="14">
        <v>0</v>
      </c>
      <c r="X390" s="20" t="str">
        <f>IF(ISBLANK(V390),"",IF(V390&gt;W390,"1",IF(V390&lt;W390,"2",IF(V390=W390,"X"))))</f>
        <v>1</v>
      </c>
      <c r="Y390" s="23" t="str">
        <f>COUNTIF(F390:J390, "W")&amp;COUNTIF(F390:J390, "d")&amp;COUNTIF(F390:J390, "l")</f>
        <v>311</v>
      </c>
      <c r="Z390" s="13" t="str">
        <f>COUNTIF(K390:O390, "W")&amp;COUNTIF(K390:O390, "d")&amp;COUNTIF(K390:O390, "l")</f>
        <v>401</v>
      </c>
      <c r="AA390" s="23" t="str">
        <f>_xlfn.CONCAT(Y390,"-",Z390)</f>
        <v>311-401</v>
      </c>
      <c r="AB390" s="13" t="str">
        <f>_xlfn.CONCAT(AA390,"…",TEXT(U390,"+00;-00;+00;"))</f>
        <v>311-401…-05</v>
      </c>
      <c r="AC390" s="23" t="str">
        <f>_xlfn.CONCAT(TEXT(P390,"+00;-00;+00;"),"…",TEXT(Q390,"+00;-00;+00;"))</f>
        <v>+13…+18</v>
      </c>
      <c r="AD390" s="14" t="str">
        <f>IF(X390="","?","")</f>
        <v/>
      </c>
      <c r="AE390" s="15" t="str">
        <f>_xlfn.CONCAT(AA390,"…",TEXT(P390,"+00;-00;+00;"),"...",TEXT(Q390,"+00;-00;+00;"))</f>
        <v>311-401…+13...+18</v>
      </c>
      <c r="AF390" s="13" t="str">
        <f>_xlfn.CONCAT(R390,"…",TEXT(P390,"+00;-00;+00;"),"...",TEXT(Q390,"+00;-00;+00;"))</f>
        <v>DWWLW…+13...+18</v>
      </c>
    </row>
    <row r="391" spans="1:32" x14ac:dyDescent="0.25">
      <c r="A391" s="13" t="s">
        <v>257</v>
      </c>
      <c r="B391" s="13" t="s">
        <v>250</v>
      </c>
      <c r="C391" s="14">
        <v>1</v>
      </c>
      <c r="D391" s="13" t="s">
        <v>270</v>
      </c>
      <c r="E391" s="13" t="s">
        <v>271</v>
      </c>
      <c r="F391" s="13" t="s">
        <v>31</v>
      </c>
      <c r="G391" s="13" t="s">
        <v>31</v>
      </c>
      <c r="H391" s="13" t="s">
        <v>31</v>
      </c>
      <c r="I391" s="13" t="s">
        <v>29</v>
      </c>
      <c r="J391" s="13" t="s">
        <v>29</v>
      </c>
      <c r="K391" s="13" t="s">
        <v>31</v>
      </c>
      <c r="L391" s="13" t="s">
        <v>31</v>
      </c>
      <c r="M391" s="13" t="s">
        <v>31</v>
      </c>
      <c r="N391" s="13" t="s">
        <v>31</v>
      </c>
      <c r="O391" s="13" t="s">
        <v>31</v>
      </c>
      <c r="P391" s="16">
        <v>-1</v>
      </c>
      <c r="Q391" s="16">
        <v>-8</v>
      </c>
      <c r="R391" s="13" t="str">
        <f>_xlfn.CONCAT(F391,G391,H391,I391,J391)</f>
        <v>LLLDD</v>
      </c>
      <c r="S391" s="13" t="str">
        <f>_xlfn.CONCAT(K391,L391,M391,N391,O391)</f>
        <v>LLLLL</v>
      </c>
      <c r="T391" s="13" t="str">
        <f>_xlfn.CONCAT(R391,"***",S391)</f>
        <v>LLLDD***LLLLL</v>
      </c>
      <c r="U391" s="21">
        <f>(P391-Q391)</f>
        <v>7</v>
      </c>
      <c r="V391" s="14">
        <v>0</v>
      </c>
      <c r="W391" s="14">
        <v>4</v>
      </c>
      <c r="X391" s="20" t="str">
        <f>IF(ISBLANK(V391),"",IF(V391&gt;W391,"1",IF(V391&lt;W391,"2",IF(V391=W391,"X"))))</f>
        <v>2</v>
      </c>
      <c r="Y391" s="23" t="str">
        <f>COUNTIF(F391:J391, "W")&amp;COUNTIF(F391:J391, "d")&amp;COUNTIF(F391:J391, "l")</f>
        <v>023</v>
      </c>
      <c r="Z391" s="13" t="str">
        <f>COUNTIF(K391:O391, "W")&amp;COUNTIF(K391:O391, "d")&amp;COUNTIF(K391:O391, "l")</f>
        <v>005</v>
      </c>
      <c r="AA391" s="23" t="str">
        <f>_xlfn.CONCAT(Y391,"-",Z391)</f>
        <v>023-005</v>
      </c>
      <c r="AB391" s="13" t="str">
        <f>_xlfn.CONCAT(AA391,"…",TEXT(U391,"+00;-00;+00;"))</f>
        <v>023-005…+07</v>
      </c>
      <c r="AC391" s="23" t="str">
        <f>_xlfn.CONCAT(TEXT(P391,"+00;-00;+00;"),"…",TEXT(Q391,"+00;-00;+00;"))</f>
        <v>-01…-08</v>
      </c>
      <c r="AD391" s="14" t="str">
        <f>IF(X391="","?","")</f>
        <v/>
      </c>
      <c r="AE391" s="15" t="str">
        <f>_xlfn.CONCAT(AA391,"…",TEXT(P391,"+00;-00;+00;"),"...",TEXT(Q391,"+00;-00;+00;"))</f>
        <v>023-005…-01...-08</v>
      </c>
      <c r="AF391" s="13" t="str">
        <f>_xlfn.CONCAT(R391,"…",TEXT(P391,"+00;-00;+00;"),"...",TEXT(Q391,"+00;-00;+00;"))</f>
        <v>LLLDD…-01...-08</v>
      </c>
    </row>
    <row r="392" spans="1:32" x14ac:dyDescent="0.25">
      <c r="A392" s="13" t="s">
        <v>812</v>
      </c>
      <c r="B392" s="13" t="s">
        <v>397</v>
      </c>
      <c r="C392" s="14" t="s">
        <v>0</v>
      </c>
      <c r="D392" s="13" t="s">
        <v>820</v>
      </c>
      <c r="E392" s="13" t="s">
        <v>821</v>
      </c>
      <c r="F392" s="13" t="s">
        <v>31</v>
      </c>
      <c r="G392" s="13" t="s">
        <v>31</v>
      </c>
      <c r="H392" s="13" t="s">
        <v>31</v>
      </c>
      <c r="I392" s="13" t="s">
        <v>31</v>
      </c>
      <c r="J392" s="13" t="s">
        <v>29</v>
      </c>
      <c r="K392" s="13" t="s">
        <v>31</v>
      </c>
      <c r="L392" s="13" t="s">
        <v>30</v>
      </c>
      <c r="M392" s="13" t="s">
        <v>29</v>
      </c>
      <c r="N392" s="13" t="s">
        <v>31</v>
      </c>
      <c r="O392" s="13" t="s">
        <v>31</v>
      </c>
      <c r="P392" s="16">
        <v>-39</v>
      </c>
      <c r="Q392" s="16">
        <v>-5</v>
      </c>
      <c r="R392" s="13" t="str">
        <f>_xlfn.CONCAT(F392,G392,H392,I392,J392)</f>
        <v>LLLLD</v>
      </c>
      <c r="S392" s="13" t="str">
        <f>_xlfn.CONCAT(K392,L392,M392,N392,O392)</f>
        <v>LWDLL</v>
      </c>
      <c r="T392" s="13" t="str">
        <f>_xlfn.CONCAT(R392,"***",S392)</f>
        <v>LLLLD***LWDLL</v>
      </c>
      <c r="U392" s="21">
        <f>(P392-Q392)</f>
        <v>-34</v>
      </c>
      <c r="V392" s="14">
        <v>3</v>
      </c>
      <c r="W392" s="14">
        <v>2</v>
      </c>
      <c r="X392" s="20" t="str">
        <f>IF(ISBLANK(V392),"",IF(V392&gt;W392,"1",IF(V392&lt;W392,"2",IF(V392=W392,"X"))))</f>
        <v>1</v>
      </c>
      <c r="Y392" s="23" t="str">
        <f>COUNTIF(F392:J392, "W")&amp;COUNTIF(F392:J392, "d")&amp;COUNTIF(F392:J392, "l")</f>
        <v>014</v>
      </c>
      <c r="Z392" s="13" t="str">
        <f>COUNTIF(K392:O392, "W")&amp;COUNTIF(K392:O392, "d")&amp;COUNTIF(K392:O392, "l")</f>
        <v>113</v>
      </c>
      <c r="AA392" s="23" t="str">
        <f>_xlfn.CONCAT(Y392,"-",Z392)</f>
        <v>014-113</v>
      </c>
      <c r="AB392" s="13" t="str">
        <f>_xlfn.CONCAT(AA392,"…",TEXT(U392,"+00;-00;+00;"))</f>
        <v>014-113…-34</v>
      </c>
      <c r="AC392" s="23" t="str">
        <f>_xlfn.CONCAT(TEXT(P392,"+00;-00;+00;"),"…",TEXT(Q392,"+00;-00;+00;"))</f>
        <v>-39…-05</v>
      </c>
      <c r="AD392" s="14" t="str">
        <f>IF(X392="","?","")</f>
        <v/>
      </c>
      <c r="AE392" s="15" t="str">
        <f>_xlfn.CONCAT(AA392,"…",TEXT(P392,"+00;-00;+00;"),"...",TEXT(Q392,"+00;-00;+00;"))</f>
        <v>014-113…-39...-05</v>
      </c>
      <c r="AF392" s="13" t="str">
        <f>_xlfn.CONCAT(R392,"…",TEXT(P392,"+00;-00;+00;"),"...",TEXT(Q392,"+00;-00;+00;"))</f>
        <v>LLLLD…-39...-05</v>
      </c>
    </row>
    <row r="393" spans="1:32" x14ac:dyDescent="0.25">
      <c r="A393" s="13" t="s">
        <v>812</v>
      </c>
      <c r="B393" s="13" t="s">
        <v>397</v>
      </c>
      <c r="C393" s="14" t="s">
        <v>0</v>
      </c>
      <c r="D393" s="13" t="s">
        <v>785</v>
      </c>
      <c r="E393" s="13" t="s">
        <v>824</v>
      </c>
      <c r="F393" s="13" t="s">
        <v>31</v>
      </c>
      <c r="G393" s="13" t="s">
        <v>31</v>
      </c>
      <c r="H393" s="13" t="s">
        <v>31</v>
      </c>
      <c r="I393" s="13" t="s">
        <v>29</v>
      </c>
      <c r="J393" s="13" t="s">
        <v>31</v>
      </c>
      <c r="K393" s="13" t="s">
        <v>29</v>
      </c>
      <c r="L393" s="13" t="s">
        <v>31</v>
      </c>
      <c r="M393" s="13" t="s">
        <v>30</v>
      </c>
      <c r="N393" s="13" t="s">
        <v>30</v>
      </c>
      <c r="O393" s="13" t="s">
        <v>31</v>
      </c>
      <c r="P393" s="16">
        <v>14</v>
      </c>
      <c r="Q393" s="16">
        <v>-29</v>
      </c>
      <c r="R393" s="13" t="str">
        <f>_xlfn.CONCAT(F393,G393,H393,I393,J393)</f>
        <v>LLLDL</v>
      </c>
      <c r="S393" s="13" t="str">
        <f>_xlfn.CONCAT(K393,L393,M393,N393,O393)</f>
        <v>DLWWL</v>
      </c>
      <c r="T393" s="13" t="str">
        <f>_xlfn.CONCAT(R393,"***",S393)</f>
        <v>LLLDL***DLWWL</v>
      </c>
      <c r="U393" s="21">
        <f>(P393-Q393)</f>
        <v>43</v>
      </c>
      <c r="V393" s="14">
        <v>1</v>
      </c>
      <c r="W393" s="14">
        <v>0</v>
      </c>
      <c r="X393" s="20" t="str">
        <f>IF(ISBLANK(V393),"",IF(V393&gt;W393,"1",IF(V393&lt;W393,"2",IF(V393=W393,"X"))))</f>
        <v>1</v>
      </c>
      <c r="Y393" s="23" t="str">
        <f>COUNTIF(F393:J393, "W")&amp;COUNTIF(F393:J393, "d")&amp;COUNTIF(F393:J393, "l")</f>
        <v>014</v>
      </c>
      <c r="Z393" s="13" t="str">
        <f>COUNTIF(K393:O393, "W")&amp;COUNTIF(K393:O393, "d")&amp;COUNTIF(K393:O393, "l")</f>
        <v>212</v>
      </c>
      <c r="AA393" s="23" t="str">
        <f>_xlfn.CONCAT(Y393,"-",Z393)</f>
        <v>014-212</v>
      </c>
      <c r="AB393" s="13" t="str">
        <f>_xlfn.CONCAT(AA393,"…",TEXT(U393,"+00;-00;+00;"))</f>
        <v>014-212…+43</v>
      </c>
      <c r="AC393" s="23" t="str">
        <f>_xlfn.CONCAT(TEXT(P393,"+00;-00;+00;"),"…",TEXT(Q393,"+00;-00;+00;"))</f>
        <v>+14…-29</v>
      </c>
      <c r="AD393" s="14" t="str">
        <f>IF(X393="","?","")</f>
        <v/>
      </c>
      <c r="AE393" s="15" t="str">
        <f>_xlfn.CONCAT(AA393,"…",TEXT(P393,"+00;-00;+00;"),"...",TEXT(Q393,"+00;-00;+00;"))</f>
        <v>014-212…+14...-29</v>
      </c>
      <c r="AF393" s="13" t="str">
        <f>_xlfn.CONCAT(R393,"…",TEXT(P393,"+00;-00;+00;"),"...",TEXT(Q393,"+00;-00;+00;"))</f>
        <v>LLLDL…+14...-29</v>
      </c>
    </row>
    <row r="394" spans="1:32" x14ac:dyDescent="0.25">
      <c r="A394" s="13" t="s">
        <v>812</v>
      </c>
      <c r="B394" s="13" t="s">
        <v>397</v>
      </c>
      <c r="C394" s="14" t="s">
        <v>0</v>
      </c>
      <c r="D394" s="13" t="s">
        <v>784</v>
      </c>
      <c r="E394" s="13" t="s">
        <v>822</v>
      </c>
      <c r="F394" s="13" t="s">
        <v>29</v>
      </c>
      <c r="G394" s="13" t="s">
        <v>29</v>
      </c>
      <c r="H394" s="13" t="s">
        <v>29</v>
      </c>
      <c r="I394" s="13" t="s">
        <v>29</v>
      </c>
      <c r="J394" s="13" t="s">
        <v>31</v>
      </c>
      <c r="K394" s="13" t="s">
        <v>31</v>
      </c>
      <c r="L394" s="13" t="s">
        <v>29</v>
      </c>
      <c r="M394" s="13" t="s">
        <v>29</v>
      </c>
      <c r="N394" s="13" t="s">
        <v>30</v>
      </c>
      <c r="O394" s="13" t="s">
        <v>29</v>
      </c>
      <c r="P394" s="16">
        <v>8</v>
      </c>
      <c r="Q394" s="16">
        <v>-21</v>
      </c>
      <c r="R394" s="13" t="str">
        <f>_xlfn.CONCAT(F394,G394,H394,I394,J394)</f>
        <v>DDDDL</v>
      </c>
      <c r="S394" s="13" t="str">
        <f>_xlfn.CONCAT(K394,L394,M394,N394,O394)</f>
        <v>LDDWD</v>
      </c>
      <c r="T394" s="13" t="str">
        <f>_xlfn.CONCAT(R394,"***",S394)</f>
        <v>DDDDL***LDDWD</v>
      </c>
      <c r="U394" s="21">
        <f>(P394-Q394)</f>
        <v>29</v>
      </c>
      <c r="V394" s="14">
        <v>3</v>
      </c>
      <c r="W394" s="14">
        <v>0</v>
      </c>
      <c r="X394" s="20" t="str">
        <f>IF(ISBLANK(V394),"",IF(V394&gt;W394,"1",IF(V394&lt;W394,"2",IF(V394=W394,"X"))))</f>
        <v>1</v>
      </c>
      <c r="Y394" s="23" t="str">
        <f>COUNTIF(F394:J394, "W")&amp;COUNTIF(F394:J394, "d")&amp;COUNTIF(F394:J394, "l")</f>
        <v>041</v>
      </c>
      <c r="Z394" s="13" t="str">
        <f>COUNTIF(K394:O394, "W")&amp;COUNTIF(K394:O394, "d")&amp;COUNTIF(K394:O394, "l")</f>
        <v>131</v>
      </c>
      <c r="AA394" s="23" t="str">
        <f>_xlfn.CONCAT(Y394,"-",Z394)</f>
        <v>041-131</v>
      </c>
      <c r="AB394" s="13" t="str">
        <f>_xlfn.CONCAT(AA394,"…",TEXT(U394,"+00;-00;+00;"))</f>
        <v>041-131…+29</v>
      </c>
      <c r="AC394" s="23" t="str">
        <f>_xlfn.CONCAT(TEXT(P394,"+00;-00;+00;"),"…",TEXT(Q394,"+00;-00;+00;"))</f>
        <v>+08…-21</v>
      </c>
      <c r="AD394" s="14" t="str">
        <f>IF(X394="","?","")</f>
        <v/>
      </c>
      <c r="AE394" s="15" t="str">
        <f>_xlfn.CONCAT(AA394,"…",TEXT(P394,"+00;-00;+00;"),"...",TEXT(Q394,"+00;-00;+00;"))</f>
        <v>041-131…+08...-21</v>
      </c>
      <c r="AF394" s="13" t="str">
        <f>_xlfn.CONCAT(R394,"…",TEXT(P394,"+00;-00;+00;"),"...",TEXT(Q394,"+00;-00;+00;"))</f>
        <v>DDDDL…+08...-21</v>
      </c>
    </row>
    <row r="395" spans="1:32" x14ac:dyDescent="0.25">
      <c r="A395" s="13" t="s">
        <v>812</v>
      </c>
      <c r="B395" s="13" t="s">
        <v>397</v>
      </c>
      <c r="C395" s="14" t="s">
        <v>0</v>
      </c>
      <c r="D395" s="13" t="s">
        <v>823</v>
      </c>
      <c r="E395" s="13" t="s">
        <v>783</v>
      </c>
      <c r="F395" s="13" t="s">
        <v>29</v>
      </c>
      <c r="G395" s="13" t="s">
        <v>29</v>
      </c>
      <c r="H395" s="13" t="s">
        <v>29</v>
      </c>
      <c r="I395" s="13" t="s">
        <v>29</v>
      </c>
      <c r="J395" s="13" t="s">
        <v>31</v>
      </c>
      <c r="K395" s="13" t="s">
        <v>29</v>
      </c>
      <c r="L395" s="13" t="s">
        <v>30</v>
      </c>
      <c r="M395" s="13" t="s">
        <v>29</v>
      </c>
      <c r="N395" s="13" t="s">
        <v>30</v>
      </c>
      <c r="O395" s="13" t="s">
        <v>31</v>
      </c>
      <c r="P395" s="16">
        <v>23</v>
      </c>
      <c r="Q395" s="16">
        <v>3</v>
      </c>
      <c r="R395" s="13" t="str">
        <f>_xlfn.CONCAT(F395,G395,H395,I395,J395)</f>
        <v>DDDDL</v>
      </c>
      <c r="S395" s="13" t="str">
        <f>_xlfn.CONCAT(K395,L395,M395,N395,O395)</f>
        <v>DWDWL</v>
      </c>
      <c r="T395" s="13" t="str">
        <f>_xlfn.CONCAT(R395,"***",S395)</f>
        <v>DDDDL***DWDWL</v>
      </c>
      <c r="U395" s="21">
        <f>(P395-Q395)</f>
        <v>20</v>
      </c>
      <c r="V395" s="14">
        <v>0</v>
      </c>
      <c r="W395" s="14">
        <v>0</v>
      </c>
      <c r="X395" s="20" t="str">
        <f>IF(ISBLANK(V395),"",IF(V395&gt;W395,"1",IF(V395&lt;W395,"2",IF(V395=W395,"X"))))</f>
        <v>X</v>
      </c>
      <c r="Y395" s="23" t="str">
        <f>COUNTIF(F395:J395, "W")&amp;COUNTIF(F395:J395, "d")&amp;COUNTIF(F395:J395, "l")</f>
        <v>041</v>
      </c>
      <c r="Z395" s="13" t="str">
        <f>COUNTIF(K395:O395, "W")&amp;COUNTIF(K395:O395, "d")&amp;COUNTIF(K395:O395, "l")</f>
        <v>221</v>
      </c>
      <c r="AA395" s="23" t="str">
        <f>_xlfn.CONCAT(Y395,"-",Z395)</f>
        <v>041-221</v>
      </c>
      <c r="AB395" s="13" t="str">
        <f>_xlfn.CONCAT(AA395,"…",TEXT(U395,"+00;-00;+00;"))</f>
        <v>041-221…+20</v>
      </c>
      <c r="AC395" s="23" t="str">
        <f>_xlfn.CONCAT(TEXT(P395,"+00;-00;+00;"),"…",TEXT(Q395,"+00;-00;+00;"))</f>
        <v>+23…+03</v>
      </c>
      <c r="AD395" s="14" t="str">
        <f>IF(X395="","?","")</f>
        <v/>
      </c>
      <c r="AE395" s="15" t="str">
        <f>_xlfn.CONCAT(AA395,"…",TEXT(P395,"+00;-00;+00;"),"...",TEXT(Q395,"+00;-00;+00;"))</f>
        <v>041-221…+23...+03</v>
      </c>
      <c r="AF395" s="13" t="str">
        <f>_xlfn.CONCAT(R395,"…",TEXT(P395,"+00;-00;+00;"),"...",TEXT(Q395,"+00;-00;+00;"))</f>
        <v>DDDDL…+23...+03</v>
      </c>
    </row>
    <row r="396" spans="1:32" x14ac:dyDescent="0.25">
      <c r="A396" s="13" t="s">
        <v>812</v>
      </c>
      <c r="B396" s="13" t="s">
        <v>397</v>
      </c>
      <c r="C396" s="14" t="s">
        <v>0</v>
      </c>
      <c r="D396" s="13" t="s">
        <v>825</v>
      </c>
      <c r="E396" s="13" t="s">
        <v>782</v>
      </c>
      <c r="F396" s="13" t="s">
        <v>30</v>
      </c>
      <c r="G396" s="13" t="s">
        <v>29</v>
      </c>
      <c r="H396" s="13" t="s">
        <v>29</v>
      </c>
      <c r="I396" s="13" t="s">
        <v>31</v>
      </c>
      <c r="J396" s="13" t="s">
        <v>31</v>
      </c>
      <c r="K396" s="13" t="s">
        <v>31</v>
      </c>
      <c r="L396" s="13" t="s">
        <v>31</v>
      </c>
      <c r="M396" s="13" t="s">
        <v>31</v>
      </c>
      <c r="N396" s="13" t="s">
        <v>31</v>
      </c>
      <c r="O396" s="13" t="s">
        <v>30</v>
      </c>
      <c r="P396" s="16">
        <v>-1</v>
      </c>
      <c r="Q396" s="16">
        <v>-17</v>
      </c>
      <c r="R396" s="13" t="str">
        <f>_xlfn.CONCAT(F396,G396,H396,I396,J396)</f>
        <v>WDDLL</v>
      </c>
      <c r="S396" s="13" t="str">
        <f>_xlfn.CONCAT(K396,L396,M396,N396,O396)</f>
        <v>LLLLW</v>
      </c>
      <c r="T396" s="13" t="str">
        <f>_xlfn.CONCAT(R396,"***",S396)</f>
        <v>WDDLL***LLLLW</v>
      </c>
      <c r="U396" s="21">
        <f>(P396-Q396)</f>
        <v>16</v>
      </c>
      <c r="V396" s="14">
        <v>1</v>
      </c>
      <c r="W396" s="14">
        <v>0</v>
      </c>
      <c r="X396" s="20" t="str">
        <f>IF(ISBLANK(V396),"",IF(V396&gt;W396,"1",IF(V396&lt;W396,"2",IF(V396=W396,"X"))))</f>
        <v>1</v>
      </c>
      <c r="Y396" s="23" t="str">
        <f>COUNTIF(F396:J396, "W")&amp;COUNTIF(F396:J396, "d")&amp;COUNTIF(F396:J396, "l")</f>
        <v>122</v>
      </c>
      <c r="Z396" s="13" t="str">
        <f>COUNTIF(K396:O396, "W")&amp;COUNTIF(K396:O396, "d")&amp;COUNTIF(K396:O396, "l")</f>
        <v>104</v>
      </c>
      <c r="AA396" s="23" t="str">
        <f>_xlfn.CONCAT(Y396,"-",Z396)</f>
        <v>122-104</v>
      </c>
      <c r="AB396" s="13" t="str">
        <f>_xlfn.CONCAT(AA396,"…",TEXT(U396,"+00;-00;+00;"))</f>
        <v>122-104…+16</v>
      </c>
      <c r="AC396" s="23" t="str">
        <f>_xlfn.CONCAT(TEXT(P396,"+00;-00;+00;"),"…",TEXT(Q396,"+00;-00;+00;"))</f>
        <v>-01…-17</v>
      </c>
      <c r="AD396" s="14" t="str">
        <f>IF(X396="","?","")</f>
        <v/>
      </c>
      <c r="AE396" s="15" t="str">
        <f>_xlfn.CONCAT(AA396,"…",TEXT(P396,"+00;-00;+00;"),"...",TEXT(Q396,"+00;-00;+00;"))</f>
        <v>122-104…-01...-17</v>
      </c>
      <c r="AF396" s="13" t="str">
        <f>_xlfn.CONCAT(R396,"…",TEXT(P396,"+00;-00;+00;"),"...",TEXT(Q396,"+00;-00;+00;"))</f>
        <v>WDDLL…-01...-17</v>
      </c>
    </row>
    <row r="397" spans="1:32" x14ac:dyDescent="0.25">
      <c r="A397" s="13" t="s">
        <v>812</v>
      </c>
      <c r="B397" s="13" t="s">
        <v>397</v>
      </c>
      <c r="C397" s="14" t="s">
        <v>0</v>
      </c>
      <c r="D397" s="13" t="s">
        <v>781</v>
      </c>
      <c r="E397" s="13" t="s">
        <v>826</v>
      </c>
      <c r="F397" s="13" t="s">
        <v>30</v>
      </c>
      <c r="G397" s="13" t="s">
        <v>31</v>
      </c>
      <c r="H397" s="13" t="s">
        <v>31</v>
      </c>
      <c r="I397" s="13" t="s">
        <v>30</v>
      </c>
      <c r="J397" s="13" t="s">
        <v>30</v>
      </c>
      <c r="K397" s="13" t="s">
        <v>31</v>
      </c>
      <c r="L397" s="13" t="s">
        <v>29</v>
      </c>
      <c r="M397" s="13" t="s">
        <v>29</v>
      </c>
      <c r="N397" s="13" t="s">
        <v>30</v>
      </c>
      <c r="O397" s="13" t="s">
        <v>30</v>
      </c>
      <c r="P397" s="16">
        <v>5</v>
      </c>
      <c r="Q397" s="16">
        <v>-10</v>
      </c>
      <c r="R397" s="13" t="str">
        <f>_xlfn.CONCAT(F397,G397,H397,I397,J397)</f>
        <v>WLLWW</v>
      </c>
      <c r="S397" s="13" t="str">
        <f>_xlfn.CONCAT(K397,L397,M397,N397,O397)</f>
        <v>LDDWW</v>
      </c>
      <c r="T397" s="13" t="str">
        <f>_xlfn.CONCAT(R397,"***",S397)</f>
        <v>WLLWW***LDDWW</v>
      </c>
      <c r="U397" s="21">
        <f>(P397-Q397)</f>
        <v>15</v>
      </c>
      <c r="V397" s="14">
        <v>1</v>
      </c>
      <c r="W397" s="14">
        <v>0</v>
      </c>
      <c r="X397" s="20" t="str">
        <f>IF(ISBLANK(V397),"",IF(V397&gt;W397,"1",IF(V397&lt;W397,"2",IF(V397=W397,"X"))))</f>
        <v>1</v>
      </c>
      <c r="Y397" s="23" t="str">
        <f>COUNTIF(F397:J397, "W")&amp;COUNTIF(F397:J397, "d")&amp;COUNTIF(F397:J397, "l")</f>
        <v>302</v>
      </c>
      <c r="Z397" s="13" t="str">
        <f>COUNTIF(K397:O397, "W")&amp;COUNTIF(K397:O397, "d")&amp;COUNTIF(K397:O397, "l")</f>
        <v>221</v>
      </c>
      <c r="AA397" s="23" t="str">
        <f>_xlfn.CONCAT(Y397,"-",Z397)</f>
        <v>302-221</v>
      </c>
      <c r="AB397" s="13" t="str">
        <f>_xlfn.CONCAT(AA397,"…",TEXT(U397,"+00;-00;+00;"))</f>
        <v>302-221…+15</v>
      </c>
      <c r="AC397" s="23" t="str">
        <f>_xlfn.CONCAT(TEXT(P397,"+00;-00;+00;"),"…",TEXT(Q397,"+00;-00;+00;"))</f>
        <v>+05…-10</v>
      </c>
      <c r="AD397" s="14" t="str">
        <f>IF(X397="","?","")</f>
        <v/>
      </c>
      <c r="AE397" s="15" t="str">
        <f>_xlfn.CONCAT(AA397,"…",TEXT(P397,"+00;-00;+00;"),"...",TEXT(Q397,"+00;-00;+00;"))</f>
        <v>302-221…+05...-10</v>
      </c>
      <c r="AF397" s="13" t="str">
        <f>_xlfn.CONCAT(R397,"…",TEXT(P397,"+00;-00;+00;"),"...",TEXT(Q397,"+00;-00;+00;"))</f>
        <v>WLLWW…+05...-10</v>
      </c>
    </row>
    <row r="398" spans="1:32" x14ac:dyDescent="0.25">
      <c r="A398" s="13" t="s">
        <v>787</v>
      </c>
      <c r="B398" s="13" t="s">
        <v>401</v>
      </c>
      <c r="C398" s="14">
        <v>1</v>
      </c>
      <c r="D398" s="13" t="s">
        <v>796</v>
      </c>
      <c r="E398" s="13" t="s">
        <v>411</v>
      </c>
      <c r="F398" s="13" t="s">
        <v>30</v>
      </c>
      <c r="G398" s="13" t="s">
        <v>30</v>
      </c>
      <c r="H398" s="13" t="s">
        <v>30</v>
      </c>
      <c r="I398" s="13" t="s">
        <v>31</v>
      </c>
      <c r="J398" s="13" t="s">
        <v>30</v>
      </c>
      <c r="K398" s="13" t="s">
        <v>29</v>
      </c>
      <c r="L398" s="13" t="s">
        <v>31</v>
      </c>
      <c r="M398" s="13" t="s">
        <v>31</v>
      </c>
      <c r="N398" s="13" t="s">
        <v>30</v>
      </c>
      <c r="O398" s="13" t="s">
        <v>30</v>
      </c>
      <c r="P398" s="16">
        <v>16</v>
      </c>
      <c r="Q398" s="16">
        <v>-6</v>
      </c>
      <c r="R398" s="13" t="str">
        <f>_xlfn.CONCAT(F398,G398,H398,I398,J398)</f>
        <v>WWWLW</v>
      </c>
      <c r="S398" s="13" t="str">
        <f>_xlfn.CONCAT(K398,L398,M398,N398,O398)</f>
        <v>DLLWW</v>
      </c>
      <c r="T398" s="13" t="str">
        <f>_xlfn.CONCAT(R398,"***",S398)</f>
        <v>WWWLW***DLLWW</v>
      </c>
      <c r="U398" s="21">
        <f>(P398-Q398)</f>
        <v>22</v>
      </c>
      <c r="V398" s="14">
        <v>3</v>
      </c>
      <c r="W398" s="14">
        <v>0</v>
      </c>
      <c r="X398" s="20" t="str">
        <f>IF(ISBLANK(V398),"",IF(V398&gt;W398,"1",IF(V398&lt;W398,"2",IF(V398=W398,"X"))))</f>
        <v>1</v>
      </c>
      <c r="Y398" s="23" t="str">
        <f>COUNTIF(F398:J398, "W")&amp;COUNTIF(F398:J398, "d")&amp;COUNTIF(F398:J398, "l")</f>
        <v>401</v>
      </c>
      <c r="Z398" s="13" t="str">
        <f>COUNTIF(K398:O398, "W")&amp;COUNTIF(K398:O398, "d")&amp;COUNTIF(K398:O398, "l")</f>
        <v>212</v>
      </c>
      <c r="AA398" s="23" t="str">
        <f>_xlfn.CONCAT(Y398,"-",Z398)</f>
        <v>401-212</v>
      </c>
      <c r="AB398" s="13" t="str">
        <f>_xlfn.CONCAT(AA398,"…",TEXT(U398,"+00;-00;+00;"))</f>
        <v>401-212…+22</v>
      </c>
      <c r="AC398" s="23" t="str">
        <f>_xlfn.CONCAT(TEXT(P398,"+00;-00;+00;"),"…",TEXT(Q398,"+00;-00;+00;"))</f>
        <v>+16…-06</v>
      </c>
      <c r="AD398" s="14" t="str">
        <f>IF(X398="","?","")</f>
        <v/>
      </c>
      <c r="AE398" s="15" t="str">
        <f>_xlfn.CONCAT(AA398,"…",TEXT(P398,"+00;-00;+00;"),"...",TEXT(Q398,"+00;-00;+00;"))</f>
        <v>401-212…+16...-06</v>
      </c>
      <c r="AF398" s="13" t="str">
        <f>_xlfn.CONCAT(R398,"…",TEXT(P398,"+00;-00;+00;"),"...",TEXT(Q398,"+00;-00;+00;"))</f>
        <v>WWWLW…+16...-06</v>
      </c>
    </row>
    <row r="399" spans="1:32" x14ac:dyDescent="0.25">
      <c r="A399" s="13" t="s">
        <v>600</v>
      </c>
      <c r="B399" s="13" t="s">
        <v>339</v>
      </c>
      <c r="C399" s="14">
        <v>1</v>
      </c>
      <c r="D399" s="13" t="s">
        <v>358</v>
      </c>
      <c r="E399" s="13" t="s">
        <v>362</v>
      </c>
      <c r="F399" s="13" t="s">
        <v>30</v>
      </c>
      <c r="G399" s="13" t="s">
        <v>29</v>
      </c>
      <c r="H399" s="13" t="s">
        <v>31</v>
      </c>
      <c r="I399" s="13" t="s">
        <v>30</v>
      </c>
      <c r="J399" s="13" t="s">
        <v>30</v>
      </c>
      <c r="K399" s="13" t="s">
        <v>29</v>
      </c>
      <c r="L399" s="13" t="s">
        <v>31</v>
      </c>
      <c r="M399" s="13" t="s">
        <v>29</v>
      </c>
      <c r="N399" s="13" t="s">
        <v>30</v>
      </c>
      <c r="O399" s="13" t="s">
        <v>31</v>
      </c>
      <c r="P399" s="16">
        <v>24</v>
      </c>
      <c r="Q399" s="16">
        <v>-4</v>
      </c>
      <c r="R399" s="13" t="str">
        <f>_xlfn.CONCAT(F399,G399,H399,I399,J399)</f>
        <v>WDLWW</v>
      </c>
      <c r="S399" s="13" t="str">
        <f>_xlfn.CONCAT(K399,L399,M399,N399,O399)</f>
        <v>DLDWL</v>
      </c>
      <c r="T399" s="13" t="str">
        <f>_xlfn.CONCAT(R399,"***",S399)</f>
        <v>WDLWW***DLDWL</v>
      </c>
      <c r="U399" s="21">
        <f>(P399-Q399)</f>
        <v>28</v>
      </c>
      <c r="V399" s="14">
        <v>4</v>
      </c>
      <c r="W399" s="14">
        <v>1</v>
      </c>
      <c r="X399" s="20" t="str">
        <f>IF(ISBLANK(V399),"",IF(V399&gt;W399,"1",IF(V399&lt;W399,"2",IF(V399=W399,"X"))))</f>
        <v>1</v>
      </c>
      <c r="Y399" s="23" t="str">
        <f>COUNTIF(F399:J399, "W")&amp;COUNTIF(F399:J399, "d")&amp;COUNTIF(F399:J399, "l")</f>
        <v>311</v>
      </c>
      <c r="Z399" s="13" t="str">
        <f>COUNTIF(K399:O399, "W")&amp;COUNTIF(K399:O399, "d")&amp;COUNTIF(K399:O399, "l")</f>
        <v>122</v>
      </c>
      <c r="AA399" s="23" t="str">
        <f>_xlfn.CONCAT(Y399,"-",Z399)</f>
        <v>311-122</v>
      </c>
      <c r="AB399" s="13" t="str">
        <f>_xlfn.CONCAT(AA399,"…",TEXT(U399,"+00;-00;+00;"))</f>
        <v>311-122…+28</v>
      </c>
      <c r="AC399" s="23" t="str">
        <f>_xlfn.CONCAT(TEXT(P399,"+00;-00;+00;"),"…",TEXT(Q399,"+00;-00;+00;"))</f>
        <v>+24…-04</v>
      </c>
      <c r="AD399" s="14" t="str">
        <f>IF(X399="","?","")</f>
        <v/>
      </c>
      <c r="AE399" s="15" t="str">
        <f>_xlfn.CONCAT(AA399,"…",TEXT(P399,"+00;-00;+00;"),"...",TEXT(Q399,"+00;-00;+00;"))</f>
        <v>311-122…+24...-04</v>
      </c>
      <c r="AF399" s="13" t="str">
        <f>_xlfn.CONCAT(R399,"…",TEXT(P399,"+00;-00;+00;"),"...",TEXT(Q399,"+00;-00;+00;"))</f>
        <v>WDLWW…+24...-04</v>
      </c>
    </row>
    <row r="400" spans="1:32" x14ac:dyDescent="0.25">
      <c r="A400" s="13" t="s">
        <v>827</v>
      </c>
      <c r="B400" s="13" t="s">
        <v>250</v>
      </c>
      <c r="C400" s="14">
        <v>2</v>
      </c>
      <c r="D400" s="13" t="s">
        <v>866</v>
      </c>
      <c r="E400" s="13" t="s">
        <v>281</v>
      </c>
      <c r="F400" s="13" t="s">
        <v>31</v>
      </c>
      <c r="G400" s="13" t="s">
        <v>30</v>
      </c>
      <c r="H400" s="13" t="s">
        <v>31</v>
      </c>
      <c r="I400" s="13" t="s">
        <v>31</v>
      </c>
      <c r="J400" s="13" t="s">
        <v>30</v>
      </c>
      <c r="K400" s="13" t="s">
        <v>30</v>
      </c>
      <c r="L400" s="13" t="s">
        <v>29</v>
      </c>
      <c r="M400" s="13" t="s">
        <v>31</v>
      </c>
      <c r="N400" s="13" t="s">
        <v>31</v>
      </c>
      <c r="O400" s="13" t="s">
        <v>30</v>
      </c>
      <c r="P400" s="16">
        <v>-7</v>
      </c>
      <c r="Q400" s="16">
        <v>3</v>
      </c>
      <c r="R400" s="13" t="str">
        <f>_xlfn.CONCAT(F400,G400,H400,I400,J400)</f>
        <v>LWLLW</v>
      </c>
      <c r="S400" s="13" t="str">
        <f>_xlfn.CONCAT(K400,L400,M400,N400,O400)</f>
        <v>WDLLW</v>
      </c>
      <c r="T400" s="13" t="str">
        <f>_xlfn.CONCAT(R400,"***",S400)</f>
        <v>LWLLW***WDLLW</v>
      </c>
      <c r="U400" s="21">
        <f>(P400-Q400)</f>
        <v>-10</v>
      </c>
      <c r="V400" s="14">
        <v>3</v>
      </c>
      <c r="W400" s="14">
        <v>2</v>
      </c>
      <c r="X400" s="20" t="str">
        <f>IF(ISBLANK(V400),"",IF(V400&gt;W400,"1",IF(V400&lt;W400,"2",IF(V400=W400,"X"))))</f>
        <v>1</v>
      </c>
      <c r="Y400" s="23" t="str">
        <f>COUNTIF(F400:J400, "W")&amp;COUNTIF(F400:J400, "d")&amp;COUNTIF(F400:J400, "l")</f>
        <v>203</v>
      </c>
      <c r="Z400" s="13" t="str">
        <f>COUNTIF(K400:O400, "W")&amp;COUNTIF(K400:O400, "d")&amp;COUNTIF(K400:O400, "l")</f>
        <v>212</v>
      </c>
      <c r="AA400" s="23" t="str">
        <f>_xlfn.CONCAT(Y400,"-",Z400)</f>
        <v>203-212</v>
      </c>
      <c r="AB400" s="13" t="str">
        <f>_xlfn.CONCAT(AA400,"…",TEXT(U400,"+00;-00;+00;"))</f>
        <v>203-212…-10</v>
      </c>
      <c r="AC400" s="23" t="str">
        <f>_xlfn.CONCAT(TEXT(P400,"+00;-00;+00;"),"…",TEXT(Q400,"+00;-00;+00;"))</f>
        <v>-07…+03</v>
      </c>
      <c r="AD400" s="14" t="str">
        <f>IF(X400="","?","")</f>
        <v/>
      </c>
      <c r="AE400" s="15" t="str">
        <f>_xlfn.CONCAT(AA400,"…",TEXT(P400,"+00;-00;+00;"),"...",TEXT(Q400,"+00;-00;+00;"))</f>
        <v>203-212…-07...+03</v>
      </c>
      <c r="AF400" s="13" t="str">
        <f>_xlfn.CONCAT(R400,"…",TEXT(P400,"+00;-00;+00;"),"...",TEXT(Q400,"+00;-00;+00;"))</f>
        <v>LWLLW…-07...+03</v>
      </c>
    </row>
    <row r="401" spans="1:32" x14ac:dyDescent="0.25">
      <c r="A401" s="13" t="s">
        <v>827</v>
      </c>
      <c r="B401" s="13" t="s">
        <v>364</v>
      </c>
      <c r="C401" s="14">
        <v>1</v>
      </c>
      <c r="D401" s="13" t="s">
        <v>834</v>
      </c>
      <c r="E401" s="13" t="s">
        <v>369</v>
      </c>
      <c r="F401" s="13" t="s">
        <v>30</v>
      </c>
      <c r="G401" s="13" t="s">
        <v>30</v>
      </c>
      <c r="H401" s="13" t="s">
        <v>30</v>
      </c>
      <c r="I401" s="13" t="s">
        <v>30</v>
      </c>
      <c r="J401" s="13" t="s">
        <v>30</v>
      </c>
      <c r="K401" s="13" t="s">
        <v>30</v>
      </c>
      <c r="L401" s="13" t="s">
        <v>31</v>
      </c>
      <c r="M401" s="13" t="s">
        <v>30</v>
      </c>
      <c r="N401" s="13" t="s">
        <v>29</v>
      </c>
      <c r="O401" s="13" t="s">
        <v>31</v>
      </c>
      <c r="P401" s="16">
        <v>10</v>
      </c>
      <c r="Q401" s="16">
        <v>-8</v>
      </c>
      <c r="R401" s="13" t="str">
        <f>_xlfn.CONCAT(F401,G401,H401,I401,J401)</f>
        <v>WWWWW</v>
      </c>
      <c r="S401" s="13" t="str">
        <f>_xlfn.CONCAT(K401,L401,M401,N401,O401)</f>
        <v>WLWDL</v>
      </c>
      <c r="T401" s="13" t="str">
        <f>_xlfn.CONCAT(R401,"***",S401)</f>
        <v>WWWWW***WLWDL</v>
      </c>
      <c r="U401" s="21">
        <f>(P401-Q401)</f>
        <v>18</v>
      </c>
      <c r="V401" s="14">
        <v>5</v>
      </c>
      <c r="W401" s="14">
        <v>1</v>
      </c>
      <c r="X401" s="20" t="str">
        <f>IF(ISBLANK(V401),"",IF(V401&gt;W401,"1",IF(V401&lt;W401,"2",IF(V401=W401,"X"))))</f>
        <v>1</v>
      </c>
      <c r="Y401" s="23" t="str">
        <f>COUNTIF(F401:J401, "W")&amp;COUNTIF(F401:J401, "d")&amp;COUNTIF(F401:J401, "l")</f>
        <v>500</v>
      </c>
      <c r="Z401" s="13" t="str">
        <f>COUNTIF(K401:O401, "W")&amp;COUNTIF(K401:O401, "d")&amp;COUNTIF(K401:O401, "l")</f>
        <v>212</v>
      </c>
      <c r="AA401" s="23" t="str">
        <f>_xlfn.CONCAT(Y401,"-",Z401)</f>
        <v>500-212</v>
      </c>
      <c r="AB401" s="13" t="str">
        <f>_xlfn.CONCAT(AA401,"…",TEXT(U401,"+00;-00;+00;"))</f>
        <v>500-212…+18</v>
      </c>
      <c r="AC401" s="23" t="str">
        <f>_xlfn.CONCAT(TEXT(P401,"+00;-00;+00;"),"…",TEXT(Q401,"+00;-00;+00;"))</f>
        <v>+10…-08</v>
      </c>
      <c r="AD401" s="14" t="str">
        <f>IF(X401="","?","")</f>
        <v/>
      </c>
      <c r="AE401" s="15" t="str">
        <f>_xlfn.CONCAT(AA401,"…",TEXT(P401,"+00;-00;+00;"),"...",TEXT(Q401,"+00;-00;+00;"))</f>
        <v>500-212…+10...-08</v>
      </c>
      <c r="AF401" s="13" t="str">
        <f>_xlfn.CONCAT(R401,"…",TEXT(P401,"+00;-00;+00;"),"...",TEXT(Q401,"+00;-00;+00;"))</f>
        <v>WWWWW…+10...-08</v>
      </c>
    </row>
    <row r="402" spans="1:32" x14ac:dyDescent="0.25">
      <c r="A402" s="13" t="s">
        <v>788</v>
      </c>
      <c r="B402" s="13" t="s">
        <v>401</v>
      </c>
      <c r="C402" s="14">
        <v>1</v>
      </c>
      <c r="D402" s="13" t="s">
        <v>410</v>
      </c>
      <c r="E402" s="13" t="s">
        <v>797</v>
      </c>
      <c r="F402" s="13" t="s">
        <v>30</v>
      </c>
      <c r="G402" s="13" t="s">
        <v>30</v>
      </c>
      <c r="H402" s="13" t="s">
        <v>29</v>
      </c>
      <c r="I402" s="13" t="s">
        <v>30</v>
      </c>
      <c r="J402" s="13" t="s">
        <v>30</v>
      </c>
      <c r="K402" s="13" t="s">
        <v>30</v>
      </c>
      <c r="L402" s="13" t="s">
        <v>30</v>
      </c>
      <c r="M402" s="13" t="s">
        <v>31</v>
      </c>
      <c r="N402" s="13" t="s">
        <v>30</v>
      </c>
      <c r="O402" s="13" t="s">
        <v>30</v>
      </c>
      <c r="P402" s="16">
        <v>13</v>
      </c>
      <c r="Q402" s="16">
        <v>4</v>
      </c>
      <c r="R402" s="13" t="str">
        <f>_xlfn.CONCAT(F402,G402,H402,I402,J402)</f>
        <v>WWDWW</v>
      </c>
      <c r="S402" s="13" t="str">
        <f>_xlfn.CONCAT(K402,L402,M402,N402,O402)</f>
        <v>WWLWW</v>
      </c>
      <c r="T402" s="13" t="str">
        <f>_xlfn.CONCAT(R402,"***",S402)</f>
        <v>WWDWW***WWLWW</v>
      </c>
      <c r="U402" s="21">
        <f>(P402-Q402)</f>
        <v>9</v>
      </c>
      <c r="V402" s="14">
        <v>1</v>
      </c>
      <c r="W402" s="14">
        <v>0</v>
      </c>
      <c r="X402" s="20" t="str">
        <f>IF(ISBLANK(V402),"",IF(V402&gt;W402,"1",IF(V402&lt;W402,"2",IF(V402=W402,"X"))))</f>
        <v>1</v>
      </c>
      <c r="Y402" s="23" t="str">
        <f>COUNTIF(F402:J402, "W")&amp;COUNTIF(F402:J402, "d")&amp;COUNTIF(F402:J402, "l")</f>
        <v>410</v>
      </c>
      <c r="Z402" s="13" t="str">
        <f>COUNTIF(K402:O402, "W")&amp;COUNTIF(K402:O402, "d")&amp;COUNTIF(K402:O402, "l")</f>
        <v>401</v>
      </c>
      <c r="AA402" s="23" t="str">
        <f>_xlfn.CONCAT(Y402,"-",Z402)</f>
        <v>410-401</v>
      </c>
      <c r="AB402" s="13" t="str">
        <f>_xlfn.CONCAT(AA402,"…",TEXT(U402,"+00;-00;+00;"))</f>
        <v>410-401…+09</v>
      </c>
      <c r="AC402" s="23" t="str">
        <f>_xlfn.CONCAT(TEXT(P402,"+00;-00;+00;"),"…",TEXT(Q402,"+00;-00;+00;"))</f>
        <v>+13…+04</v>
      </c>
      <c r="AD402" s="14" t="str">
        <f>IF(X402="","?","")</f>
        <v/>
      </c>
      <c r="AE402" s="15" t="str">
        <f>_xlfn.CONCAT(AA402,"…",TEXT(P402,"+00;-00;+00;"),"...",TEXT(Q402,"+00;-00;+00;"))</f>
        <v>410-401…+13...+04</v>
      </c>
      <c r="AF402" s="13" t="str">
        <f>_xlfn.CONCAT(R402,"…",TEXT(P402,"+00;-00;+00;"),"...",TEXT(Q402,"+00;-00;+00;"))</f>
        <v>WWDWW…+13...+04</v>
      </c>
    </row>
    <row r="403" spans="1:32" x14ac:dyDescent="0.25">
      <c r="A403" s="13" t="s">
        <v>735</v>
      </c>
      <c r="B403" s="13" t="s">
        <v>59</v>
      </c>
      <c r="C403" s="14">
        <v>2</v>
      </c>
      <c r="D403" s="13" t="s">
        <v>753</v>
      </c>
      <c r="E403" s="13" t="s">
        <v>110</v>
      </c>
      <c r="F403" s="13" t="s">
        <v>31</v>
      </c>
      <c r="G403" s="13" t="s">
        <v>29</v>
      </c>
      <c r="H403" s="13" t="s">
        <v>30</v>
      </c>
      <c r="I403" s="13" t="s">
        <v>31</v>
      </c>
      <c r="J403" s="13" t="s">
        <v>31</v>
      </c>
      <c r="K403" s="13" t="s">
        <v>30</v>
      </c>
      <c r="L403" s="13" t="s">
        <v>31</v>
      </c>
      <c r="M403" s="13" t="s">
        <v>29</v>
      </c>
      <c r="N403" s="13" t="s">
        <v>29</v>
      </c>
      <c r="O403" s="13" t="s">
        <v>30</v>
      </c>
      <c r="P403" s="16">
        <v>-7</v>
      </c>
      <c r="Q403" s="16">
        <v>9</v>
      </c>
      <c r="R403" s="13" t="str">
        <f>_xlfn.CONCAT(F403,G403,H403,I403,J403)</f>
        <v>LDWLL</v>
      </c>
      <c r="S403" s="13" t="str">
        <f>_xlfn.CONCAT(K403,L403,M403,N403,O403)</f>
        <v>WLDDW</v>
      </c>
      <c r="T403" s="13" t="str">
        <f>_xlfn.CONCAT(R403,"***",S403)</f>
        <v>LDWLL***WLDDW</v>
      </c>
      <c r="U403" s="21">
        <f>(P403-Q403)</f>
        <v>-16</v>
      </c>
      <c r="V403" s="14">
        <v>1</v>
      </c>
      <c r="W403" s="14">
        <v>0</v>
      </c>
      <c r="X403" s="20" t="str">
        <f>IF(ISBLANK(V403),"",IF(V403&gt;W403,"1",IF(V403&lt;W403,"2",IF(V403=W403,"X"))))</f>
        <v>1</v>
      </c>
      <c r="Y403" s="23" t="str">
        <f>COUNTIF(F403:J403, "W")&amp;COUNTIF(F403:J403, "d")&amp;COUNTIF(F403:J403, "l")</f>
        <v>113</v>
      </c>
      <c r="Z403" s="13" t="str">
        <f>COUNTIF(K403:O403, "W")&amp;COUNTIF(K403:O403, "d")&amp;COUNTIF(K403:O403, "l")</f>
        <v>221</v>
      </c>
      <c r="AA403" s="23" t="str">
        <f>_xlfn.CONCAT(Y403,"-",Z403)</f>
        <v>113-221</v>
      </c>
      <c r="AB403" s="13" t="str">
        <f>_xlfn.CONCAT(AA403,"…",TEXT(U403,"+00;-00;+00;"))</f>
        <v>113-221…-16</v>
      </c>
      <c r="AC403" s="23" t="str">
        <f>_xlfn.CONCAT(TEXT(P403,"+00;-00;+00;"),"…",TEXT(Q403,"+00;-00;+00;"))</f>
        <v>-07…+09</v>
      </c>
      <c r="AD403" s="14" t="str">
        <f>IF(X403="","?","")</f>
        <v/>
      </c>
      <c r="AE403" s="15" t="str">
        <f>_xlfn.CONCAT(AA403,"…",TEXT(P403,"+00;-00;+00;"),"...",TEXT(Q403,"+00;-00;+00;"))</f>
        <v>113-221…-07...+09</v>
      </c>
      <c r="AF403" s="13" t="str">
        <f>_xlfn.CONCAT(R403,"…",TEXT(P403,"+00;-00;+00;"),"...",TEXT(Q403,"+00;-00;+00;"))</f>
        <v>LDWLL…-07...+09</v>
      </c>
    </row>
    <row r="404" spans="1:32" x14ac:dyDescent="0.25">
      <c r="A404" s="13" t="s">
        <v>630</v>
      </c>
      <c r="B404" s="13" t="s">
        <v>117</v>
      </c>
      <c r="C404" s="14" t="s">
        <v>0</v>
      </c>
      <c r="D404" s="13" t="s">
        <v>642</v>
      </c>
      <c r="E404" s="13" t="s">
        <v>643</v>
      </c>
      <c r="F404" s="13" t="s">
        <v>31</v>
      </c>
      <c r="G404" s="13" t="s">
        <v>29</v>
      </c>
      <c r="H404" s="13" t="s">
        <v>30</v>
      </c>
      <c r="I404" s="13" t="s">
        <v>30</v>
      </c>
      <c r="J404" s="13" t="s">
        <v>31</v>
      </c>
      <c r="K404" s="13" t="s">
        <v>31</v>
      </c>
      <c r="L404" s="13" t="s">
        <v>29</v>
      </c>
      <c r="M404" s="13" t="s">
        <v>31</v>
      </c>
      <c r="N404" s="13" t="s">
        <v>30</v>
      </c>
      <c r="O404" s="13" t="s">
        <v>30</v>
      </c>
      <c r="P404" s="16">
        <v>-6</v>
      </c>
      <c r="Q404" s="16">
        <v>8</v>
      </c>
      <c r="R404" s="13" t="str">
        <f>_xlfn.CONCAT(F404,G404,H404,I404,J404)</f>
        <v>LDWWL</v>
      </c>
      <c r="S404" s="13" t="str">
        <f>_xlfn.CONCAT(K404,L404,M404,N404,O404)</f>
        <v>LDLWW</v>
      </c>
      <c r="T404" s="13" t="str">
        <f>_xlfn.CONCAT(R404,"***",S404)</f>
        <v>LDWWL***LDLWW</v>
      </c>
      <c r="U404" s="21">
        <f>(P404-Q404)</f>
        <v>-14</v>
      </c>
      <c r="V404" s="14">
        <v>3</v>
      </c>
      <c r="W404" s="14">
        <v>0</v>
      </c>
      <c r="X404" s="20" t="str">
        <f>IF(ISBLANK(V404),"",IF(V404&gt;W404,"1",IF(V404&lt;W404,"2",IF(V404=W404,"X"))))</f>
        <v>1</v>
      </c>
      <c r="Y404" s="23" t="str">
        <f>COUNTIF(F404:J404, "W")&amp;COUNTIF(F404:J404, "d")&amp;COUNTIF(F404:J404, "l")</f>
        <v>212</v>
      </c>
      <c r="Z404" s="13" t="str">
        <f>COUNTIF(K404:O404, "W")&amp;COUNTIF(K404:O404, "d")&amp;COUNTIF(K404:O404, "l")</f>
        <v>212</v>
      </c>
      <c r="AA404" s="23" t="str">
        <f>_xlfn.CONCAT(Y404,"-",Z404)</f>
        <v>212-212</v>
      </c>
      <c r="AB404" s="13" t="str">
        <f>_xlfn.CONCAT(AA404,"…",TEXT(U404,"+00;-00;+00;"))</f>
        <v>212-212…-14</v>
      </c>
      <c r="AC404" s="23" t="str">
        <f>_xlfn.CONCAT(TEXT(P404,"+00;-00;+00;"),"…",TEXT(Q404,"+00;-00;+00;"))</f>
        <v>-06…+08</v>
      </c>
      <c r="AD404" s="14" t="str">
        <f>IF(X404="","?","")</f>
        <v/>
      </c>
      <c r="AE404" s="15" t="str">
        <f>_xlfn.CONCAT(AA404,"…",TEXT(P404,"+00;-00;+00;"),"...",TEXT(Q404,"+00;-00;+00;"))</f>
        <v>212-212…-06...+08</v>
      </c>
      <c r="AF404" s="13" t="str">
        <f>_xlfn.CONCAT(R404,"…",TEXT(P404,"+00;-00;+00;"),"...",TEXT(Q404,"+00;-00;+00;"))</f>
        <v>LDWWL…-06...+08</v>
      </c>
    </row>
    <row r="405" spans="1:32" x14ac:dyDescent="0.25">
      <c r="A405" s="13" t="s">
        <v>720</v>
      </c>
      <c r="B405" s="13" t="s">
        <v>59</v>
      </c>
      <c r="C405" s="14">
        <v>1</v>
      </c>
      <c r="D405" s="13" t="s">
        <v>72</v>
      </c>
      <c r="E405" s="13" t="s">
        <v>81</v>
      </c>
      <c r="F405" s="13" t="s">
        <v>29</v>
      </c>
      <c r="G405" s="13" t="s">
        <v>31</v>
      </c>
      <c r="H405" s="13" t="s">
        <v>29</v>
      </c>
      <c r="I405" s="13" t="s">
        <v>31</v>
      </c>
      <c r="J405" s="13" t="s">
        <v>31</v>
      </c>
      <c r="K405" s="13" t="s">
        <v>29</v>
      </c>
      <c r="L405" s="13" t="s">
        <v>31</v>
      </c>
      <c r="M405" s="13" t="s">
        <v>31</v>
      </c>
      <c r="N405" s="13" t="s">
        <v>29</v>
      </c>
      <c r="O405" s="13" t="s">
        <v>31</v>
      </c>
      <c r="P405" s="16">
        <v>8</v>
      </c>
      <c r="Q405" s="16">
        <v>-10</v>
      </c>
      <c r="R405" s="13" t="str">
        <f>_xlfn.CONCAT(F405,G405,H405,I405,J405)</f>
        <v>DLDLL</v>
      </c>
      <c r="S405" s="13" t="str">
        <f>_xlfn.CONCAT(K405,L405,M405,N405,O405)</f>
        <v>DLLDL</v>
      </c>
      <c r="T405" s="13" t="str">
        <f>_xlfn.CONCAT(R405,"***",S405)</f>
        <v>DLDLL***DLLDL</v>
      </c>
      <c r="U405" s="21">
        <f>(P405-Q405)</f>
        <v>18</v>
      </c>
      <c r="V405" s="14">
        <v>1</v>
      </c>
      <c r="W405" s="14">
        <v>1</v>
      </c>
      <c r="X405" s="20" t="str">
        <f>IF(ISBLANK(V405),"",IF(V405&gt;W405,"1",IF(V405&lt;W405,"2",IF(V405=W405,"X"))))</f>
        <v>X</v>
      </c>
      <c r="Y405" s="23" t="str">
        <f>COUNTIF(F405:J405, "W")&amp;COUNTIF(F405:J405, "d")&amp;COUNTIF(F405:J405, "l")</f>
        <v>023</v>
      </c>
      <c r="Z405" s="13" t="str">
        <f>COUNTIF(K405:O405, "W")&amp;COUNTIF(K405:O405, "d")&amp;COUNTIF(K405:O405, "l")</f>
        <v>023</v>
      </c>
      <c r="AA405" s="23" t="str">
        <f>_xlfn.CONCAT(Y405,"-",Z405)</f>
        <v>023-023</v>
      </c>
      <c r="AB405" s="13" t="str">
        <f>_xlfn.CONCAT(AA405,"…",TEXT(U405,"+00;-00;+00;"))</f>
        <v>023-023…+18</v>
      </c>
      <c r="AC405" s="23" t="str">
        <f>_xlfn.CONCAT(TEXT(P405,"+00;-00;+00;"),"…",TEXT(Q405,"+00;-00;+00;"))</f>
        <v>+08…-10</v>
      </c>
      <c r="AD405" s="14" t="str">
        <f>IF(X405="","?","")</f>
        <v/>
      </c>
      <c r="AE405" s="15" t="str">
        <f>_xlfn.CONCAT(AA405,"…",TEXT(P405,"+00;-00;+00;"),"...",TEXT(Q405,"+00;-00;+00;"))</f>
        <v>023-023…+08...-10</v>
      </c>
      <c r="AF405" s="13" t="str">
        <f>_xlfn.CONCAT(R405,"…",TEXT(P405,"+00;-00;+00;"),"...",TEXT(Q405,"+00;-00;+00;"))</f>
        <v>DLDLL…+08...-10</v>
      </c>
    </row>
    <row r="406" spans="1:32" x14ac:dyDescent="0.25">
      <c r="A406" s="13" t="s">
        <v>258</v>
      </c>
      <c r="B406" s="13" t="s">
        <v>250</v>
      </c>
      <c r="C406" s="14">
        <v>1</v>
      </c>
      <c r="D406" s="13" t="s">
        <v>272</v>
      </c>
      <c r="E406" s="13" t="s">
        <v>273</v>
      </c>
      <c r="F406" s="13" t="s">
        <v>31</v>
      </c>
      <c r="G406" s="13" t="s">
        <v>30</v>
      </c>
      <c r="H406" s="13" t="s">
        <v>30</v>
      </c>
      <c r="I406" s="13" t="s">
        <v>30</v>
      </c>
      <c r="J406" s="13" t="s">
        <v>30</v>
      </c>
      <c r="K406" s="13" t="s">
        <v>29</v>
      </c>
      <c r="L406" s="13" t="s">
        <v>31</v>
      </c>
      <c r="M406" s="13" t="s">
        <v>29</v>
      </c>
      <c r="N406" s="13" t="s">
        <v>31</v>
      </c>
      <c r="O406" s="13" t="s">
        <v>30</v>
      </c>
      <c r="P406" s="16">
        <v>12</v>
      </c>
      <c r="Q406" s="16">
        <v>1</v>
      </c>
      <c r="R406" s="13" t="str">
        <f>_xlfn.CONCAT(F406,G406,H406,I406,J406)</f>
        <v>LWWWW</v>
      </c>
      <c r="S406" s="13" t="str">
        <f>_xlfn.CONCAT(K406,L406,M406,N406,O406)</f>
        <v>DLDLW</v>
      </c>
      <c r="T406" s="13" t="str">
        <f>_xlfn.CONCAT(R406,"***",S406)</f>
        <v>LWWWW***DLDLW</v>
      </c>
      <c r="U406" s="21">
        <f>(P406-Q406)</f>
        <v>11</v>
      </c>
      <c r="V406" s="14">
        <v>3</v>
      </c>
      <c r="W406" s="14">
        <v>1</v>
      </c>
      <c r="X406" s="20" t="str">
        <f>IF(ISBLANK(V406),"",IF(V406&gt;W406,"1",IF(V406&lt;W406,"2",IF(V406=W406,"X"))))</f>
        <v>1</v>
      </c>
      <c r="Y406" s="23" t="str">
        <f>COUNTIF(F406:J406, "W")&amp;COUNTIF(F406:J406, "d")&amp;COUNTIF(F406:J406, "l")</f>
        <v>401</v>
      </c>
      <c r="Z406" s="13" t="str">
        <f>COUNTIF(K406:O406, "W")&amp;COUNTIF(K406:O406, "d")&amp;COUNTIF(K406:O406, "l")</f>
        <v>122</v>
      </c>
      <c r="AA406" s="23" t="str">
        <f>_xlfn.CONCAT(Y406,"-",Z406)</f>
        <v>401-122</v>
      </c>
      <c r="AB406" s="13" t="str">
        <f>_xlfn.CONCAT(AA406,"…",TEXT(U406,"+00;-00;+00;"))</f>
        <v>401-122…+11</v>
      </c>
      <c r="AC406" s="23" t="str">
        <f>_xlfn.CONCAT(TEXT(P406,"+00;-00;+00;"),"…",TEXT(Q406,"+00;-00;+00;"))</f>
        <v>+12…+01</v>
      </c>
      <c r="AD406" s="14" t="str">
        <f>IF(X406="","?","")</f>
        <v/>
      </c>
      <c r="AE406" s="15" t="str">
        <f>_xlfn.CONCAT(AA406,"…",TEXT(P406,"+00;-00;+00;"),"...",TEXT(Q406,"+00;-00;+00;"))</f>
        <v>401-122…+12...+01</v>
      </c>
      <c r="AF406" s="13" t="str">
        <f>_xlfn.CONCAT(R406,"…",TEXT(P406,"+00;-00;+00;"),"...",TEXT(Q406,"+00;-00;+00;"))</f>
        <v>LWWWW…+12...+01</v>
      </c>
    </row>
    <row r="407" spans="1:32" x14ac:dyDescent="0.25">
      <c r="A407" s="13" t="s">
        <v>878</v>
      </c>
      <c r="B407" s="13" t="s">
        <v>879</v>
      </c>
      <c r="C407" s="14">
        <v>1</v>
      </c>
      <c r="D407" s="13" t="s">
        <v>880</v>
      </c>
      <c r="E407" s="13" t="s">
        <v>881</v>
      </c>
      <c r="F407" s="13" t="s">
        <v>29</v>
      </c>
      <c r="G407" s="13" t="s">
        <v>30</v>
      </c>
      <c r="H407" s="13" t="s">
        <v>30</v>
      </c>
      <c r="I407" s="13" t="s">
        <v>31</v>
      </c>
      <c r="J407" s="13" t="s">
        <v>29</v>
      </c>
      <c r="K407" s="13" t="s">
        <v>31</v>
      </c>
      <c r="L407" s="13" t="s">
        <v>29</v>
      </c>
      <c r="M407" s="13" t="s">
        <v>30</v>
      </c>
      <c r="N407" s="13" t="s">
        <v>29</v>
      </c>
      <c r="O407" s="13" t="s">
        <v>30</v>
      </c>
      <c r="P407" s="16">
        <v>3</v>
      </c>
      <c r="Q407" s="16">
        <v>4</v>
      </c>
      <c r="R407" s="13" t="str">
        <f>_xlfn.CONCAT(F407,G407,H407,I407,J407)</f>
        <v>DWWLD</v>
      </c>
      <c r="S407" s="13" t="str">
        <f>_xlfn.CONCAT(K407,L407,M407,N407,O407)</f>
        <v>LDWDW</v>
      </c>
      <c r="T407" s="13" t="str">
        <f>_xlfn.CONCAT(R407,"***",S407)</f>
        <v>DWWLD***LDWDW</v>
      </c>
      <c r="U407" s="21">
        <f>(P407-Q407)</f>
        <v>-1</v>
      </c>
      <c r="V407" s="14">
        <v>2</v>
      </c>
      <c r="W407" s="14">
        <v>0</v>
      </c>
      <c r="X407" s="20" t="str">
        <f>IF(ISBLANK(V407),"",IF(V407&gt;W407,"1",IF(V407&lt;W407,"2",IF(V407=W407,"X"))))</f>
        <v>1</v>
      </c>
      <c r="Y407" s="23" t="str">
        <f>COUNTIF(F407:J407, "W")&amp;COUNTIF(F407:J407, "d")&amp;COUNTIF(F407:J407, "l")</f>
        <v>221</v>
      </c>
      <c r="Z407" s="13" t="str">
        <f>COUNTIF(K407:O407, "W")&amp;COUNTIF(K407:O407, "d")&amp;COUNTIF(K407:O407, "l")</f>
        <v>221</v>
      </c>
      <c r="AA407" s="23" t="str">
        <f>_xlfn.CONCAT(Y407,"-",Z407)</f>
        <v>221-221</v>
      </c>
      <c r="AB407" s="13" t="str">
        <f>_xlfn.CONCAT(AA407,"…",TEXT(U407,"+00;-00;+00;"))</f>
        <v>221-221…-01</v>
      </c>
      <c r="AC407" s="23" t="str">
        <f>_xlfn.CONCAT(TEXT(P407,"+00;-00;+00;"),"…",TEXT(Q407,"+00;-00;+00;"))</f>
        <v>+03…+04</v>
      </c>
      <c r="AD407" s="14" t="str">
        <f>IF(X407="","?","")</f>
        <v/>
      </c>
      <c r="AE407" s="15" t="str">
        <f>_xlfn.CONCAT(AA407,"…",TEXT(P407,"+00;-00;+00;"),"...",TEXT(Q407,"+00;-00;+00;"))</f>
        <v>221-221…+03...+04</v>
      </c>
      <c r="AF407" s="13" t="str">
        <f>_xlfn.CONCAT(R407,"…",TEXT(P407,"+00;-00;+00;"),"...",TEXT(Q407,"+00;-00;+00;"))</f>
        <v>DWWLD…+03...+04</v>
      </c>
    </row>
    <row r="408" spans="1:32" x14ac:dyDescent="0.25">
      <c r="A408" s="13" t="s">
        <v>882</v>
      </c>
      <c r="B408" s="13" t="s">
        <v>7</v>
      </c>
      <c r="C408" s="14" t="s">
        <v>8</v>
      </c>
      <c r="D408" s="13" t="s">
        <v>608</v>
      </c>
      <c r="E408" s="13" t="s">
        <v>610</v>
      </c>
      <c r="F408" s="13" t="s">
        <v>31</v>
      </c>
      <c r="G408" s="13" t="s">
        <v>31</v>
      </c>
      <c r="H408" s="13" t="s">
        <v>30</v>
      </c>
      <c r="I408" s="13" t="s">
        <v>31</v>
      </c>
      <c r="J408" s="13" t="s">
        <v>29</v>
      </c>
      <c r="K408" s="13" t="s">
        <v>30</v>
      </c>
      <c r="L408" s="13" t="s">
        <v>31</v>
      </c>
      <c r="M408" s="13" t="s">
        <v>31</v>
      </c>
      <c r="N408" s="13" t="s">
        <v>31</v>
      </c>
      <c r="O408" s="13" t="s">
        <v>31</v>
      </c>
      <c r="P408" s="16">
        <v>-6</v>
      </c>
      <c r="Q408" s="16">
        <v>-17</v>
      </c>
      <c r="R408" s="13" t="str">
        <f>_xlfn.CONCAT(F408,G408,H408,I408,J408)</f>
        <v>LLWLD</v>
      </c>
      <c r="S408" s="13" t="str">
        <f>_xlfn.CONCAT(K408,L408,M408,N408,O408)</f>
        <v>WLLLL</v>
      </c>
      <c r="T408" s="13" t="str">
        <f>_xlfn.CONCAT(R408,"***",S408)</f>
        <v>LLWLD***WLLLL</v>
      </c>
      <c r="U408" s="21">
        <f>(P408-Q408)</f>
        <v>11</v>
      </c>
      <c r="V408" s="14">
        <v>1</v>
      </c>
      <c r="W408" s="14">
        <v>0</v>
      </c>
      <c r="X408" s="20" t="str">
        <f>IF(ISBLANK(V408),"",IF(V408&gt;W408,"1",IF(V408&lt;W408,"2",IF(V408=W408,"X"))))</f>
        <v>1</v>
      </c>
      <c r="Y408" s="23" t="str">
        <f>COUNTIF(F408:J408, "W")&amp;COUNTIF(F408:J408, "d")&amp;COUNTIF(F408:J408, "l")</f>
        <v>113</v>
      </c>
      <c r="Z408" s="13" t="str">
        <f>COUNTIF(K408:O408, "W")&amp;COUNTIF(K408:O408, "d")&amp;COUNTIF(K408:O408, "l")</f>
        <v>104</v>
      </c>
      <c r="AA408" s="23" t="str">
        <f>_xlfn.CONCAT(Y408,"-",Z408)</f>
        <v>113-104</v>
      </c>
      <c r="AB408" s="13" t="str">
        <f>_xlfn.CONCAT(AA408,"…",TEXT(U408,"+00;-00;+00;"))</f>
        <v>113-104…+11</v>
      </c>
      <c r="AC408" s="23" t="str">
        <f>_xlfn.CONCAT(TEXT(P408,"+00;-00;+00;"),"…",TEXT(Q408,"+00;-00;+00;"))</f>
        <v>-06…-17</v>
      </c>
      <c r="AD408" s="14" t="str">
        <f>IF(X408="","?","")</f>
        <v/>
      </c>
      <c r="AE408" s="15" t="str">
        <f>_xlfn.CONCAT(AA408,"…",TEXT(P408,"+00;-00;+00;"),"...",TEXT(Q408,"+00;-00;+00;"))</f>
        <v>113-104…-06...-17</v>
      </c>
      <c r="AF408" s="13" t="str">
        <f>_xlfn.CONCAT(R408,"…",TEXT(P408,"+00;-00;+00;"),"...",TEXT(Q408,"+00;-00;+00;"))</f>
        <v>LLWLD…-06...-17</v>
      </c>
    </row>
    <row r="409" spans="1:32" x14ac:dyDescent="0.25">
      <c r="A409" s="13" t="s">
        <v>923</v>
      </c>
      <c r="B409" s="13" t="s">
        <v>167</v>
      </c>
      <c r="C409" s="14">
        <v>2</v>
      </c>
      <c r="D409" s="13" t="s">
        <v>709</v>
      </c>
      <c r="E409" s="13" t="s">
        <v>927</v>
      </c>
      <c r="F409" s="13" t="s">
        <v>31</v>
      </c>
      <c r="G409" s="13" t="s">
        <v>31</v>
      </c>
      <c r="H409" s="13" t="s">
        <v>31</v>
      </c>
      <c r="I409" s="13" t="s">
        <v>31</v>
      </c>
      <c r="J409" s="13" t="s">
        <v>30</v>
      </c>
      <c r="K409" s="13" t="s">
        <v>31</v>
      </c>
      <c r="L409" s="13" t="s">
        <v>30</v>
      </c>
      <c r="M409" s="13" t="s">
        <v>29</v>
      </c>
      <c r="N409" s="13" t="s">
        <v>30</v>
      </c>
      <c r="O409" s="13" t="s">
        <v>29</v>
      </c>
      <c r="P409" s="16">
        <v>1</v>
      </c>
      <c r="Q409" s="16">
        <v>7</v>
      </c>
      <c r="R409" s="13" t="str">
        <f>_xlfn.CONCAT(F409,G409,H409,I409,J409)</f>
        <v>LLLLW</v>
      </c>
      <c r="S409" s="13" t="str">
        <f>_xlfn.CONCAT(K409,L409,M409,N409,O409)</f>
        <v>LWDWD</v>
      </c>
      <c r="T409" s="13" t="str">
        <f>_xlfn.CONCAT(R409,"***",S409)</f>
        <v>LLLLW***LWDWD</v>
      </c>
      <c r="U409" s="21">
        <f>(P409-Q409)</f>
        <v>-6</v>
      </c>
      <c r="V409" s="14">
        <v>1</v>
      </c>
      <c r="W409" s="14">
        <v>3</v>
      </c>
      <c r="X409" s="20" t="str">
        <f>IF(ISBLANK(V409),"",IF(V409&gt;W409,"1",IF(V409&lt;W409,"2",IF(V409=W409,"X"))))</f>
        <v>2</v>
      </c>
      <c r="Y409" s="23" t="str">
        <f>COUNTIF(F409:J409, "W")&amp;COUNTIF(F409:J409, "d")&amp;COUNTIF(F409:J409, "l")</f>
        <v>104</v>
      </c>
      <c r="Z409" s="13" t="str">
        <f>COUNTIF(K409:O409, "W")&amp;COUNTIF(K409:O409, "d")&amp;COUNTIF(K409:O409, "l")</f>
        <v>221</v>
      </c>
      <c r="AA409" s="23" t="str">
        <f>_xlfn.CONCAT(Y409,"-",Z409)</f>
        <v>104-221</v>
      </c>
      <c r="AB409" s="13" t="str">
        <f>_xlfn.CONCAT(AA409,"…",TEXT(U409,"+00;-00;+00;"))</f>
        <v>104-221…-06</v>
      </c>
      <c r="AC409" s="23" t="str">
        <f>_xlfn.CONCAT(TEXT(P409,"+00;-00;+00;"),"…",TEXT(Q409,"+00;-00;+00;"))</f>
        <v>+01…+07</v>
      </c>
      <c r="AD409" s="14" t="str">
        <f>IF(X409="","?","")</f>
        <v/>
      </c>
      <c r="AE409" s="15" t="str">
        <f>_xlfn.CONCAT(AA409,"…",TEXT(P409,"+00;-00;+00;"),"...",TEXT(Q409,"+00;-00;+00;"))</f>
        <v>104-221…+01...+07</v>
      </c>
      <c r="AF409" s="13" t="str">
        <f>_xlfn.CONCAT(R409,"…",TEXT(P409,"+00;-00;+00;"),"...",TEXT(Q409,"+00;-00;+00;"))</f>
        <v>LLLLW…+01...+07</v>
      </c>
    </row>
    <row r="410" spans="1:32" x14ac:dyDescent="0.25">
      <c r="A410" s="13" t="s">
        <v>923</v>
      </c>
      <c r="B410" s="13" t="s">
        <v>167</v>
      </c>
      <c r="C410" s="14">
        <v>2</v>
      </c>
      <c r="D410" s="13" t="s">
        <v>711</v>
      </c>
      <c r="E410" s="13" t="s">
        <v>926</v>
      </c>
      <c r="F410" s="13" t="s">
        <v>31</v>
      </c>
      <c r="G410" s="13" t="s">
        <v>29</v>
      </c>
      <c r="H410" s="13" t="s">
        <v>29</v>
      </c>
      <c r="I410" s="13" t="s">
        <v>30</v>
      </c>
      <c r="J410" s="13" t="s">
        <v>31</v>
      </c>
      <c r="K410" s="13" t="s">
        <v>31</v>
      </c>
      <c r="L410" s="13" t="s">
        <v>30</v>
      </c>
      <c r="M410" s="13" t="s">
        <v>30</v>
      </c>
      <c r="N410" s="13" t="s">
        <v>31</v>
      </c>
      <c r="O410" s="13" t="s">
        <v>29</v>
      </c>
      <c r="P410" s="16">
        <v>-5</v>
      </c>
      <c r="Q410" s="16">
        <v>-6</v>
      </c>
      <c r="R410" s="13" t="str">
        <f>_xlfn.CONCAT(F410,G410,H410,I410,J410)</f>
        <v>LDDWL</v>
      </c>
      <c r="S410" s="13" t="str">
        <f>_xlfn.CONCAT(K410,L410,M410,N410,O410)</f>
        <v>LWWLD</v>
      </c>
      <c r="T410" s="13" t="str">
        <f>_xlfn.CONCAT(R410,"***",S410)</f>
        <v>LDDWL***LWWLD</v>
      </c>
      <c r="U410" s="21">
        <f>(P410-Q410)</f>
        <v>1</v>
      </c>
      <c r="V410" s="14">
        <v>3</v>
      </c>
      <c r="W410" s="14">
        <v>2</v>
      </c>
      <c r="X410" s="20" t="str">
        <f>IF(ISBLANK(V410),"",IF(V410&gt;W410,"1",IF(V410&lt;W410,"2",IF(V410=W410,"X"))))</f>
        <v>1</v>
      </c>
      <c r="Y410" s="23" t="str">
        <f>COUNTIF(F410:J410, "W")&amp;COUNTIF(F410:J410, "d")&amp;COUNTIF(F410:J410, "l")</f>
        <v>122</v>
      </c>
      <c r="Z410" s="13" t="str">
        <f>COUNTIF(K410:O410, "W")&amp;COUNTIF(K410:O410, "d")&amp;COUNTIF(K410:O410, "l")</f>
        <v>212</v>
      </c>
      <c r="AA410" s="23" t="str">
        <f>_xlfn.CONCAT(Y410,"-",Z410)</f>
        <v>122-212</v>
      </c>
      <c r="AB410" s="13" t="str">
        <f>_xlfn.CONCAT(AA410,"…",TEXT(U410,"+00;-00;+00;"))</f>
        <v>122-212…+01</v>
      </c>
      <c r="AC410" s="23" t="str">
        <f>_xlfn.CONCAT(TEXT(P410,"+00;-00;+00;"),"…",TEXT(Q410,"+00;-00;+00;"))</f>
        <v>-05…-06</v>
      </c>
      <c r="AD410" s="14" t="str">
        <f>IF(X410="","?","")</f>
        <v/>
      </c>
      <c r="AE410" s="15" t="str">
        <f>_xlfn.CONCAT(AA410,"…",TEXT(P410,"+00;-00;+00;"),"...",TEXT(Q410,"+00;-00;+00;"))</f>
        <v>122-212…-05...-06</v>
      </c>
      <c r="AF410" s="13" t="str">
        <f>_xlfn.CONCAT(R410,"…",TEXT(P410,"+00;-00;+00;"),"...",TEXT(Q410,"+00;-00;+00;"))</f>
        <v>LDDWL…-05...-06</v>
      </c>
    </row>
    <row r="411" spans="1:32" x14ac:dyDescent="0.25">
      <c r="A411" s="13" t="s">
        <v>923</v>
      </c>
      <c r="B411" s="13" t="s">
        <v>167</v>
      </c>
      <c r="C411" s="14">
        <v>2</v>
      </c>
      <c r="D411" s="13" t="s">
        <v>715</v>
      </c>
      <c r="E411" s="13" t="s">
        <v>712</v>
      </c>
      <c r="F411" s="13" t="s">
        <v>29</v>
      </c>
      <c r="G411" s="13" t="s">
        <v>31</v>
      </c>
      <c r="H411" s="13" t="s">
        <v>30</v>
      </c>
      <c r="I411" s="13" t="s">
        <v>31</v>
      </c>
      <c r="J411" s="13" t="s">
        <v>30</v>
      </c>
      <c r="K411" s="13" t="s">
        <v>31</v>
      </c>
      <c r="L411" s="13" t="s">
        <v>29</v>
      </c>
      <c r="M411" s="13" t="s">
        <v>31</v>
      </c>
      <c r="N411" s="13" t="s">
        <v>30</v>
      </c>
      <c r="O411" s="13" t="s">
        <v>29</v>
      </c>
      <c r="P411" s="16">
        <v>-11</v>
      </c>
      <c r="Q411" s="16">
        <v>-6</v>
      </c>
      <c r="R411" s="13" t="str">
        <f>_xlfn.CONCAT(F411,G411,H411,I411,J411)</f>
        <v>DLWLW</v>
      </c>
      <c r="S411" s="13" t="str">
        <f>_xlfn.CONCAT(K411,L411,M411,N411,O411)</f>
        <v>LDLWD</v>
      </c>
      <c r="T411" s="13" t="str">
        <f>_xlfn.CONCAT(R411,"***",S411)</f>
        <v>DLWLW***LDLWD</v>
      </c>
      <c r="U411" s="21">
        <f>(P411-Q411)</f>
        <v>-5</v>
      </c>
      <c r="V411" s="14">
        <v>0</v>
      </c>
      <c r="W411" s="14">
        <v>5</v>
      </c>
      <c r="X411" s="20" t="str">
        <f>IF(ISBLANK(V411),"",IF(V411&gt;W411,"1",IF(V411&lt;W411,"2",IF(V411=W411,"X"))))</f>
        <v>2</v>
      </c>
      <c r="Y411" s="23" t="str">
        <f>COUNTIF(F411:J411, "W")&amp;COUNTIF(F411:J411, "d")&amp;COUNTIF(F411:J411, "l")</f>
        <v>212</v>
      </c>
      <c r="Z411" s="13" t="str">
        <f>COUNTIF(K411:O411, "W")&amp;COUNTIF(K411:O411, "d")&amp;COUNTIF(K411:O411, "l")</f>
        <v>122</v>
      </c>
      <c r="AA411" s="23" t="str">
        <f>_xlfn.CONCAT(Y411,"-",Z411)</f>
        <v>212-122</v>
      </c>
      <c r="AB411" s="13" t="str">
        <f>_xlfn.CONCAT(AA411,"…",TEXT(U411,"+00;-00;+00;"))</f>
        <v>212-122…-05</v>
      </c>
      <c r="AC411" s="23" t="str">
        <f>_xlfn.CONCAT(TEXT(P411,"+00;-00;+00;"),"…",TEXT(Q411,"+00;-00;+00;"))</f>
        <v>-11…-06</v>
      </c>
      <c r="AD411" s="14" t="str">
        <f>IF(X411="","?","")</f>
        <v/>
      </c>
      <c r="AE411" s="15" t="str">
        <f>_xlfn.CONCAT(AA411,"…",TEXT(P411,"+00;-00;+00;"),"...",TEXT(Q411,"+00;-00;+00;"))</f>
        <v>212-122…-11...-06</v>
      </c>
      <c r="AF411" s="13" t="str">
        <f>_xlfn.CONCAT(R411,"…",TEXT(P411,"+00;-00;+00;"),"...",TEXT(Q411,"+00;-00;+00;"))</f>
        <v>DLWLW…-11...-06</v>
      </c>
    </row>
    <row r="412" spans="1:32" x14ac:dyDescent="0.25">
      <c r="A412" s="13" t="s">
        <v>923</v>
      </c>
      <c r="B412" s="13" t="s">
        <v>167</v>
      </c>
      <c r="C412" s="14">
        <v>2</v>
      </c>
      <c r="D412" s="13" t="s">
        <v>648</v>
      </c>
      <c r="E412" s="13" t="s">
        <v>710</v>
      </c>
      <c r="F412" s="13" t="s">
        <v>31</v>
      </c>
      <c r="G412" s="13" t="s">
        <v>31</v>
      </c>
      <c r="H412" s="13" t="s">
        <v>29</v>
      </c>
      <c r="I412" s="13" t="s">
        <v>30</v>
      </c>
      <c r="J412" s="13" t="s">
        <v>30</v>
      </c>
      <c r="K412" s="13" t="s">
        <v>30</v>
      </c>
      <c r="L412" s="13" t="s">
        <v>29</v>
      </c>
      <c r="M412" s="13" t="s">
        <v>30</v>
      </c>
      <c r="N412" s="13" t="s">
        <v>31</v>
      </c>
      <c r="O412" s="13" t="s">
        <v>31</v>
      </c>
      <c r="P412" s="16">
        <v>-5</v>
      </c>
      <c r="Q412" s="16">
        <v>15</v>
      </c>
      <c r="R412" s="13" t="str">
        <f>_xlfn.CONCAT(F412,G412,H412,I412,J412)</f>
        <v>LLDWW</v>
      </c>
      <c r="S412" s="13" t="str">
        <f>_xlfn.CONCAT(K412,L412,M412,N412,O412)</f>
        <v>WDWLL</v>
      </c>
      <c r="T412" s="13" t="str">
        <f>_xlfn.CONCAT(R412,"***",S412)</f>
        <v>LLDWW***WDWLL</v>
      </c>
      <c r="U412" s="21">
        <f>(P412-Q412)</f>
        <v>-20</v>
      </c>
      <c r="V412" s="14">
        <v>1</v>
      </c>
      <c r="W412" s="14">
        <v>2</v>
      </c>
      <c r="X412" s="20" t="str">
        <f>IF(ISBLANK(V412),"",IF(V412&gt;W412,"1",IF(V412&lt;W412,"2",IF(V412=W412,"X"))))</f>
        <v>2</v>
      </c>
      <c r="Y412" s="23" t="str">
        <f>COUNTIF(F412:J412, "W")&amp;COUNTIF(F412:J412, "d")&amp;COUNTIF(F412:J412, "l")</f>
        <v>212</v>
      </c>
      <c r="Z412" s="13" t="str">
        <f>COUNTIF(K412:O412, "W")&amp;COUNTIF(K412:O412, "d")&amp;COUNTIF(K412:O412, "l")</f>
        <v>212</v>
      </c>
      <c r="AA412" s="23" t="str">
        <f>_xlfn.CONCAT(Y412,"-",Z412)</f>
        <v>212-212</v>
      </c>
      <c r="AB412" s="13" t="str">
        <f>_xlfn.CONCAT(AA412,"…",TEXT(U412,"+00;-00;+00;"))</f>
        <v>212-212…-20</v>
      </c>
      <c r="AC412" s="23" t="str">
        <f>_xlfn.CONCAT(TEXT(P412,"+00;-00;+00;"),"…",TEXT(Q412,"+00;-00;+00;"))</f>
        <v>-05…+15</v>
      </c>
      <c r="AD412" s="14" t="str">
        <f>IF(X412="","?","")</f>
        <v/>
      </c>
      <c r="AE412" s="15" t="str">
        <f>_xlfn.CONCAT(AA412,"…",TEXT(P412,"+00;-00;+00;"),"...",TEXT(Q412,"+00;-00;+00;"))</f>
        <v>212-212…-05...+15</v>
      </c>
      <c r="AF412" s="13" t="str">
        <f>_xlfn.CONCAT(R412,"…",TEXT(P412,"+00;-00;+00;"),"...",TEXT(Q412,"+00;-00;+00;"))</f>
        <v>LLDWW…-05...+15</v>
      </c>
    </row>
    <row r="413" spans="1:32" x14ac:dyDescent="0.25">
      <c r="A413" s="13" t="s">
        <v>923</v>
      </c>
      <c r="B413" s="13" t="s">
        <v>167</v>
      </c>
      <c r="C413" s="14">
        <v>2</v>
      </c>
      <c r="D413" s="13" t="s">
        <v>706</v>
      </c>
      <c r="E413" s="13" t="s">
        <v>198</v>
      </c>
      <c r="F413" s="13" t="s">
        <v>29</v>
      </c>
      <c r="G413" s="13" t="s">
        <v>31</v>
      </c>
      <c r="H413" s="13" t="s">
        <v>30</v>
      </c>
      <c r="I413" s="13" t="s">
        <v>30</v>
      </c>
      <c r="J413" s="13" t="s">
        <v>31</v>
      </c>
      <c r="K413" s="13" t="s">
        <v>29</v>
      </c>
      <c r="L413" s="13" t="s">
        <v>30</v>
      </c>
      <c r="M413" s="13" t="s">
        <v>31</v>
      </c>
      <c r="N413" s="13" t="s">
        <v>30</v>
      </c>
      <c r="O413" s="13" t="s">
        <v>29</v>
      </c>
      <c r="P413" s="16">
        <v>1</v>
      </c>
      <c r="Q413" s="16">
        <v>8</v>
      </c>
      <c r="R413" s="13" t="str">
        <f>_xlfn.CONCAT(F413,G413,H413,I413,J413)</f>
        <v>DLWWL</v>
      </c>
      <c r="S413" s="13" t="str">
        <f>_xlfn.CONCAT(K413,L413,M413,N413,O413)</f>
        <v>DWLWD</v>
      </c>
      <c r="T413" s="13" t="str">
        <f>_xlfn.CONCAT(R413,"***",S413)</f>
        <v>DLWWL***DWLWD</v>
      </c>
      <c r="U413" s="21">
        <f>(P413-Q413)</f>
        <v>-7</v>
      </c>
      <c r="V413" s="14">
        <v>2</v>
      </c>
      <c r="W413" s="14">
        <v>0</v>
      </c>
      <c r="X413" s="20" t="str">
        <f>IF(ISBLANK(V413),"",IF(V413&gt;W413,"1",IF(V413&lt;W413,"2",IF(V413=W413,"X"))))</f>
        <v>1</v>
      </c>
      <c r="Y413" s="23" t="str">
        <f>COUNTIF(F413:J413, "W")&amp;COUNTIF(F413:J413, "d")&amp;COUNTIF(F413:J413, "l")</f>
        <v>212</v>
      </c>
      <c r="Z413" s="13" t="str">
        <f>COUNTIF(K413:O413, "W")&amp;COUNTIF(K413:O413, "d")&amp;COUNTIF(K413:O413, "l")</f>
        <v>221</v>
      </c>
      <c r="AA413" s="23" t="str">
        <f>_xlfn.CONCAT(Y413,"-",Z413)</f>
        <v>212-221</v>
      </c>
      <c r="AB413" s="13" t="str">
        <f>_xlfn.CONCAT(AA413,"…",TEXT(U413,"+00;-00;+00;"))</f>
        <v>212-221…-07</v>
      </c>
      <c r="AC413" s="23" t="str">
        <f>_xlfn.CONCAT(TEXT(P413,"+00;-00;+00;"),"…",TEXT(Q413,"+00;-00;+00;"))</f>
        <v>+01…+08</v>
      </c>
      <c r="AD413" s="14" t="str">
        <f>IF(X413="","?","")</f>
        <v/>
      </c>
      <c r="AE413" s="15" t="str">
        <f>_xlfn.CONCAT(AA413,"…",TEXT(P413,"+00;-00;+00;"),"...",TEXT(Q413,"+00;-00;+00;"))</f>
        <v>212-221…+01...+08</v>
      </c>
      <c r="AF413" s="13" t="str">
        <f>_xlfn.CONCAT(R413,"…",TEXT(P413,"+00;-00;+00;"),"...",TEXT(Q413,"+00;-00;+00;"))</f>
        <v>DLWWL…+01...+08</v>
      </c>
    </row>
    <row r="414" spans="1:32" x14ac:dyDescent="0.25">
      <c r="A414" s="13" t="s">
        <v>923</v>
      </c>
      <c r="B414" s="13" t="s">
        <v>167</v>
      </c>
      <c r="C414" s="14">
        <v>2</v>
      </c>
      <c r="D414" s="13" t="s">
        <v>705</v>
      </c>
      <c r="E414" s="13" t="s">
        <v>708</v>
      </c>
      <c r="F414" s="13" t="s">
        <v>30</v>
      </c>
      <c r="G414" s="13" t="s">
        <v>31</v>
      </c>
      <c r="H414" s="13" t="s">
        <v>31</v>
      </c>
      <c r="I414" s="13" t="s">
        <v>30</v>
      </c>
      <c r="J414" s="13" t="s">
        <v>29</v>
      </c>
      <c r="K414" s="13" t="s">
        <v>30</v>
      </c>
      <c r="L414" s="13" t="s">
        <v>29</v>
      </c>
      <c r="M414" s="13" t="s">
        <v>31</v>
      </c>
      <c r="N414" s="13" t="s">
        <v>30</v>
      </c>
      <c r="O414" s="13" t="s">
        <v>29</v>
      </c>
      <c r="P414" s="16">
        <v>-2</v>
      </c>
      <c r="Q414" s="16">
        <v>-2</v>
      </c>
      <c r="R414" s="13" t="str">
        <f>_xlfn.CONCAT(F414,G414,H414,I414,J414)</f>
        <v>WLLWD</v>
      </c>
      <c r="S414" s="13" t="str">
        <f>_xlfn.CONCAT(K414,L414,M414,N414,O414)</f>
        <v>WDLWD</v>
      </c>
      <c r="T414" s="13" t="str">
        <f>_xlfn.CONCAT(R414,"***",S414)</f>
        <v>WLLWD***WDLWD</v>
      </c>
      <c r="U414" s="21">
        <f>(P414-Q414)</f>
        <v>0</v>
      </c>
      <c r="V414" s="14">
        <v>2</v>
      </c>
      <c r="W414" s="14">
        <v>0</v>
      </c>
      <c r="X414" s="20" t="str">
        <f>IF(ISBLANK(V414),"",IF(V414&gt;W414,"1",IF(V414&lt;W414,"2",IF(V414=W414,"X"))))</f>
        <v>1</v>
      </c>
      <c r="Y414" s="23" t="str">
        <f>COUNTIF(F414:J414, "W")&amp;COUNTIF(F414:J414, "d")&amp;COUNTIF(F414:J414, "l")</f>
        <v>212</v>
      </c>
      <c r="Z414" s="13" t="str">
        <f>COUNTIF(K414:O414, "W")&amp;COUNTIF(K414:O414, "d")&amp;COUNTIF(K414:O414, "l")</f>
        <v>221</v>
      </c>
      <c r="AA414" s="23" t="str">
        <f>_xlfn.CONCAT(Y414,"-",Z414)</f>
        <v>212-221</v>
      </c>
      <c r="AB414" s="13" t="str">
        <f>_xlfn.CONCAT(AA414,"…",TEXT(U414,"+00;-00;+00;"))</f>
        <v>212-221…+00</v>
      </c>
      <c r="AC414" s="23" t="str">
        <f>_xlfn.CONCAT(TEXT(P414,"+00;-00;+00;"),"…",TEXT(Q414,"+00;-00;+00;"))</f>
        <v>-02…-02</v>
      </c>
      <c r="AD414" s="14" t="str">
        <f>IF(X414="","?","")</f>
        <v/>
      </c>
      <c r="AE414" s="15" t="str">
        <f>_xlfn.CONCAT(AA414,"…",TEXT(P414,"+00;-00;+00;"),"...",TEXT(Q414,"+00;-00;+00;"))</f>
        <v>212-221…-02...-02</v>
      </c>
      <c r="AF414" s="13" t="str">
        <f>_xlfn.CONCAT(R414,"…",TEXT(P414,"+00;-00;+00;"),"...",TEXT(Q414,"+00;-00;+00;"))</f>
        <v>WLLWD…-02...-02</v>
      </c>
    </row>
    <row r="415" spans="1:32" x14ac:dyDescent="0.25">
      <c r="A415" s="13" t="s">
        <v>923</v>
      </c>
      <c r="B415" s="13" t="s">
        <v>167</v>
      </c>
      <c r="C415" s="14">
        <v>2</v>
      </c>
      <c r="D415" s="13" t="s">
        <v>707</v>
      </c>
      <c r="E415" s="13" t="s">
        <v>714</v>
      </c>
      <c r="F415" s="13" t="s">
        <v>29</v>
      </c>
      <c r="G415" s="13" t="s">
        <v>30</v>
      </c>
      <c r="H415" s="13" t="s">
        <v>29</v>
      </c>
      <c r="I415" s="13" t="s">
        <v>30</v>
      </c>
      <c r="J415" s="13" t="s">
        <v>31</v>
      </c>
      <c r="K415" s="13" t="s">
        <v>29</v>
      </c>
      <c r="L415" s="13" t="s">
        <v>30</v>
      </c>
      <c r="M415" s="13" t="s">
        <v>30</v>
      </c>
      <c r="N415" s="13" t="s">
        <v>31</v>
      </c>
      <c r="O415" s="13" t="s">
        <v>31</v>
      </c>
      <c r="P415" s="16">
        <v>12</v>
      </c>
      <c r="Q415" s="16">
        <v>5</v>
      </c>
      <c r="R415" s="13" t="str">
        <f>_xlfn.CONCAT(F415,G415,H415,I415,J415)</f>
        <v>DWDWL</v>
      </c>
      <c r="S415" s="13" t="str">
        <f>_xlfn.CONCAT(K415,L415,M415,N415,O415)</f>
        <v>DWWLL</v>
      </c>
      <c r="T415" s="13" t="str">
        <f>_xlfn.CONCAT(R415,"***",S415)</f>
        <v>DWDWL***DWWLL</v>
      </c>
      <c r="U415" s="21">
        <f>(P415-Q415)</f>
        <v>7</v>
      </c>
      <c r="V415" s="14">
        <v>1</v>
      </c>
      <c r="W415" s="14">
        <v>0</v>
      </c>
      <c r="X415" s="20" t="str">
        <f>IF(ISBLANK(V415),"",IF(V415&gt;W415,"1",IF(V415&lt;W415,"2",IF(V415=W415,"X"))))</f>
        <v>1</v>
      </c>
      <c r="Y415" s="23" t="str">
        <f>COUNTIF(F415:J415, "W")&amp;COUNTIF(F415:J415, "d")&amp;COUNTIF(F415:J415, "l")</f>
        <v>221</v>
      </c>
      <c r="Z415" s="13" t="str">
        <f>COUNTIF(K415:O415, "W")&amp;COUNTIF(K415:O415, "d")&amp;COUNTIF(K415:O415, "l")</f>
        <v>212</v>
      </c>
      <c r="AA415" s="23" t="str">
        <f>_xlfn.CONCAT(Y415,"-",Z415)</f>
        <v>221-212</v>
      </c>
      <c r="AB415" s="13" t="str">
        <f>_xlfn.CONCAT(AA415,"…",TEXT(U415,"+00;-00;+00;"))</f>
        <v>221-212…+07</v>
      </c>
      <c r="AC415" s="23" t="str">
        <f>_xlfn.CONCAT(TEXT(P415,"+00;-00;+00;"),"…",TEXT(Q415,"+00;-00;+00;"))</f>
        <v>+12…+05</v>
      </c>
      <c r="AD415" s="14" t="str">
        <f>IF(X415="","?","")</f>
        <v/>
      </c>
      <c r="AE415" s="15" t="str">
        <f>_xlfn.CONCAT(AA415,"…",TEXT(P415,"+00;-00;+00;"),"...",TEXT(Q415,"+00;-00;+00;"))</f>
        <v>221-212…+12...+05</v>
      </c>
      <c r="AF415" s="13" t="str">
        <f>_xlfn.CONCAT(R415,"…",TEXT(P415,"+00;-00;+00;"),"...",TEXT(Q415,"+00;-00;+00;"))</f>
        <v>DWDWL…+12...+05</v>
      </c>
    </row>
    <row r="416" spans="1:32" x14ac:dyDescent="0.25">
      <c r="A416" s="13" t="s">
        <v>923</v>
      </c>
      <c r="B416" s="13" t="s">
        <v>167</v>
      </c>
      <c r="C416" s="14">
        <v>2</v>
      </c>
      <c r="D416" s="13" t="s">
        <v>201</v>
      </c>
      <c r="E416" s="13" t="s">
        <v>200</v>
      </c>
      <c r="F416" s="13" t="s">
        <v>30</v>
      </c>
      <c r="G416" s="13" t="s">
        <v>31</v>
      </c>
      <c r="H416" s="13" t="s">
        <v>30</v>
      </c>
      <c r="I416" s="13" t="s">
        <v>30</v>
      </c>
      <c r="J416" s="13" t="s">
        <v>29</v>
      </c>
      <c r="K416" s="13" t="s">
        <v>30</v>
      </c>
      <c r="L416" s="13" t="s">
        <v>31</v>
      </c>
      <c r="M416" s="13" t="s">
        <v>29</v>
      </c>
      <c r="N416" s="13" t="s">
        <v>31</v>
      </c>
      <c r="O416" s="13" t="s">
        <v>29</v>
      </c>
      <c r="P416" s="16">
        <v>-2</v>
      </c>
      <c r="Q416" s="16">
        <v>3</v>
      </c>
      <c r="R416" s="13" t="str">
        <f>_xlfn.CONCAT(F416,G416,H416,I416,J416)</f>
        <v>WLWWD</v>
      </c>
      <c r="S416" s="13" t="str">
        <f>_xlfn.CONCAT(K416,L416,M416,N416,O416)</f>
        <v>WLDLD</v>
      </c>
      <c r="T416" s="13" t="str">
        <f>_xlfn.CONCAT(R416,"***",S416)</f>
        <v>WLWWD***WLDLD</v>
      </c>
      <c r="U416" s="21">
        <f>(P416-Q416)</f>
        <v>-5</v>
      </c>
      <c r="V416" s="14">
        <v>2</v>
      </c>
      <c r="W416" s="14">
        <v>0</v>
      </c>
      <c r="X416" s="20" t="str">
        <f>IF(ISBLANK(V416),"",IF(V416&gt;W416,"1",IF(V416&lt;W416,"2",IF(V416=W416,"X"))))</f>
        <v>1</v>
      </c>
      <c r="Y416" s="23" t="str">
        <f>COUNTIF(F416:J416, "W")&amp;COUNTIF(F416:J416, "d")&amp;COUNTIF(F416:J416, "l")</f>
        <v>311</v>
      </c>
      <c r="Z416" s="13" t="str">
        <f>COUNTIF(K416:O416, "W")&amp;COUNTIF(K416:O416, "d")&amp;COUNTIF(K416:O416, "l")</f>
        <v>122</v>
      </c>
      <c r="AA416" s="23" t="str">
        <f>_xlfn.CONCAT(Y416,"-",Z416)</f>
        <v>311-122</v>
      </c>
      <c r="AB416" s="13" t="str">
        <f>_xlfn.CONCAT(AA416,"…",TEXT(U416,"+00;-00;+00;"))</f>
        <v>311-122…-05</v>
      </c>
      <c r="AC416" s="23" t="str">
        <f>_xlfn.CONCAT(TEXT(P416,"+00;-00;+00;"),"…",TEXT(Q416,"+00;-00;+00;"))</f>
        <v>-02…+03</v>
      </c>
      <c r="AD416" s="14" t="str">
        <f>IF(X416="","?","")</f>
        <v/>
      </c>
      <c r="AE416" s="15" t="str">
        <f>_xlfn.CONCAT(AA416,"…",TEXT(P416,"+00;-00;+00;"),"...",TEXT(Q416,"+00;-00;+00;"))</f>
        <v>311-122…-02...+03</v>
      </c>
      <c r="AF416" s="13" t="str">
        <f>_xlfn.CONCAT(R416,"…",TEXT(P416,"+00;-00;+00;"),"...",TEXT(Q416,"+00;-00;+00;"))</f>
        <v>WLWWD…-02...+03</v>
      </c>
    </row>
    <row r="417" spans="1:32" x14ac:dyDescent="0.25">
      <c r="A417" s="13" t="s">
        <v>923</v>
      </c>
      <c r="B417" s="13" t="s">
        <v>167</v>
      </c>
      <c r="C417" s="14">
        <v>2</v>
      </c>
      <c r="D417" s="13" t="s">
        <v>190</v>
      </c>
      <c r="E417" s="13" t="s">
        <v>925</v>
      </c>
      <c r="F417" s="13" t="s">
        <v>29</v>
      </c>
      <c r="G417" s="13" t="s">
        <v>30</v>
      </c>
      <c r="H417" s="13" t="s">
        <v>30</v>
      </c>
      <c r="I417" s="13" t="s">
        <v>29</v>
      </c>
      <c r="J417" s="13" t="s">
        <v>30</v>
      </c>
      <c r="K417" s="13" t="s">
        <v>29</v>
      </c>
      <c r="L417" s="13" t="s">
        <v>29</v>
      </c>
      <c r="M417" s="13" t="s">
        <v>31</v>
      </c>
      <c r="N417" s="13" t="s">
        <v>31</v>
      </c>
      <c r="O417" s="13" t="s">
        <v>29</v>
      </c>
      <c r="P417" s="16">
        <v>1</v>
      </c>
      <c r="Q417" s="16">
        <v>-11</v>
      </c>
      <c r="R417" s="13" t="str">
        <f>_xlfn.CONCAT(F417,G417,H417,I417,J417)</f>
        <v>DWWDW</v>
      </c>
      <c r="S417" s="13" t="str">
        <f>_xlfn.CONCAT(K417,L417,M417,N417,O417)</f>
        <v>DDLLD</v>
      </c>
      <c r="T417" s="13" t="str">
        <f>_xlfn.CONCAT(R417,"***",S417)</f>
        <v>DWWDW***DDLLD</v>
      </c>
      <c r="U417" s="21">
        <f>(P417-Q417)</f>
        <v>12</v>
      </c>
      <c r="V417" s="14">
        <v>3</v>
      </c>
      <c r="W417" s="14">
        <v>1</v>
      </c>
      <c r="X417" s="20" t="str">
        <f>IF(ISBLANK(V417),"",IF(V417&gt;W417,"1",IF(V417&lt;W417,"2",IF(V417=W417,"X"))))</f>
        <v>1</v>
      </c>
      <c r="Y417" s="23" t="str">
        <f>COUNTIF(F417:J417, "W")&amp;COUNTIF(F417:J417, "d")&amp;COUNTIF(F417:J417, "l")</f>
        <v>320</v>
      </c>
      <c r="Z417" s="13" t="str">
        <f>COUNTIF(K417:O417, "W")&amp;COUNTIF(K417:O417, "d")&amp;COUNTIF(K417:O417, "l")</f>
        <v>032</v>
      </c>
      <c r="AA417" s="23" t="str">
        <f>_xlfn.CONCAT(Y417,"-",Z417)</f>
        <v>320-032</v>
      </c>
      <c r="AB417" s="13" t="str">
        <f>_xlfn.CONCAT(AA417,"…",TEXT(U417,"+00;-00;+00;"))</f>
        <v>320-032…+12</v>
      </c>
      <c r="AC417" s="23" t="str">
        <f>_xlfn.CONCAT(TEXT(P417,"+00;-00;+00;"),"…",TEXT(Q417,"+00;-00;+00;"))</f>
        <v>+01…-11</v>
      </c>
      <c r="AD417" s="14" t="str">
        <f>IF(X417="","?","")</f>
        <v/>
      </c>
      <c r="AE417" s="15" t="str">
        <f>_xlfn.CONCAT(AA417,"…",TEXT(P417,"+00;-00;+00;"),"...",TEXT(Q417,"+00;-00;+00;"))</f>
        <v>320-032…+01...-11</v>
      </c>
      <c r="AF417" s="13" t="str">
        <f>_xlfn.CONCAT(R417,"…",TEXT(P417,"+00;-00;+00;"),"...",TEXT(Q417,"+00;-00;+00;"))</f>
        <v>DWWDW…+01...-11</v>
      </c>
    </row>
    <row r="418" spans="1:32" x14ac:dyDescent="0.25">
      <c r="A418" s="13" t="s">
        <v>883</v>
      </c>
      <c r="B418" s="13" t="s">
        <v>7</v>
      </c>
      <c r="C418" s="14" t="s">
        <v>8</v>
      </c>
      <c r="D418" s="13" t="s">
        <v>11</v>
      </c>
      <c r="E418" s="13" t="s">
        <v>607</v>
      </c>
      <c r="F418" s="13" t="s">
        <v>31</v>
      </c>
      <c r="G418" s="13" t="s">
        <v>30</v>
      </c>
      <c r="H418" s="13" t="s">
        <v>31</v>
      </c>
      <c r="I418" s="13" t="s">
        <v>29</v>
      </c>
      <c r="J418" s="13" t="s">
        <v>31</v>
      </c>
      <c r="K418" s="13" t="s">
        <v>30</v>
      </c>
      <c r="L418" s="13" t="s">
        <v>30</v>
      </c>
      <c r="M418" s="13" t="s">
        <v>30</v>
      </c>
      <c r="N418" s="13" t="s">
        <v>31</v>
      </c>
      <c r="O418" s="13" t="s">
        <v>30</v>
      </c>
      <c r="P418" s="16">
        <v>-13</v>
      </c>
      <c r="Q418" s="16">
        <v>18</v>
      </c>
      <c r="R418" s="13" t="str">
        <f>_xlfn.CONCAT(F418,G418,H418,I418,J418)</f>
        <v>LWLDL</v>
      </c>
      <c r="S418" s="13" t="str">
        <f>_xlfn.CONCAT(K418,L418,M418,N418,O418)</f>
        <v>WWWLW</v>
      </c>
      <c r="T418" s="13" t="str">
        <f>_xlfn.CONCAT(R418,"***",S418)</f>
        <v>LWLDL***WWWLW</v>
      </c>
      <c r="U418" s="21">
        <f>(P418-Q418)</f>
        <v>-31</v>
      </c>
      <c r="V418" s="14">
        <v>3</v>
      </c>
      <c r="W418" s="14">
        <v>4</v>
      </c>
      <c r="X418" s="20" t="str">
        <f>IF(ISBLANK(V418),"",IF(V418&gt;W418,"1",IF(V418&lt;W418,"2",IF(V418=W418,"X"))))</f>
        <v>2</v>
      </c>
      <c r="Y418" s="23" t="str">
        <f>COUNTIF(F418:J418, "W")&amp;COUNTIF(F418:J418, "d")&amp;COUNTIF(F418:J418, "l")</f>
        <v>113</v>
      </c>
      <c r="Z418" s="13" t="str">
        <f>COUNTIF(K418:O418, "W")&amp;COUNTIF(K418:O418, "d")&amp;COUNTIF(K418:O418, "l")</f>
        <v>401</v>
      </c>
      <c r="AA418" s="23" t="str">
        <f>_xlfn.CONCAT(Y418,"-",Z418)</f>
        <v>113-401</v>
      </c>
      <c r="AB418" s="13" t="str">
        <f>_xlfn.CONCAT(AA418,"…",TEXT(U418,"+00;-00;+00;"))</f>
        <v>113-401…-31</v>
      </c>
      <c r="AC418" s="23" t="str">
        <f>_xlfn.CONCAT(TEXT(P418,"+00;-00;+00;"),"…",TEXT(Q418,"+00;-00;+00;"))</f>
        <v>-13…+18</v>
      </c>
      <c r="AD418" s="14" t="str">
        <f>IF(X418="","?","")</f>
        <v/>
      </c>
      <c r="AE418" s="15" t="str">
        <f>_xlfn.CONCAT(AA418,"…",TEXT(P418,"+00;-00;+00;"),"...",TEXT(Q418,"+00;-00;+00;"))</f>
        <v>113-401…-13...+18</v>
      </c>
      <c r="AF418" s="13" t="str">
        <f>_xlfn.CONCAT(R418,"…",TEXT(P418,"+00;-00;+00;"),"...",TEXT(Q418,"+00;-00;+00;"))</f>
        <v>LWLDL…-13...+18</v>
      </c>
    </row>
    <row r="419" spans="1:32" x14ac:dyDescent="0.25">
      <c r="A419" s="13" t="s">
        <v>924</v>
      </c>
      <c r="B419" s="13" t="s">
        <v>167</v>
      </c>
      <c r="C419" s="14">
        <v>2</v>
      </c>
      <c r="D419" s="13" t="s">
        <v>717</v>
      </c>
      <c r="E419" s="13" t="s">
        <v>207</v>
      </c>
      <c r="F419" s="13" t="s">
        <v>29</v>
      </c>
      <c r="G419" s="13" t="s">
        <v>30</v>
      </c>
      <c r="H419" s="13" t="s">
        <v>31</v>
      </c>
      <c r="I419" s="13" t="s">
        <v>31</v>
      </c>
      <c r="J419" s="13" t="s">
        <v>30</v>
      </c>
      <c r="K419" s="13" t="s">
        <v>30</v>
      </c>
      <c r="L419" s="13" t="s">
        <v>31</v>
      </c>
      <c r="M419" s="13" t="s">
        <v>29</v>
      </c>
      <c r="N419" s="13" t="s">
        <v>31</v>
      </c>
      <c r="O419" s="13" t="s">
        <v>29</v>
      </c>
      <c r="P419" s="16">
        <v>-3</v>
      </c>
      <c r="Q419" s="16">
        <v>19</v>
      </c>
      <c r="R419" s="13" t="str">
        <f>_xlfn.CONCAT(F419,G419,H419,I419,J419)</f>
        <v>DWLLW</v>
      </c>
      <c r="S419" s="13" t="str">
        <f>_xlfn.CONCAT(K419,L419,M419,N419,O419)</f>
        <v>WLDLD</v>
      </c>
      <c r="T419" s="13" t="str">
        <f>_xlfn.CONCAT(R419,"***",S419)</f>
        <v>DWLLW***WLDLD</v>
      </c>
      <c r="U419" s="21">
        <f>(P419-Q419)</f>
        <v>-22</v>
      </c>
      <c r="V419" s="14">
        <v>1</v>
      </c>
      <c r="W419" s="14">
        <v>2</v>
      </c>
      <c r="X419" s="20" t="str">
        <f>IF(ISBLANK(V419),"",IF(V419&gt;W419,"1",IF(V419&lt;W419,"2",IF(V419=W419,"X"))))</f>
        <v>2</v>
      </c>
      <c r="Y419" s="23" t="str">
        <f>COUNTIF(F419:J419, "W")&amp;COUNTIF(F419:J419, "d")&amp;COUNTIF(F419:J419, "l")</f>
        <v>212</v>
      </c>
      <c r="Z419" s="13" t="str">
        <f>COUNTIF(K419:O419, "W")&amp;COUNTIF(K419:O419, "d")&amp;COUNTIF(K419:O419, "l")</f>
        <v>122</v>
      </c>
      <c r="AA419" s="23" t="str">
        <f>_xlfn.CONCAT(Y419,"-",Z419)</f>
        <v>212-122</v>
      </c>
      <c r="AB419" s="13" t="str">
        <f>_xlfn.CONCAT(AA419,"…",TEXT(U419,"+00;-00;+00;"))</f>
        <v>212-122…-22</v>
      </c>
      <c r="AC419" s="23" t="str">
        <f>_xlfn.CONCAT(TEXT(P419,"+00;-00;+00;"),"…",TEXT(Q419,"+00;-00;+00;"))</f>
        <v>-03…+19</v>
      </c>
      <c r="AD419" s="14" t="str">
        <f>IF(X419="","?","")</f>
        <v/>
      </c>
      <c r="AE419" s="15" t="str">
        <f>_xlfn.CONCAT(AA419,"…",TEXT(P419,"+00;-00;+00;"),"...",TEXT(Q419,"+00;-00;+00;"))</f>
        <v>212-122…-03...+19</v>
      </c>
      <c r="AF419" s="13" t="str">
        <f>_xlfn.CONCAT(R419,"…",TEXT(P419,"+00;-00;+00;"),"...",TEXT(Q419,"+00;-00;+00;"))</f>
        <v>DWLLW…-03...+19</v>
      </c>
    </row>
    <row r="420" spans="1:32" x14ac:dyDescent="0.25">
      <c r="A420" s="12" t="s">
        <v>924</v>
      </c>
      <c r="B420" s="13" t="s">
        <v>295</v>
      </c>
      <c r="C420" s="14">
        <v>1</v>
      </c>
      <c r="D420" s="13" t="s">
        <v>979</v>
      </c>
      <c r="E420" s="13" t="s">
        <v>980</v>
      </c>
      <c r="F420" s="15" t="s">
        <v>29</v>
      </c>
      <c r="G420" s="15" t="s">
        <v>30</v>
      </c>
      <c r="H420" s="15" t="s">
        <v>31</v>
      </c>
      <c r="I420" s="15" t="s">
        <v>29</v>
      </c>
      <c r="J420" s="15" t="s">
        <v>30</v>
      </c>
      <c r="K420" s="15" t="s">
        <v>31</v>
      </c>
      <c r="L420" s="15" t="s">
        <v>29</v>
      </c>
      <c r="M420" s="15" t="s">
        <v>29</v>
      </c>
      <c r="N420" s="15" t="s">
        <v>29</v>
      </c>
      <c r="O420" s="15" t="s">
        <v>29</v>
      </c>
      <c r="P420" s="18">
        <v>23</v>
      </c>
      <c r="Q420" s="18">
        <v>-3</v>
      </c>
      <c r="R420" s="15" t="str">
        <f>_xlfn.CONCAT(F420,G420,H420,I420,J420)</f>
        <v>DWLDW</v>
      </c>
      <c r="S420" s="13" t="str">
        <f>_xlfn.CONCAT(K420,L420,M420,N420,O420)</f>
        <v>LDDDD</v>
      </c>
      <c r="T420" s="13" t="str">
        <f>_xlfn.CONCAT(R420,"***",S420)</f>
        <v>DWLDW***LDDDD</v>
      </c>
      <c r="U420" s="19">
        <f>(P420-Q420)</f>
        <v>26</v>
      </c>
      <c r="V420" s="14">
        <v>1</v>
      </c>
      <c r="W420" s="14">
        <v>2</v>
      </c>
      <c r="X420" s="20" t="str">
        <f>IF(ISBLANK(V420),"",IF(V420&gt;W420,"1",IF(V420&lt;W420,"2",IF(V420=W420,"X"))))</f>
        <v>2</v>
      </c>
      <c r="Y420" s="23" t="str">
        <f>COUNTIF(F420:J420, "W")&amp;COUNTIF(F420:J420, "d")&amp;COUNTIF(F420:J420, "l")</f>
        <v>221</v>
      </c>
      <c r="Z420" s="13" t="str">
        <f>COUNTIF(K420:O420, "W")&amp;COUNTIF(K420:O420, "d")&amp;COUNTIF(K420:O420, "l")</f>
        <v>041</v>
      </c>
      <c r="AA420" s="23" t="str">
        <f>_xlfn.CONCAT(Y420,"-",Z420)</f>
        <v>221-041</v>
      </c>
      <c r="AB420" s="15" t="str">
        <f>_xlfn.CONCAT(AA420,"…",TEXT(U420,"+00;-00;+00;"))</f>
        <v>221-041…+26</v>
      </c>
      <c r="AC420" s="23" t="str">
        <f>_xlfn.CONCAT(TEXT(P420,"+00;-00;+00;"),"…",TEXT(Q420,"+00;-00;+00;"))</f>
        <v>+23…-03</v>
      </c>
      <c r="AD420" s="14" t="str">
        <f>IF(X420="","?","")</f>
        <v/>
      </c>
      <c r="AE420" s="15" t="str">
        <f>_xlfn.CONCAT(AA420,"…",TEXT(P420,"+00;-00;+00;"),"...",TEXT(Q420,"+00;-00;+00;"))</f>
        <v>221-041…+23...-03</v>
      </c>
      <c r="AF420" s="13" t="str">
        <f>_xlfn.CONCAT(R420,"…",TEXT(P420,"+00;-00;+00;"),"...",TEXT(Q420,"+00;-00;+00;"))</f>
        <v>DWLDW…+23...-03</v>
      </c>
    </row>
    <row r="421" spans="1:32" x14ac:dyDescent="0.25">
      <c r="A421" s="12" t="s">
        <v>978</v>
      </c>
      <c r="B421" s="13" t="s">
        <v>295</v>
      </c>
      <c r="C421" s="14">
        <v>1</v>
      </c>
      <c r="D421" s="13" t="s">
        <v>310</v>
      </c>
      <c r="E421" s="13" t="s">
        <v>307</v>
      </c>
      <c r="F421" s="15" t="s">
        <v>29</v>
      </c>
      <c r="G421" s="15" t="s">
        <v>30</v>
      </c>
      <c r="H421" s="15" t="s">
        <v>31</v>
      </c>
      <c r="I421" s="15" t="s">
        <v>31</v>
      </c>
      <c r="J421" s="15" t="s">
        <v>31</v>
      </c>
      <c r="K421" s="15" t="s">
        <v>30</v>
      </c>
      <c r="L421" s="15" t="s">
        <v>30</v>
      </c>
      <c r="M421" s="15" t="s">
        <v>29</v>
      </c>
      <c r="N421" s="15" t="s">
        <v>30</v>
      </c>
      <c r="O421" s="15" t="s">
        <v>30</v>
      </c>
      <c r="P421" s="18">
        <v>-11</v>
      </c>
      <c r="Q421" s="18">
        <v>3</v>
      </c>
      <c r="R421" s="15" t="str">
        <f>_xlfn.CONCAT(F421,G421,H421,I421,J421)</f>
        <v>DWLLL</v>
      </c>
      <c r="S421" s="13" t="str">
        <f>_xlfn.CONCAT(K421,L421,M421,N421,O421)</f>
        <v>WWDWW</v>
      </c>
      <c r="T421" s="13" t="str">
        <f>_xlfn.CONCAT(R421,"***",S421)</f>
        <v>DWLLL***WWDWW</v>
      </c>
      <c r="U421" s="19">
        <f>(P421-Q421)</f>
        <v>-14</v>
      </c>
      <c r="V421" s="14">
        <v>2</v>
      </c>
      <c r="W421" s="14">
        <v>3</v>
      </c>
      <c r="X421" s="20" t="str">
        <f>IF(ISBLANK(V421),"",IF(V421&gt;W421,"1",IF(V421&lt;W421,"2",IF(V421=W421,"X"))))</f>
        <v>2</v>
      </c>
      <c r="Y421" s="23" t="str">
        <f>COUNTIF(F421:J421, "W")&amp;COUNTIF(F421:J421, "d")&amp;COUNTIF(F421:J421, "l")</f>
        <v>113</v>
      </c>
      <c r="Z421" s="13" t="str">
        <f>COUNTIF(K421:O421, "W")&amp;COUNTIF(K421:O421, "d")&amp;COUNTIF(K421:O421, "l")</f>
        <v>410</v>
      </c>
      <c r="AA421" s="23" t="str">
        <f>_xlfn.CONCAT(Y421,"-",Z421)</f>
        <v>113-410</v>
      </c>
      <c r="AB421" s="15" t="str">
        <f>_xlfn.CONCAT(AA421,"…",TEXT(U421,"+00;-00;+00;"))</f>
        <v>113-410…-14</v>
      </c>
      <c r="AC421" s="23" t="str">
        <f>_xlfn.CONCAT(TEXT(P421,"+00;-00;+00;"),"…",TEXT(Q421,"+00;-00;+00;"))</f>
        <v>-11…+03</v>
      </c>
      <c r="AD421" s="14" t="str">
        <f>IF(X421="","?","")</f>
        <v/>
      </c>
      <c r="AE421" s="15" t="str">
        <f>_xlfn.CONCAT(AA421,"…",TEXT(P421,"+00;-00;+00;"),"...",TEXT(Q421,"+00;-00;+00;"))</f>
        <v>113-410…-11...+03</v>
      </c>
      <c r="AF421" s="13" t="str">
        <f>_xlfn.CONCAT(R421,"…",TEXT(P421,"+00;-00;+00;"),"...",TEXT(Q421,"+00;-00;+00;"))</f>
        <v>DWLLL…-11...+03</v>
      </c>
    </row>
    <row r="422" spans="1:32" x14ac:dyDescent="0.25">
      <c r="A422" s="12" t="s">
        <v>941</v>
      </c>
      <c r="B422" s="13" t="s">
        <v>7</v>
      </c>
      <c r="C422" s="14" t="s">
        <v>8</v>
      </c>
      <c r="D422" s="13" t="s">
        <v>619</v>
      </c>
      <c r="E422" s="13" t="s">
        <v>948</v>
      </c>
      <c r="F422" s="15" t="s">
        <v>31</v>
      </c>
      <c r="G422" s="15" t="s">
        <v>30</v>
      </c>
      <c r="H422" s="15" t="s">
        <v>31</v>
      </c>
      <c r="I422" s="15" t="s">
        <v>31</v>
      </c>
      <c r="J422" s="15" t="s">
        <v>29</v>
      </c>
      <c r="K422" s="15" t="s">
        <v>31</v>
      </c>
      <c r="L422" s="15" t="s">
        <v>31</v>
      </c>
      <c r="M422" s="15" t="s">
        <v>31</v>
      </c>
      <c r="N422" s="15" t="s">
        <v>30</v>
      </c>
      <c r="O422" s="15" t="s">
        <v>31</v>
      </c>
      <c r="P422" s="18">
        <v>-10</v>
      </c>
      <c r="Q422" s="18">
        <v>-6</v>
      </c>
      <c r="R422" s="15" t="str">
        <f>_xlfn.CONCAT(F422,G422,H422,I422,J422)</f>
        <v>LWLLD</v>
      </c>
      <c r="S422" s="13" t="str">
        <f>_xlfn.CONCAT(K422,L422,M422,N422,O422)</f>
        <v>LLLWL</v>
      </c>
      <c r="T422" s="13" t="str">
        <f>_xlfn.CONCAT(R422,"***",S422)</f>
        <v>LWLLD***LLLWL</v>
      </c>
      <c r="U422" s="19">
        <f>(P422-Q422)</f>
        <v>-4</v>
      </c>
      <c r="V422" s="14">
        <v>5</v>
      </c>
      <c r="W422" s="14">
        <v>0</v>
      </c>
      <c r="X422" s="20" t="str">
        <f>IF(ISBLANK(V422),"",IF(V422&gt;W422,"1",IF(V422&lt;W422,"2",IF(V422=W422,"X"))))</f>
        <v>1</v>
      </c>
      <c r="Y422" s="23" t="str">
        <f>COUNTIF(F422:J422, "W")&amp;COUNTIF(F422:J422, "d")&amp;COUNTIF(F422:J422, "l")</f>
        <v>113</v>
      </c>
      <c r="Z422" s="13" t="str">
        <f>COUNTIF(K422:O422, "W")&amp;COUNTIF(K422:O422, "d")&amp;COUNTIF(K422:O422, "l")</f>
        <v>104</v>
      </c>
      <c r="AA422" s="23" t="str">
        <f>_xlfn.CONCAT(Y422,"-",Z422)</f>
        <v>113-104</v>
      </c>
      <c r="AB422" s="15" t="str">
        <f>_xlfn.CONCAT(AA422,"…",TEXT(U422,"+00;-00;+00;"))</f>
        <v>113-104…-04</v>
      </c>
      <c r="AC422" s="23" t="str">
        <f>_xlfn.CONCAT(TEXT(P422,"+00;-00;+00;"),"…",TEXT(Q422,"+00;-00;+00;"))</f>
        <v>-10…-06</v>
      </c>
      <c r="AD422" s="14" t="str">
        <f>IF(X422="","?","")</f>
        <v/>
      </c>
      <c r="AE422" s="15" t="str">
        <f>_xlfn.CONCAT(AA422,"…",TEXT(P422,"+00;-00;+00;"),"...",TEXT(Q422,"+00;-00;+00;"))</f>
        <v>113-104…-10...-06</v>
      </c>
      <c r="AF422" s="13" t="str">
        <f>_xlfn.CONCAT(R422,"…",TEXT(P422,"+00;-00;+00;"),"...",TEXT(Q422,"+00;-00;+00;"))</f>
        <v>LWLLD…-10...-06</v>
      </c>
    </row>
    <row r="423" spans="1:32" x14ac:dyDescent="0.25">
      <c r="A423" s="12" t="s">
        <v>941</v>
      </c>
      <c r="B423" s="13" t="s">
        <v>7</v>
      </c>
      <c r="C423" s="14" t="s">
        <v>8</v>
      </c>
      <c r="D423" s="13" t="s">
        <v>21</v>
      </c>
      <c r="E423" s="13" t="s">
        <v>947</v>
      </c>
      <c r="F423" s="15" t="s">
        <v>29</v>
      </c>
      <c r="G423" s="15" t="s">
        <v>31</v>
      </c>
      <c r="H423" s="15" t="s">
        <v>31</v>
      </c>
      <c r="I423" s="15" t="s">
        <v>30</v>
      </c>
      <c r="J423" s="15" t="s">
        <v>31</v>
      </c>
      <c r="K423" s="15" t="s">
        <v>29</v>
      </c>
      <c r="L423" s="15" t="s">
        <v>30</v>
      </c>
      <c r="M423" s="15" t="s">
        <v>30</v>
      </c>
      <c r="N423" s="15" t="s">
        <v>31</v>
      </c>
      <c r="O423" s="15" t="s">
        <v>30</v>
      </c>
      <c r="P423" s="18">
        <v>-5</v>
      </c>
      <c r="Q423" s="18">
        <v>-14</v>
      </c>
      <c r="R423" s="15" t="str">
        <f>_xlfn.CONCAT(F423,G423,H423,I423,J423)</f>
        <v>DLLWL</v>
      </c>
      <c r="S423" s="13" t="str">
        <f>_xlfn.CONCAT(K423,L423,M423,N423,O423)</f>
        <v>DWWLW</v>
      </c>
      <c r="T423" s="13" t="str">
        <f>_xlfn.CONCAT(R423,"***",S423)</f>
        <v>DLLWL***DWWLW</v>
      </c>
      <c r="U423" s="19">
        <f>(P423-Q423)</f>
        <v>9</v>
      </c>
      <c r="V423" s="14">
        <v>0</v>
      </c>
      <c r="W423" s="14">
        <v>2</v>
      </c>
      <c r="X423" s="20" t="str">
        <f>IF(ISBLANK(V423),"",IF(V423&gt;W423,"1",IF(V423&lt;W423,"2",IF(V423=W423,"X"))))</f>
        <v>2</v>
      </c>
      <c r="Y423" s="23" t="str">
        <f>COUNTIF(F423:J423, "W")&amp;COUNTIF(F423:J423, "d")&amp;COUNTIF(F423:J423, "l")</f>
        <v>113</v>
      </c>
      <c r="Z423" s="13" t="str">
        <f>COUNTIF(K423:O423, "W")&amp;COUNTIF(K423:O423, "d")&amp;COUNTIF(K423:O423, "l")</f>
        <v>311</v>
      </c>
      <c r="AA423" s="23" t="str">
        <f>_xlfn.CONCAT(Y423,"-",Z423)</f>
        <v>113-311</v>
      </c>
      <c r="AB423" s="15" t="str">
        <f>_xlfn.CONCAT(AA423,"…",TEXT(U423,"+00;-00;+00;"))</f>
        <v>113-311…+09</v>
      </c>
      <c r="AC423" s="23" t="str">
        <f>_xlfn.CONCAT(TEXT(P423,"+00;-00;+00;"),"…",TEXT(Q423,"+00;-00;+00;"))</f>
        <v>-05…-14</v>
      </c>
      <c r="AD423" s="14" t="str">
        <f>IF(X423="","?","")</f>
        <v/>
      </c>
      <c r="AE423" s="15" t="str">
        <f>_xlfn.CONCAT(AA423,"…",TEXT(P423,"+00;-00;+00;"),"...",TEXT(Q423,"+00;-00;+00;"))</f>
        <v>113-311…-05...-14</v>
      </c>
      <c r="AF423" s="13" t="str">
        <f>_xlfn.CONCAT(R423,"…",TEXT(P423,"+00;-00;+00;"),"...",TEXT(Q423,"+00;-00;+00;"))</f>
        <v>DLLWL…-05...-14</v>
      </c>
    </row>
    <row r="424" spans="1:32" x14ac:dyDescent="0.25">
      <c r="A424" s="12" t="s">
        <v>941</v>
      </c>
      <c r="B424" s="13" t="s">
        <v>7</v>
      </c>
      <c r="C424" s="14" t="s">
        <v>8</v>
      </c>
      <c r="D424" s="13" t="s">
        <v>14</v>
      </c>
      <c r="E424" s="13" t="s">
        <v>19</v>
      </c>
      <c r="F424" s="15" t="s">
        <v>31</v>
      </c>
      <c r="G424" s="15" t="s">
        <v>31</v>
      </c>
      <c r="H424" s="15" t="s">
        <v>29</v>
      </c>
      <c r="I424" s="15" t="s">
        <v>30</v>
      </c>
      <c r="J424" s="15" t="s">
        <v>31</v>
      </c>
      <c r="K424" s="15" t="s">
        <v>30</v>
      </c>
      <c r="L424" s="15" t="s">
        <v>29</v>
      </c>
      <c r="M424" s="15" t="s">
        <v>30</v>
      </c>
      <c r="N424" s="15" t="s">
        <v>29</v>
      </c>
      <c r="O424" s="15" t="s">
        <v>30</v>
      </c>
      <c r="P424" s="18">
        <v>-28</v>
      </c>
      <c r="Q424" s="18">
        <v>18</v>
      </c>
      <c r="R424" s="15" t="str">
        <f>_xlfn.CONCAT(F424,G424,H424,I424,J424)</f>
        <v>LLDWL</v>
      </c>
      <c r="S424" s="13" t="str">
        <f>_xlfn.CONCAT(K424,L424,M424,N424,O424)</f>
        <v>WDWDW</v>
      </c>
      <c r="T424" s="13" t="str">
        <f>_xlfn.CONCAT(R424,"***",S424)</f>
        <v>LLDWL***WDWDW</v>
      </c>
      <c r="U424" s="19">
        <f>(P424-Q424)</f>
        <v>-46</v>
      </c>
      <c r="V424" s="14">
        <v>0</v>
      </c>
      <c r="W424" s="14">
        <v>2</v>
      </c>
      <c r="X424" s="20" t="str">
        <f>IF(ISBLANK(V424),"",IF(V424&gt;W424,"1",IF(V424&lt;W424,"2",IF(V424=W424,"X"))))</f>
        <v>2</v>
      </c>
      <c r="Y424" s="23" t="str">
        <f>COUNTIF(F424:J424, "W")&amp;COUNTIF(F424:J424, "d")&amp;COUNTIF(F424:J424, "l")</f>
        <v>113</v>
      </c>
      <c r="Z424" s="13" t="str">
        <f>COUNTIF(K424:O424, "W")&amp;COUNTIF(K424:O424, "d")&amp;COUNTIF(K424:O424, "l")</f>
        <v>320</v>
      </c>
      <c r="AA424" s="23" t="str">
        <f>_xlfn.CONCAT(Y424,"-",Z424)</f>
        <v>113-320</v>
      </c>
      <c r="AB424" s="15" t="str">
        <f>_xlfn.CONCAT(AA424,"…",TEXT(U424,"+00;-00;+00;"))</f>
        <v>113-320…-46</v>
      </c>
      <c r="AC424" s="23" t="str">
        <f>_xlfn.CONCAT(TEXT(P424,"+00;-00;+00;"),"…",TEXT(Q424,"+00;-00;+00;"))</f>
        <v>-28…+18</v>
      </c>
      <c r="AD424" s="14" t="str">
        <f>IF(X424="","?","")</f>
        <v/>
      </c>
      <c r="AE424" s="15" t="str">
        <f>_xlfn.CONCAT(AA424,"…",TEXT(P424,"+00;-00;+00;"),"...",TEXT(Q424,"+00;-00;+00;"))</f>
        <v>113-320…-28...+18</v>
      </c>
      <c r="AF424" s="13" t="str">
        <f>_xlfn.CONCAT(R424,"…",TEXT(P424,"+00;-00;+00;"),"...",TEXT(Q424,"+00;-00;+00;"))</f>
        <v>LLDWL…-28...+18</v>
      </c>
    </row>
    <row r="425" spans="1:32" x14ac:dyDescent="0.25">
      <c r="A425" s="12" t="s">
        <v>941</v>
      </c>
      <c r="B425" s="13" t="s">
        <v>7</v>
      </c>
      <c r="C425" s="14" t="s">
        <v>8</v>
      </c>
      <c r="D425" s="13" t="s">
        <v>945</v>
      </c>
      <c r="E425" s="13" t="s">
        <v>946</v>
      </c>
      <c r="F425" s="15" t="s">
        <v>31</v>
      </c>
      <c r="G425" s="15" t="s">
        <v>30</v>
      </c>
      <c r="H425" s="15" t="s">
        <v>29</v>
      </c>
      <c r="I425" s="15" t="s">
        <v>29</v>
      </c>
      <c r="J425" s="15" t="s">
        <v>29</v>
      </c>
      <c r="K425" s="15" t="s">
        <v>30</v>
      </c>
      <c r="L425" s="15" t="s">
        <v>31</v>
      </c>
      <c r="M425" s="15" t="s">
        <v>31</v>
      </c>
      <c r="N425" s="15" t="s">
        <v>30</v>
      </c>
      <c r="O425" s="15" t="s">
        <v>30</v>
      </c>
      <c r="P425" s="18">
        <v>4</v>
      </c>
      <c r="Q425" s="18">
        <v>3</v>
      </c>
      <c r="R425" s="15" t="str">
        <f>_xlfn.CONCAT(F425,G425,H425,I425,J425)</f>
        <v>LWDDD</v>
      </c>
      <c r="S425" s="13" t="str">
        <f>_xlfn.CONCAT(K425,L425,M425,N425,O425)</f>
        <v>WLLWW</v>
      </c>
      <c r="T425" s="13" t="str">
        <f>_xlfn.CONCAT(R425,"***",S425)</f>
        <v>LWDDD***WLLWW</v>
      </c>
      <c r="U425" s="19">
        <f>(P425-Q425)</f>
        <v>1</v>
      </c>
      <c r="V425" s="14">
        <v>2</v>
      </c>
      <c r="W425" s="14">
        <v>1</v>
      </c>
      <c r="X425" s="20" t="str">
        <f>IF(ISBLANK(V425),"",IF(V425&gt;W425,"1",IF(V425&lt;W425,"2",IF(V425=W425,"X"))))</f>
        <v>1</v>
      </c>
      <c r="Y425" s="23" t="str">
        <f>COUNTIF(F425:J425, "W")&amp;COUNTIF(F425:J425, "d")&amp;COUNTIF(F425:J425, "l")</f>
        <v>131</v>
      </c>
      <c r="Z425" s="13" t="str">
        <f>COUNTIF(K425:O425, "W")&amp;COUNTIF(K425:O425, "d")&amp;COUNTIF(K425:O425, "l")</f>
        <v>302</v>
      </c>
      <c r="AA425" s="23" t="str">
        <f>_xlfn.CONCAT(Y425,"-",Z425)</f>
        <v>131-302</v>
      </c>
      <c r="AB425" s="15" t="str">
        <f>_xlfn.CONCAT(AA425,"…",TEXT(U425,"+00;-00;+00;"))</f>
        <v>131-302…+01</v>
      </c>
      <c r="AC425" s="23" t="str">
        <f>_xlfn.CONCAT(TEXT(P425,"+00;-00;+00;"),"…",TEXT(Q425,"+00;-00;+00;"))</f>
        <v>+04…+03</v>
      </c>
      <c r="AD425" s="14" t="str">
        <f>IF(X425="","?","")</f>
        <v/>
      </c>
      <c r="AE425" s="15" t="str">
        <f>_xlfn.CONCAT(AA425,"…",TEXT(P425,"+00;-00;+00;"),"...",TEXT(Q425,"+00;-00;+00;"))</f>
        <v>131-302…+04...+03</v>
      </c>
      <c r="AF425" s="13" t="str">
        <f>_xlfn.CONCAT(R425,"…",TEXT(P425,"+00;-00;+00;"),"...",TEXT(Q425,"+00;-00;+00;"))</f>
        <v>LWDDD…+04...+03</v>
      </c>
    </row>
    <row r="426" spans="1:32" x14ac:dyDescent="0.25">
      <c r="A426" s="13" t="s">
        <v>921</v>
      </c>
      <c r="B426" s="13" t="s">
        <v>167</v>
      </c>
      <c r="C426" s="14">
        <v>1</v>
      </c>
      <c r="D426" s="13" t="s">
        <v>922</v>
      </c>
      <c r="E426" s="13" t="s">
        <v>185</v>
      </c>
      <c r="F426" s="13" t="s">
        <v>30</v>
      </c>
      <c r="G426" s="13" t="s">
        <v>29</v>
      </c>
      <c r="H426" s="13" t="s">
        <v>31</v>
      </c>
      <c r="I426" s="13" t="s">
        <v>29</v>
      </c>
      <c r="J426" s="13" t="s">
        <v>31</v>
      </c>
      <c r="K426" s="13" t="s">
        <v>31</v>
      </c>
      <c r="L426" s="13" t="s">
        <v>31</v>
      </c>
      <c r="M426" s="13" t="s">
        <v>30</v>
      </c>
      <c r="N426" s="13" t="s">
        <v>29</v>
      </c>
      <c r="O426" s="13" t="s">
        <v>31</v>
      </c>
      <c r="P426" s="16">
        <v>1</v>
      </c>
      <c r="Q426" s="16">
        <v>-13</v>
      </c>
      <c r="R426" s="13" t="str">
        <f>_xlfn.CONCAT(F426,G426,H426,I426,J426)</f>
        <v>WDLDL</v>
      </c>
      <c r="S426" s="13" t="str">
        <f>_xlfn.CONCAT(K426,L426,M426,N426,O426)</f>
        <v>LLWDL</v>
      </c>
      <c r="T426" s="13" t="str">
        <f>_xlfn.CONCAT(R426,"***",S426)</f>
        <v>WDLDL***LLWDL</v>
      </c>
      <c r="U426" s="21">
        <f>(P426-Q426)</f>
        <v>14</v>
      </c>
      <c r="V426" s="14">
        <v>3</v>
      </c>
      <c r="W426" s="14">
        <v>0</v>
      </c>
      <c r="X426" s="20" t="str">
        <f>IF(ISBLANK(V426),"",IF(V426&gt;W426,"1",IF(V426&lt;W426,"2",IF(V426=W426,"X"))))</f>
        <v>1</v>
      </c>
      <c r="Y426" s="23" t="str">
        <f>COUNTIF(F426:J426, "W")&amp;COUNTIF(F426:J426, "d")&amp;COUNTIF(F426:J426, "l")</f>
        <v>122</v>
      </c>
      <c r="Z426" s="13" t="str">
        <f>COUNTIF(K426:O426, "W")&amp;COUNTIF(K426:O426, "d")&amp;COUNTIF(K426:O426, "l")</f>
        <v>113</v>
      </c>
      <c r="AA426" s="23" t="str">
        <f>_xlfn.CONCAT(Y426,"-",Z426)</f>
        <v>122-113</v>
      </c>
      <c r="AB426" s="13" t="str">
        <f>_xlfn.CONCAT(AA426,"…",TEXT(U426,"+00;-00;+00;"))</f>
        <v>122-113…+14</v>
      </c>
      <c r="AC426" s="23" t="str">
        <f>_xlfn.CONCAT(TEXT(P426,"+00;-00;+00;"),"…",TEXT(Q426,"+00;-00;+00;"))</f>
        <v>+01…-13</v>
      </c>
      <c r="AD426" s="14" t="str">
        <f>IF(X426="","?","")</f>
        <v/>
      </c>
      <c r="AE426" s="15" t="str">
        <f>_xlfn.CONCAT(AA426,"…",TEXT(P426,"+00;-00;+00;"),"...",TEXT(Q426,"+00;-00;+00;"))</f>
        <v>122-113…+01...-13</v>
      </c>
      <c r="AF426" s="13" t="str">
        <f>_xlfn.CONCAT(R426,"…",TEXT(P426,"+00;-00;+00;"),"...",TEXT(Q426,"+00;-00;+00;"))</f>
        <v>WDLDL…+01...-13</v>
      </c>
    </row>
    <row r="427" spans="1:32" x14ac:dyDescent="0.25">
      <c r="A427" s="12" t="s">
        <v>942</v>
      </c>
      <c r="B427" s="13" t="s">
        <v>7</v>
      </c>
      <c r="C427" s="14" t="s">
        <v>8</v>
      </c>
      <c r="D427" s="13" t="s">
        <v>614</v>
      </c>
      <c r="E427" s="13" t="s">
        <v>617</v>
      </c>
      <c r="F427" s="15" t="s">
        <v>31</v>
      </c>
      <c r="G427" s="15" t="s">
        <v>30</v>
      </c>
      <c r="H427" s="15" t="s">
        <v>30</v>
      </c>
      <c r="I427" s="15" t="s">
        <v>30</v>
      </c>
      <c r="J427" s="15" t="s">
        <v>31</v>
      </c>
      <c r="K427" s="15" t="s">
        <v>30</v>
      </c>
      <c r="L427" s="15" t="s">
        <v>31</v>
      </c>
      <c r="M427" s="15" t="s">
        <v>29</v>
      </c>
      <c r="N427" s="15" t="s">
        <v>30</v>
      </c>
      <c r="O427" s="15" t="s">
        <v>31</v>
      </c>
      <c r="P427" s="18">
        <v>-1</v>
      </c>
      <c r="Q427" s="18">
        <v>3</v>
      </c>
      <c r="R427" s="15" t="str">
        <f>_xlfn.CONCAT(F427,G427,H427,I427,J427)</f>
        <v>LWWWL</v>
      </c>
      <c r="S427" s="13" t="str">
        <f>_xlfn.CONCAT(K427,L427,M427,N427,O427)</f>
        <v>WLDWL</v>
      </c>
      <c r="T427" s="13" t="str">
        <f>_xlfn.CONCAT(R427,"***",S427)</f>
        <v>LWWWL***WLDWL</v>
      </c>
      <c r="U427" s="19">
        <f>(P427-Q427)</f>
        <v>-4</v>
      </c>
      <c r="V427" s="14">
        <v>2</v>
      </c>
      <c r="W427" s="14">
        <v>1</v>
      </c>
      <c r="X427" s="20" t="str">
        <f>IF(ISBLANK(V427),"",IF(V427&gt;W427,"1",IF(V427&lt;W427,"2",IF(V427=W427,"X"))))</f>
        <v>1</v>
      </c>
      <c r="Y427" s="23" t="str">
        <f>COUNTIF(F427:J427, "W")&amp;COUNTIF(F427:J427, "d")&amp;COUNTIF(F427:J427, "l")</f>
        <v>302</v>
      </c>
      <c r="Z427" s="13" t="str">
        <f>COUNTIF(K427:O427, "W")&amp;COUNTIF(K427:O427, "d")&amp;COUNTIF(K427:O427, "l")</f>
        <v>212</v>
      </c>
      <c r="AA427" s="23" t="str">
        <f>_xlfn.CONCAT(Y427,"-",Z427)</f>
        <v>302-212</v>
      </c>
      <c r="AB427" s="15" t="str">
        <f>_xlfn.CONCAT(AA427,"…",TEXT(U427,"+00;-00;+00;"))</f>
        <v>302-212…-04</v>
      </c>
      <c r="AC427" s="23" t="str">
        <f>_xlfn.CONCAT(TEXT(P427,"+00;-00;+00;"),"…",TEXT(Q427,"+00;-00;+00;"))</f>
        <v>-01…+03</v>
      </c>
      <c r="AD427" s="14" t="str">
        <f>IF(X427="","?","")</f>
        <v/>
      </c>
      <c r="AE427" s="15" t="str">
        <f>_xlfn.CONCAT(AA427,"…",TEXT(P427,"+00;-00;+00;"),"...",TEXT(Q427,"+00;-00;+00;"))</f>
        <v>302-212…-01...+03</v>
      </c>
      <c r="AF427" s="13" t="str">
        <f>_xlfn.CONCAT(R427,"…",TEXT(P427,"+00;-00;+00;"),"...",TEXT(Q427,"+00;-00;+00;"))</f>
        <v>LWWWL…-01...+03</v>
      </c>
    </row>
    <row r="428" spans="1:32" x14ac:dyDescent="0.25">
      <c r="A428" s="12" t="s">
        <v>942</v>
      </c>
      <c r="B428" s="13" t="s">
        <v>7</v>
      </c>
      <c r="C428" s="14" t="s">
        <v>8</v>
      </c>
      <c r="D428" s="13" t="s">
        <v>26</v>
      </c>
      <c r="E428" s="13" t="s">
        <v>621</v>
      </c>
      <c r="F428" s="15" t="s">
        <v>29</v>
      </c>
      <c r="G428" s="15" t="s">
        <v>30</v>
      </c>
      <c r="H428" s="15" t="s">
        <v>30</v>
      </c>
      <c r="I428" s="15" t="s">
        <v>31</v>
      </c>
      <c r="J428" s="15" t="s">
        <v>30</v>
      </c>
      <c r="K428" s="15" t="s">
        <v>29</v>
      </c>
      <c r="L428" s="15" t="s">
        <v>29</v>
      </c>
      <c r="M428" s="15" t="s">
        <v>29</v>
      </c>
      <c r="N428" s="15" t="s">
        <v>30</v>
      </c>
      <c r="O428" s="15" t="s">
        <v>30</v>
      </c>
      <c r="P428" s="18">
        <v>13</v>
      </c>
      <c r="Q428" s="18">
        <v>20</v>
      </c>
      <c r="R428" s="15" t="str">
        <f>_xlfn.CONCAT(F428,G428,H428,I428,J428)</f>
        <v>DWWLW</v>
      </c>
      <c r="S428" s="13" t="str">
        <f>_xlfn.CONCAT(K428,L428,M428,N428,O428)</f>
        <v>DDDWW</v>
      </c>
      <c r="T428" s="13" t="str">
        <f>_xlfn.CONCAT(R428,"***",S428)</f>
        <v>DWWLW***DDDWW</v>
      </c>
      <c r="U428" s="19">
        <f>(P428-Q428)</f>
        <v>-7</v>
      </c>
      <c r="V428" s="14">
        <v>1</v>
      </c>
      <c r="W428" s="14">
        <v>0</v>
      </c>
      <c r="X428" s="20" t="str">
        <f>IF(ISBLANK(V428),"",IF(V428&gt;W428,"1",IF(V428&lt;W428,"2",IF(V428=W428,"X"))))</f>
        <v>1</v>
      </c>
      <c r="Y428" s="23" t="str">
        <f>COUNTIF(F428:J428, "W")&amp;COUNTIF(F428:J428, "d")&amp;COUNTIF(F428:J428, "l")</f>
        <v>311</v>
      </c>
      <c r="Z428" s="13" t="str">
        <f>COUNTIF(K428:O428, "W")&amp;COUNTIF(K428:O428, "d")&amp;COUNTIF(K428:O428, "l")</f>
        <v>230</v>
      </c>
      <c r="AA428" s="23" t="str">
        <f>_xlfn.CONCAT(Y428,"-",Z428)</f>
        <v>311-230</v>
      </c>
      <c r="AB428" s="15" t="str">
        <f>_xlfn.CONCAT(AA428,"…",TEXT(U428,"+00;-00;+00;"))</f>
        <v>311-230…-07</v>
      </c>
      <c r="AC428" s="23" t="str">
        <f>_xlfn.CONCAT(TEXT(P428,"+00;-00;+00;"),"…",TEXT(Q428,"+00;-00;+00;"))</f>
        <v>+13…+20</v>
      </c>
      <c r="AD428" s="14" t="str">
        <f>IF(X428="","?","")</f>
        <v/>
      </c>
      <c r="AE428" s="15" t="str">
        <f>_xlfn.CONCAT(AA428,"…",TEXT(P428,"+00;-00;+00;"),"...",TEXT(Q428,"+00;-00;+00;"))</f>
        <v>311-230…+13...+20</v>
      </c>
      <c r="AF428" s="13" t="str">
        <f>_xlfn.CONCAT(R428,"…",TEXT(P428,"+00;-00;+00;"),"...",TEXT(Q428,"+00;-00;+00;"))</f>
        <v>DWWLW…+13...+20</v>
      </c>
    </row>
    <row r="429" spans="1:32" x14ac:dyDescent="0.25">
      <c r="A429" s="13" t="s">
        <v>894</v>
      </c>
      <c r="B429" s="13" t="s">
        <v>397</v>
      </c>
      <c r="C429" s="14" t="s">
        <v>0</v>
      </c>
      <c r="D429" s="13" t="s">
        <v>782</v>
      </c>
      <c r="E429" s="13" t="s">
        <v>820</v>
      </c>
      <c r="F429" s="13" t="s">
        <v>31</v>
      </c>
      <c r="G429" s="13" t="s">
        <v>31</v>
      </c>
      <c r="H429" s="13" t="s">
        <v>31</v>
      </c>
      <c r="I429" s="13" t="s">
        <v>31</v>
      </c>
      <c r="J429" s="13" t="s">
        <v>31</v>
      </c>
      <c r="K429" s="13" t="s">
        <v>30</v>
      </c>
      <c r="L429" s="13" t="s">
        <v>31</v>
      </c>
      <c r="M429" s="13" t="s">
        <v>31</v>
      </c>
      <c r="N429" s="13" t="s">
        <v>31</v>
      </c>
      <c r="O429" s="13" t="s">
        <v>31</v>
      </c>
      <c r="P429" s="16">
        <v>-18</v>
      </c>
      <c r="Q429" s="16">
        <v>-38</v>
      </c>
      <c r="R429" s="13" t="str">
        <f>_xlfn.CONCAT(F429,G429,H429,I429,J429)</f>
        <v>LLLLL</v>
      </c>
      <c r="S429" s="13" t="str">
        <f>_xlfn.CONCAT(K429,L429,M429,N429,O429)</f>
        <v>WLLLL</v>
      </c>
      <c r="T429" s="13" t="str">
        <f>_xlfn.CONCAT(R429,"***",S429)</f>
        <v>LLLLL***WLLLL</v>
      </c>
      <c r="U429" s="21">
        <f>(P429-Q429)</f>
        <v>20</v>
      </c>
      <c r="V429" s="14">
        <v>1</v>
      </c>
      <c r="W429" s="14">
        <v>0</v>
      </c>
      <c r="X429" s="20" t="str">
        <f>IF(ISBLANK(V429),"",IF(V429&gt;W429,"1",IF(V429&lt;W429,"2",IF(V429=W429,"X"))))</f>
        <v>1</v>
      </c>
      <c r="Y429" s="23" t="str">
        <f>COUNTIF(F429:J429, "W")&amp;COUNTIF(F429:J429, "d")&amp;COUNTIF(F429:J429, "l")</f>
        <v>005</v>
      </c>
      <c r="Z429" s="13" t="str">
        <f>COUNTIF(K429:O429, "W")&amp;COUNTIF(K429:O429, "d")&amp;COUNTIF(K429:O429, "l")</f>
        <v>104</v>
      </c>
      <c r="AA429" s="23" t="str">
        <f>_xlfn.CONCAT(Y429,"-",Z429)</f>
        <v>005-104</v>
      </c>
      <c r="AB429" s="13" t="str">
        <f>_xlfn.CONCAT(AA429,"…",TEXT(U429,"+00;-00;+00;"))</f>
        <v>005-104…+20</v>
      </c>
      <c r="AC429" s="23" t="str">
        <f>_xlfn.CONCAT(TEXT(P429,"+00;-00;+00;"),"…",TEXT(Q429,"+00;-00;+00;"))</f>
        <v>-18…-38</v>
      </c>
      <c r="AD429" s="14" t="str">
        <f>IF(X429="","?","")</f>
        <v/>
      </c>
      <c r="AE429" s="15" t="str">
        <f>_xlfn.CONCAT(AA429,"…",TEXT(P429,"+00;-00;+00;"),"...",TEXT(Q429,"+00;-00;+00;"))</f>
        <v>005-104…-18...-38</v>
      </c>
      <c r="AF429" s="13" t="str">
        <f>_xlfn.CONCAT(R429,"…",TEXT(P429,"+00;-00;+00;"),"...",TEXT(Q429,"+00;-00;+00;"))</f>
        <v>LLLLL…-18...-38</v>
      </c>
    </row>
    <row r="430" spans="1:32" x14ac:dyDescent="0.25">
      <c r="A430" s="13" t="s">
        <v>893</v>
      </c>
      <c r="B430" s="13" t="s">
        <v>397</v>
      </c>
      <c r="C430" s="14" t="s">
        <v>0</v>
      </c>
      <c r="D430" s="13" t="s">
        <v>821</v>
      </c>
      <c r="E430" s="13" t="s">
        <v>814</v>
      </c>
      <c r="F430" s="13" t="s">
        <v>31</v>
      </c>
      <c r="G430" s="13" t="s">
        <v>31</v>
      </c>
      <c r="H430" s="13" t="s">
        <v>30</v>
      </c>
      <c r="I430" s="13" t="s">
        <v>29</v>
      </c>
      <c r="J430" s="13" t="s">
        <v>31</v>
      </c>
      <c r="K430" s="13" t="s">
        <v>30</v>
      </c>
      <c r="L430" s="13" t="s">
        <v>30</v>
      </c>
      <c r="M430" s="13" t="s">
        <v>30</v>
      </c>
      <c r="N430" s="13" t="s">
        <v>30</v>
      </c>
      <c r="O430" s="13" t="s">
        <v>29</v>
      </c>
      <c r="P430" s="16">
        <v>-6</v>
      </c>
      <c r="Q430" s="16">
        <v>23</v>
      </c>
      <c r="R430" s="13" t="str">
        <f>_xlfn.CONCAT(F430,G430,H430,I430,J430)</f>
        <v>LLWDL</v>
      </c>
      <c r="S430" s="13" t="str">
        <f>_xlfn.CONCAT(K430,L430,M430,N430,O430)</f>
        <v>WWWWD</v>
      </c>
      <c r="T430" s="13" t="str">
        <f>_xlfn.CONCAT(R430,"***",S430)</f>
        <v>LLWDL***WWWWD</v>
      </c>
      <c r="U430" s="21">
        <f>(P430-Q430)</f>
        <v>-29</v>
      </c>
      <c r="V430" s="14">
        <v>4</v>
      </c>
      <c r="W430" s="14">
        <v>1</v>
      </c>
      <c r="X430" s="20" t="str">
        <f>IF(ISBLANK(V430),"",IF(V430&gt;W430,"1",IF(V430&lt;W430,"2",IF(V430=W430,"X"))))</f>
        <v>1</v>
      </c>
      <c r="Y430" s="23" t="str">
        <f>COUNTIF(F430:J430, "W")&amp;COUNTIF(F430:J430, "d")&amp;COUNTIF(F430:J430, "l")</f>
        <v>113</v>
      </c>
      <c r="Z430" s="13" t="str">
        <f>COUNTIF(K430:O430, "W")&amp;COUNTIF(K430:O430, "d")&amp;COUNTIF(K430:O430, "l")</f>
        <v>410</v>
      </c>
      <c r="AA430" s="23" t="str">
        <f>_xlfn.CONCAT(Y430,"-",Z430)</f>
        <v>113-410</v>
      </c>
      <c r="AB430" s="13" t="str">
        <f>_xlfn.CONCAT(AA430,"…",TEXT(U430,"+00;-00;+00;"))</f>
        <v>113-410…-29</v>
      </c>
      <c r="AC430" s="23" t="str">
        <f>_xlfn.CONCAT(TEXT(P430,"+00;-00;+00;"),"…",TEXT(Q430,"+00;-00;+00;"))</f>
        <v>-06…+23</v>
      </c>
      <c r="AD430" s="14" t="str">
        <f>IF(X430="","?","")</f>
        <v/>
      </c>
      <c r="AE430" s="15" t="str">
        <f>_xlfn.CONCAT(AA430,"…",TEXT(P430,"+00;-00;+00;"),"...",TEXT(Q430,"+00;-00;+00;"))</f>
        <v>113-410…-06...+23</v>
      </c>
      <c r="AF430" s="13" t="str">
        <f>_xlfn.CONCAT(R430,"…",TEXT(P430,"+00;-00;+00;"),"...",TEXT(Q430,"+00;-00;+00;"))</f>
        <v>LLWDL…-06...+23</v>
      </c>
    </row>
    <row r="431" spans="1:32" x14ac:dyDescent="0.25">
      <c r="A431" s="13" t="s">
        <v>893</v>
      </c>
      <c r="B431" s="13" t="s">
        <v>397</v>
      </c>
      <c r="C431" s="14" t="s">
        <v>0</v>
      </c>
      <c r="D431" s="13" t="s">
        <v>826</v>
      </c>
      <c r="E431" s="13" t="s">
        <v>785</v>
      </c>
      <c r="F431" s="13" t="s">
        <v>31</v>
      </c>
      <c r="G431" s="13" t="s">
        <v>31</v>
      </c>
      <c r="H431" s="13" t="s">
        <v>29</v>
      </c>
      <c r="I431" s="13" t="s">
        <v>29</v>
      </c>
      <c r="J431" s="13" t="s">
        <v>30</v>
      </c>
      <c r="K431" s="13" t="s">
        <v>30</v>
      </c>
      <c r="L431" s="13" t="s">
        <v>31</v>
      </c>
      <c r="M431" s="13" t="s">
        <v>31</v>
      </c>
      <c r="N431" s="13" t="s">
        <v>31</v>
      </c>
      <c r="O431" s="13" t="s">
        <v>29</v>
      </c>
      <c r="P431" s="16">
        <v>-11</v>
      </c>
      <c r="Q431" s="16">
        <v>15</v>
      </c>
      <c r="R431" s="13" t="str">
        <f>_xlfn.CONCAT(F431,G431,H431,I431,J431)</f>
        <v>LLDDW</v>
      </c>
      <c r="S431" s="13" t="str">
        <f>_xlfn.CONCAT(K431,L431,M431,N431,O431)</f>
        <v>WLLLD</v>
      </c>
      <c r="T431" s="13" t="str">
        <f>_xlfn.CONCAT(R431,"***",S431)</f>
        <v>LLDDW***WLLLD</v>
      </c>
      <c r="U431" s="21">
        <f>(P431-Q431)</f>
        <v>-26</v>
      </c>
      <c r="V431" s="14">
        <v>2</v>
      </c>
      <c r="W431" s="14">
        <v>1</v>
      </c>
      <c r="X431" s="20" t="str">
        <f>IF(ISBLANK(V431),"",IF(V431&gt;W431,"1",IF(V431&lt;W431,"2",IF(V431=W431,"X"))))</f>
        <v>1</v>
      </c>
      <c r="Y431" s="23" t="str">
        <f>COUNTIF(F431:J431, "W")&amp;COUNTIF(F431:J431, "d")&amp;COUNTIF(F431:J431, "l")</f>
        <v>122</v>
      </c>
      <c r="Z431" s="13" t="str">
        <f>COUNTIF(K431:O431, "W")&amp;COUNTIF(K431:O431, "d")&amp;COUNTIF(K431:O431, "l")</f>
        <v>113</v>
      </c>
      <c r="AA431" s="23" t="str">
        <f>_xlfn.CONCAT(Y431,"-",Z431)</f>
        <v>122-113</v>
      </c>
      <c r="AB431" s="13" t="str">
        <f>_xlfn.CONCAT(AA431,"…",TEXT(U431,"+00;-00;+00;"))</f>
        <v>122-113…-26</v>
      </c>
      <c r="AC431" s="23" t="str">
        <f>_xlfn.CONCAT(TEXT(P431,"+00;-00;+00;"),"…",TEXT(Q431,"+00;-00;+00;"))</f>
        <v>-11…+15</v>
      </c>
      <c r="AD431" s="14" t="str">
        <f>IF(X431="","?","")</f>
        <v/>
      </c>
      <c r="AE431" s="15" t="str">
        <f>_xlfn.CONCAT(AA431,"…",TEXT(P431,"+00;-00;+00;"),"...",TEXT(Q431,"+00;-00;+00;"))</f>
        <v>122-113…-11...+15</v>
      </c>
      <c r="AF431" s="13" t="str">
        <f>_xlfn.CONCAT(R431,"…",TEXT(P431,"+00;-00;+00;"),"...",TEXT(Q431,"+00;-00;+00;"))</f>
        <v>LLDDW…-11...+15</v>
      </c>
    </row>
    <row r="432" spans="1:32" x14ac:dyDescent="0.25">
      <c r="A432" s="13" t="s">
        <v>893</v>
      </c>
      <c r="B432" s="13" t="s">
        <v>397</v>
      </c>
      <c r="C432" s="14" t="s">
        <v>0</v>
      </c>
      <c r="D432" s="13" t="s">
        <v>822</v>
      </c>
      <c r="E432" s="13" t="s">
        <v>786</v>
      </c>
      <c r="F432" s="13" t="s">
        <v>31</v>
      </c>
      <c r="G432" s="13" t="s">
        <v>31</v>
      </c>
      <c r="H432" s="13" t="s">
        <v>29</v>
      </c>
      <c r="I432" s="13" t="s">
        <v>29</v>
      </c>
      <c r="J432" s="13" t="s">
        <v>30</v>
      </c>
      <c r="K432" s="13" t="s">
        <v>30</v>
      </c>
      <c r="L432" s="13" t="s">
        <v>30</v>
      </c>
      <c r="M432" s="13" t="s">
        <v>29</v>
      </c>
      <c r="N432" s="13" t="s">
        <v>29</v>
      </c>
      <c r="O432" s="13" t="s">
        <v>31</v>
      </c>
      <c r="P432" s="16">
        <v>-24</v>
      </c>
      <c r="Q432" s="16">
        <v>0</v>
      </c>
      <c r="R432" s="13" t="str">
        <f>_xlfn.CONCAT(F432,G432,H432,I432,J432)</f>
        <v>LLDDW</v>
      </c>
      <c r="S432" s="13" t="str">
        <f>_xlfn.CONCAT(K432,L432,M432,N432,O432)</f>
        <v>WWDDL</v>
      </c>
      <c r="T432" s="13" t="str">
        <f>_xlfn.CONCAT(R432,"***",S432)</f>
        <v>LLDDW***WWDDL</v>
      </c>
      <c r="U432" s="21">
        <f>(P432-Q432)</f>
        <v>-24</v>
      </c>
      <c r="V432" s="14">
        <v>1</v>
      </c>
      <c r="W432" s="14">
        <v>2</v>
      </c>
      <c r="X432" s="20" t="str">
        <f>IF(ISBLANK(V432),"",IF(V432&gt;W432,"1",IF(V432&lt;W432,"2",IF(V432=W432,"X"))))</f>
        <v>2</v>
      </c>
      <c r="Y432" s="23" t="str">
        <f>COUNTIF(F432:J432, "W")&amp;COUNTIF(F432:J432, "d")&amp;COUNTIF(F432:J432, "l")</f>
        <v>122</v>
      </c>
      <c r="Z432" s="13" t="str">
        <f>COUNTIF(K432:O432, "W")&amp;COUNTIF(K432:O432, "d")&amp;COUNTIF(K432:O432, "l")</f>
        <v>221</v>
      </c>
      <c r="AA432" s="23" t="str">
        <f>_xlfn.CONCAT(Y432,"-",Z432)</f>
        <v>122-221</v>
      </c>
      <c r="AB432" s="13" t="str">
        <f>_xlfn.CONCAT(AA432,"…",TEXT(U432,"+00;-00;+00;"))</f>
        <v>122-221…-24</v>
      </c>
      <c r="AC432" s="23" t="str">
        <f>_xlfn.CONCAT(TEXT(P432,"+00;-00;+00;"),"…",TEXT(Q432,"+00;-00;+00;"))</f>
        <v>-24…+00</v>
      </c>
      <c r="AD432" s="14" t="str">
        <f>IF(X432="","?","")</f>
        <v/>
      </c>
      <c r="AE432" s="15" t="str">
        <f>_xlfn.CONCAT(AA432,"…",TEXT(P432,"+00;-00;+00;"),"...",TEXT(Q432,"+00;-00;+00;"))</f>
        <v>122-221…-24...+00</v>
      </c>
      <c r="AF432" s="13" t="str">
        <f>_xlfn.CONCAT(R432,"…",TEXT(P432,"+00;-00;+00;"),"...",TEXT(Q432,"+00;-00;+00;"))</f>
        <v>LLDDW…-24...+00</v>
      </c>
    </row>
    <row r="433" spans="1:32" x14ac:dyDescent="0.25">
      <c r="A433" s="13" t="s">
        <v>893</v>
      </c>
      <c r="B433" s="13" t="s">
        <v>397</v>
      </c>
      <c r="C433" s="14" t="s">
        <v>0</v>
      </c>
      <c r="D433" s="13" t="s">
        <v>897</v>
      </c>
      <c r="E433" s="13" t="s">
        <v>898</v>
      </c>
      <c r="F433" s="13" t="s">
        <v>31</v>
      </c>
      <c r="G433" s="13" t="s">
        <v>30</v>
      </c>
      <c r="H433" s="13" t="s">
        <v>29</v>
      </c>
      <c r="I433" s="13" t="s">
        <v>31</v>
      </c>
      <c r="J433" s="13" t="s">
        <v>29</v>
      </c>
      <c r="K433" s="13" t="s">
        <v>30</v>
      </c>
      <c r="L433" s="13" t="s">
        <v>31</v>
      </c>
      <c r="M433" s="13" t="s">
        <v>30</v>
      </c>
      <c r="N433" s="13" t="s">
        <v>30</v>
      </c>
      <c r="O433" s="13" t="s">
        <v>29</v>
      </c>
      <c r="P433" s="16">
        <v>1</v>
      </c>
      <c r="Q433" s="16">
        <v>15</v>
      </c>
      <c r="R433" s="13" t="str">
        <f>_xlfn.CONCAT(F433,G433,H433,I433,J433)</f>
        <v>LWDLD</v>
      </c>
      <c r="S433" s="13" t="str">
        <f>_xlfn.CONCAT(K433,L433,M433,N433,O433)</f>
        <v>WLWWD</v>
      </c>
      <c r="T433" s="13" t="str">
        <f>_xlfn.CONCAT(R433,"***",S433)</f>
        <v>LWDLD***WLWWD</v>
      </c>
      <c r="U433" s="21">
        <f>(P433-Q433)</f>
        <v>-14</v>
      </c>
      <c r="V433" s="14">
        <v>1</v>
      </c>
      <c r="W433" s="14">
        <v>0</v>
      </c>
      <c r="X433" s="20" t="str">
        <f>IF(ISBLANK(V433),"",IF(V433&gt;W433,"1",IF(V433&lt;W433,"2",IF(V433=W433,"X"))))</f>
        <v>1</v>
      </c>
      <c r="Y433" s="23" t="str">
        <f>COUNTIF(F433:J433, "W")&amp;COUNTIF(F433:J433, "d")&amp;COUNTIF(F433:J433, "l")</f>
        <v>122</v>
      </c>
      <c r="Z433" s="13" t="str">
        <f>COUNTIF(K433:O433, "W")&amp;COUNTIF(K433:O433, "d")&amp;COUNTIF(K433:O433, "l")</f>
        <v>311</v>
      </c>
      <c r="AA433" s="23" t="str">
        <f>_xlfn.CONCAT(Y433,"-",Z433)</f>
        <v>122-311</v>
      </c>
      <c r="AB433" s="13" t="str">
        <f>_xlfn.CONCAT(AA433,"…",TEXT(U433,"+00;-00;+00;"))</f>
        <v>122-311…-14</v>
      </c>
      <c r="AC433" s="23" t="str">
        <f>_xlfn.CONCAT(TEXT(P433,"+00;-00;+00;"),"…",TEXT(Q433,"+00;-00;+00;"))</f>
        <v>+01…+15</v>
      </c>
      <c r="AD433" s="14" t="str">
        <f>IF(X433="","?","")</f>
        <v/>
      </c>
      <c r="AE433" s="15" t="str">
        <f>_xlfn.CONCAT(AA433,"…",TEXT(P433,"+00;-00;+00;"),"...",TEXT(Q433,"+00;-00;+00;"))</f>
        <v>122-311…+01...+15</v>
      </c>
      <c r="AF433" s="13" t="str">
        <f>_xlfn.CONCAT(R433,"…",TEXT(P433,"+00;-00;+00;"),"...",TEXT(Q433,"+00;-00;+00;"))</f>
        <v>LWDLD…+01...+15</v>
      </c>
    </row>
    <row r="434" spans="1:32" x14ac:dyDescent="0.25">
      <c r="A434" s="13" t="s">
        <v>893</v>
      </c>
      <c r="B434" s="13" t="s">
        <v>397</v>
      </c>
      <c r="C434" s="14" t="s">
        <v>0</v>
      </c>
      <c r="D434" s="13" t="s">
        <v>817</v>
      </c>
      <c r="E434" s="13" t="s">
        <v>784</v>
      </c>
      <c r="F434" s="13" t="s">
        <v>31</v>
      </c>
      <c r="G434" s="13" t="s">
        <v>31</v>
      </c>
      <c r="H434" s="13" t="s">
        <v>29</v>
      </c>
      <c r="I434" s="13" t="s">
        <v>30</v>
      </c>
      <c r="J434" s="13" t="s">
        <v>30</v>
      </c>
      <c r="K434" s="13" t="s">
        <v>30</v>
      </c>
      <c r="L434" s="13" t="s">
        <v>29</v>
      </c>
      <c r="M434" s="13" t="s">
        <v>29</v>
      </c>
      <c r="N434" s="13" t="s">
        <v>29</v>
      </c>
      <c r="O434" s="13" t="s">
        <v>29</v>
      </c>
      <c r="P434" s="16">
        <v>-2</v>
      </c>
      <c r="Q434" s="16">
        <v>11</v>
      </c>
      <c r="R434" s="13" t="str">
        <f>_xlfn.CONCAT(F434,G434,H434,I434,J434)</f>
        <v>LLDWW</v>
      </c>
      <c r="S434" s="13" t="str">
        <f>_xlfn.CONCAT(K434,L434,M434,N434,O434)</f>
        <v>WDDDD</v>
      </c>
      <c r="T434" s="13" t="str">
        <f>_xlfn.CONCAT(R434,"***",S434)</f>
        <v>LLDWW***WDDDD</v>
      </c>
      <c r="U434" s="21">
        <f>(P434-Q434)</f>
        <v>-13</v>
      </c>
      <c r="V434" s="14">
        <v>3</v>
      </c>
      <c r="W434" s="14">
        <v>0</v>
      </c>
      <c r="X434" s="20" t="str">
        <f>IF(ISBLANK(V434),"",IF(V434&gt;W434,"1",IF(V434&lt;W434,"2",IF(V434=W434,"X"))))</f>
        <v>1</v>
      </c>
      <c r="Y434" s="23" t="str">
        <f>COUNTIF(F434:J434, "W")&amp;COUNTIF(F434:J434, "d")&amp;COUNTIF(F434:J434, "l")</f>
        <v>212</v>
      </c>
      <c r="Z434" s="13" t="str">
        <f>COUNTIF(K434:O434, "W")&amp;COUNTIF(K434:O434, "d")&amp;COUNTIF(K434:O434, "l")</f>
        <v>140</v>
      </c>
      <c r="AA434" s="23" t="str">
        <f>_xlfn.CONCAT(Y434,"-",Z434)</f>
        <v>212-140</v>
      </c>
      <c r="AB434" s="13" t="str">
        <f>_xlfn.CONCAT(AA434,"…",TEXT(U434,"+00;-00;+00;"))</f>
        <v>212-140…-13</v>
      </c>
      <c r="AC434" s="23" t="str">
        <f>_xlfn.CONCAT(TEXT(P434,"+00;-00;+00;"),"…",TEXT(Q434,"+00;-00;+00;"))</f>
        <v>-02…+11</v>
      </c>
      <c r="AD434" s="14" t="str">
        <f>IF(X434="","?","")</f>
        <v/>
      </c>
      <c r="AE434" s="15" t="str">
        <f>_xlfn.CONCAT(AA434,"…",TEXT(P434,"+00;-00;+00;"),"...",TEXT(Q434,"+00;-00;+00;"))</f>
        <v>212-140…-02...+11</v>
      </c>
      <c r="AF434" s="13" t="str">
        <f>_xlfn.CONCAT(R434,"…",TEXT(P434,"+00;-00;+00;"),"...",TEXT(Q434,"+00;-00;+00;"))</f>
        <v>LLDWW…-02...+11</v>
      </c>
    </row>
    <row r="435" spans="1:32" x14ac:dyDescent="0.25">
      <c r="A435" s="13" t="s">
        <v>893</v>
      </c>
      <c r="B435" s="13" t="s">
        <v>397</v>
      </c>
      <c r="C435" s="14" t="s">
        <v>0</v>
      </c>
      <c r="D435" s="13" t="s">
        <v>824</v>
      </c>
      <c r="E435" s="13" t="s">
        <v>813</v>
      </c>
      <c r="F435" s="13" t="s">
        <v>31</v>
      </c>
      <c r="G435" s="13" t="s">
        <v>29</v>
      </c>
      <c r="H435" s="13" t="s">
        <v>31</v>
      </c>
      <c r="I435" s="13" t="s">
        <v>30</v>
      </c>
      <c r="J435" s="13" t="s">
        <v>30</v>
      </c>
      <c r="K435" s="13" t="s">
        <v>31</v>
      </c>
      <c r="L435" s="13" t="s">
        <v>30</v>
      </c>
      <c r="M435" s="13" t="s">
        <v>31</v>
      </c>
      <c r="N435" s="13" t="s">
        <v>30</v>
      </c>
      <c r="O435" s="13" t="s">
        <v>29</v>
      </c>
      <c r="P435" s="16">
        <v>-30</v>
      </c>
      <c r="Q435" s="16">
        <v>-3</v>
      </c>
      <c r="R435" s="13" t="str">
        <f>_xlfn.CONCAT(F435,G435,H435,I435,J435)</f>
        <v>LDLWW</v>
      </c>
      <c r="S435" s="13" t="str">
        <f>_xlfn.CONCAT(K435,L435,M435,N435,O435)</f>
        <v>LWLWD</v>
      </c>
      <c r="T435" s="13" t="str">
        <f>_xlfn.CONCAT(R435,"***",S435)</f>
        <v>LDLWW***LWLWD</v>
      </c>
      <c r="U435" s="21">
        <f>(P435-Q435)</f>
        <v>-27</v>
      </c>
      <c r="V435" s="14">
        <v>0</v>
      </c>
      <c r="W435" s="14">
        <v>2</v>
      </c>
      <c r="X435" s="20" t="str">
        <f>IF(ISBLANK(V435),"",IF(V435&gt;W435,"1",IF(V435&lt;W435,"2",IF(V435=W435,"X"))))</f>
        <v>2</v>
      </c>
      <c r="Y435" s="23" t="str">
        <f>COUNTIF(F435:J435, "W")&amp;COUNTIF(F435:J435, "d")&amp;COUNTIF(F435:J435, "l")</f>
        <v>212</v>
      </c>
      <c r="Z435" s="13" t="str">
        <f>COUNTIF(K435:O435, "W")&amp;COUNTIF(K435:O435, "d")&amp;COUNTIF(K435:O435, "l")</f>
        <v>212</v>
      </c>
      <c r="AA435" s="23" t="str">
        <f>_xlfn.CONCAT(Y435,"-",Z435)</f>
        <v>212-212</v>
      </c>
      <c r="AB435" s="13" t="str">
        <f>_xlfn.CONCAT(AA435,"…",TEXT(U435,"+00;-00;+00;"))</f>
        <v>212-212…-27</v>
      </c>
      <c r="AC435" s="23" t="str">
        <f>_xlfn.CONCAT(TEXT(P435,"+00;-00;+00;"),"…",TEXT(Q435,"+00;-00;+00;"))</f>
        <v>-30…-03</v>
      </c>
      <c r="AD435" s="14" t="str">
        <f>IF(X435="","?","")</f>
        <v/>
      </c>
      <c r="AE435" s="15" t="str">
        <f>_xlfn.CONCAT(AA435,"…",TEXT(P435,"+00;-00;+00;"),"...",TEXT(Q435,"+00;-00;+00;"))</f>
        <v>212-212…-30...-03</v>
      </c>
      <c r="AF435" s="13" t="str">
        <f>_xlfn.CONCAT(R435,"…",TEXT(P435,"+00;-00;+00;"),"...",TEXT(Q435,"+00;-00;+00;"))</f>
        <v>LDLWW…-30...-03</v>
      </c>
    </row>
    <row r="436" spans="1:32" x14ac:dyDescent="0.25">
      <c r="A436" s="13" t="s">
        <v>893</v>
      </c>
      <c r="B436" s="13" t="s">
        <v>397</v>
      </c>
      <c r="C436" s="14" t="s">
        <v>0</v>
      </c>
      <c r="D436" s="13" t="s">
        <v>783</v>
      </c>
      <c r="E436" s="13" t="s">
        <v>818</v>
      </c>
      <c r="F436" s="13" t="s">
        <v>29</v>
      </c>
      <c r="G436" s="13" t="s">
        <v>29</v>
      </c>
      <c r="H436" s="13" t="s">
        <v>30</v>
      </c>
      <c r="I436" s="13" t="s">
        <v>29</v>
      </c>
      <c r="J436" s="13" t="s">
        <v>30</v>
      </c>
      <c r="K436" s="13" t="s">
        <v>30</v>
      </c>
      <c r="L436" s="13" t="s">
        <v>30</v>
      </c>
      <c r="M436" s="13" t="s">
        <v>29</v>
      </c>
      <c r="N436" s="13" t="s">
        <v>30</v>
      </c>
      <c r="O436" s="13" t="s">
        <v>31</v>
      </c>
      <c r="P436" s="16">
        <v>3</v>
      </c>
      <c r="Q436" s="16">
        <v>31</v>
      </c>
      <c r="R436" s="13" t="str">
        <f>_xlfn.CONCAT(F436,G436,H436,I436,J436)</f>
        <v>DDWDW</v>
      </c>
      <c r="S436" s="13" t="str">
        <f>_xlfn.CONCAT(K436,L436,M436,N436,O436)</f>
        <v>WWDWL</v>
      </c>
      <c r="T436" s="13" t="str">
        <f>_xlfn.CONCAT(R436,"***",S436)</f>
        <v>DDWDW***WWDWL</v>
      </c>
      <c r="U436" s="21">
        <f>(P436-Q436)</f>
        <v>-28</v>
      </c>
      <c r="V436" s="14">
        <v>1</v>
      </c>
      <c r="W436" s="14">
        <v>1</v>
      </c>
      <c r="X436" s="20" t="str">
        <f>IF(ISBLANK(V436),"",IF(V436&gt;W436,"1",IF(V436&lt;W436,"2",IF(V436=W436,"X"))))</f>
        <v>X</v>
      </c>
      <c r="Y436" s="23" t="str">
        <f>COUNTIF(F436:J436, "W")&amp;COUNTIF(F436:J436, "d")&amp;COUNTIF(F436:J436, "l")</f>
        <v>230</v>
      </c>
      <c r="Z436" s="13" t="str">
        <f>COUNTIF(K436:O436, "W")&amp;COUNTIF(K436:O436, "d")&amp;COUNTIF(K436:O436, "l")</f>
        <v>311</v>
      </c>
      <c r="AA436" s="23" t="str">
        <f>_xlfn.CONCAT(Y436,"-",Z436)</f>
        <v>230-311</v>
      </c>
      <c r="AB436" s="13" t="str">
        <f>_xlfn.CONCAT(AA436,"…",TEXT(U436,"+00;-00;+00;"))</f>
        <v>230-311…-28</v>
      </c>
      <c r="AC436" s="23" t="str">
        <f>_xlfn.CONCAT(TEXT(P436,"+00;-00;+00;"),"…",TEXT(Q436,"+00;-00;+00;"))</f>
        <v>+03…+31</v>
      </c>
      <c r="AD436" s="14" t="str">
        <f>IF(X436="","?","")</f>
        <v/>
      </c>
      <c r="AE436" s="15" t="str">
        <f>_xlfn.CONCAT(AA436,"…",TEXT(P436,"+00;-00;+00;"),"...",TEXT(Q436,"+00;-00;+00;"))</f>
        <v>230-311…+03...+31</v>
      </c>
      <c r="AF436" s="13" t="str">
        <f>_xlfn.CONCAT(R436,"…",TEXT(P436,"+00;-00;+00;"),"...",TEXT(Q436,"+00;-00;+00;"))</f>
        <v>DDWDW…+03...+31</v>
      </c>
    </row>
    <row r="437" spans="1:32" x14ac:dyDescent="0.25">
      <c r="A437" s="13" t="s">
        <v>893</v>
      </c>
      <c r="B437" s="13" t="s">
        <v>397</v>
      </c>
      <c r="C437" s="14" t="s">
        <v>0</v>
      </c>
      <c r="D437" s="13" t="s">
        <v>141</v>
      </c>
      <c r="E437" s="13" t="s">
        <v>896</v>
      </c>
      <c r="F437" s="13" t="s">
        <v>30</v>
      </c>
      <c r="G437" s="13" t="s">
        <v>30</v>
      </c>
      <c r="H437" s="13" t="s">
        <v>30</v>
      </c>
      <c r="I437" s="13" t="s">
        <v>31</v>
      </c>
      <c r="J437" s="13" t="s">
        <v>29</v>
      </c>
      <c r="K437" s="13" t="s">
        <v>29</v>
      </c>
      <c r="L437" s="13" t="s">
        <v>29</v>
      </c>
      <c r="M437" s="13" t="s">
        <v>29</v>
      </c>
      <c r="N437" s="13" t="s">
        <v>29</v>
      </c>
      <c r="O437" s="13" t="s">
        <v>29</v>
      </c>
      <c r="P437" s="16">
        <v>-1</v>
      </c>
      <c r="Q437" s="16">
        <v>23</v>
      </c>
      <c r="R437" s="13" t="str">
        <f>_xlfn.CONCAT(F437,G437,H437,I437,J437)</f>
        <v>WWWLD</v>
      </c>
      <c r="S437" s="13" t="str">
        <f>_xlfn.CONCAT(K437,L437,M437,N437,O437)</f>
        <v>DDDDD</v>
      </c>
      <c r="T437" s="13" t="str">
        <f>_xlfn.CONCAT(R437,"***",S437)</f>
        <v>WWWLD***DDDDD</v>
      </c>
      <c r="U437" s="21">
        <f>(P437-Q437)</f>
        <v>-24</v>
      </c>
      <c r="V437" s="14">
        <v>3</v>
      </c>
      <c r="W437" s="14">
        <v>1</v>
      </c>
      <c r="X437" s="20" t="str">
        <f>IF(ISBLANK(V437),"",IF(V437&gt;W437,"1",IF(V437&lt;W437,"2",IF(V437=W437,"X"))))</f>
        <v>1</v>
      </c>
      <c r="Y437" s="23" t="str">
        <f>COUNTIF(F437:J437, "W")&amp;COUNTIF(F437:J437, "d")&amp;COUNTIF(F437:J437, "l")</f>
        <v>311</v>
      </c>
      <c r="Z437" s="13" t="str">
        <f>COUNTIF(K437:O437, "W")&amp;COUNTIF(K437:O437, "d")&amp;COUNTIF(K437:O437, "l")</f>
        <v>050</v>
      </c>
      <c r="AA437" s="23" t="str">
        <f>_xlfn.CONCAT(Y437,"-",Z437)</f>
        <v>311-050</v>
      </c>
      <c r="AB437" s="13" t="str">
        <f>_xlfn.CONCAT(AA437,"…",TEXT(U437,"+00;-00;+00;"))</f>
        <v>311-050…-24</v>
      </c>
      <c r="AC437" s="23" t="str">
        <f>_xlfn.CONCAT(TEXT(P437,"+00;-00;+00;"),"…",TEXT(Q437,"+00;-00;+00;"))</f>
        <v>-01…+23</v>
      </c>
      <c r="AD437" s="14" t="str">
        <f>IF(X437="","?","")</f>
        <v/>
      </c>
      <c r="AE437" s="15" t="str">
        <f>_xlfn.CONCAT(AA437,"…",TEXT(P437,"+00;-00;+00;"),"...",TEXT(Q437,"+00;-00;+00;"))</f>
        <v>311-050…-01...+23</v>
      </c>
      <c r="AF437" s="13" t="str">
        <f>_xlfn.CONCAT(R437,"…",TEXT(P437,"+00;-00;+00;"),"...",TEXT(Q437,"+00;-00;+00;"))</f>
        <v>WWWLD…-01...+23</v>
      </c>
    </row>
    <row r="438" spans="1:32" x14ac:dyDescent="0.25">
      <c r="A438" s="13" t="s">
        <v>893</v>
      </c>
      <c r="B438" s="13" t="s">
        <v>397</v>
      </c>
      <c r="C438" s="14" t="s">
        <v>0</v>
      </c>
      <c r="D438" s="13" t="s">
        <v>895</v>
      </c>
      <c r="E438" s="13" t="s">
        <v>781</v>
      </c>
      <c r="F438" s="13" t="s">
        <v>31</v>
      </c>
      <c r="G438" s="13" t="s">
        <v>30</v>
      </c>
      <c r="H438" s="13" t="s">
        <v>30</v>
      </c>
      <c r="I438" s="13" t="s">
        <v>30</v>
      </c>
      <c r="J438" s="13" t="s">
        <v>29</v>
      </c>
      <c r="K438" s="13" t="s">
        <v>30</v>
      </c>
      <c r="L438" s="13" t="s">
        <v>30</v>
      </c>
      <c r="M438" s="13" t="s">
        <v>31</v>
      </c>
      <c r="N438" s="13" t="s">
        <v>31</v>
      </c>
      <c r="O438" s="13" t="s">
        <v>30</v>
      </c>
      <c r="P438" s="16">
        <v>5</v>
      </c>
      <c r="Q438" s="16">
        <v>6</v>
      </c>
      <c r="R438" s="13" t="str">
        <f>_xlfn.CONCAT(F438,G438,H438,I438,J438)</f>
        <v>LWWWD</v>
      </c>
      <c r="S438" s="13" t="str">
        <f>_xlfn.CONCAT(K438,L438,M438,N438,O438)</f>
        <v>WWLLW</v>
      </c>
      <c r="T438" s="13" t="str">
        <f>_xlfn.CONCAT(R438,"***",S438)</f>
        <v>LWWWD***WWLLW</v>
      </c>
      <c r="U438" s="21">
        <f>(P438-Q438)</f>
        <v>-1</v>
      </c>
      <c r="V438" s="14">
        <v>2</v>
      </c>
      <c r="W438" s="14">
        <v>3</v>
      </c>
      <c r="X438" s="20" t="str">
        <f>IF(ISBLANK(V438),"",IF(V438&gt;W438,"1",IF(V438&lt;W438,"2",IF(V438=W438,"X"))))</f>
        <v>2</v>
      </c>
      <c r="Y438" s="23" t="str">
        <f>COUNTIF(F438:J438, "W")&amp;COUNTIF(F438:J438, "d")&amp;COUNTIF(F438:J438, "l")</f>
        <v>311</v>
      </c>
      <c r="Z438" s="13" t="str">
        <f>COUNTIF(K438:O438, "W")&amp;COUNTIF(K438:O438, "d")&amp;COUNTIF(K438:O438, "l")</f>
        <v>302</v>
      </c>
      <c r="AA438" s="23" t="str">
        <f>_xlfn.CONCAT(Y438,"-",Z438)</f>
        <v>311-302</v>
      </c>
      <c r="AB438" s="13" t="str">
        <f>_xlfn.CONCAT(AA438,"…",TEXT(U438,"+00;-00;+00;"))</f>
        <v>311-302…-01</v>
      </c>
      <c r="AC438" s="23" t="str">
        <f>_xlfn.CONCAT(TEXT(P438,"+00;-00;+00;"),"…",TEXT(Q438,"+00;-00;+00;"))</f>
        <v>+05…+06</v>
      </c>
      <c r="AD438" s="14" t="str">
        <f>IF(X438="","?","")</f>
        <v/>
      </c>
      <c r="AE438" s="15" t="str">
        <f>_xlfn.CONCAT(AA438,"…",TEXT(P438,"+00;-00;+00;"),"...",TEXT(Q438,"+00;-00;+00;"))</f>
        <v>311-302…+05...+06</v>
      </c>
      <c r="AF438" s="13" t="str">
        <f>_xlfn.CONCAT(R438,"…",TEXT(P438,"+00;-00;+00;"),"...",TEXT(Q438,"+00;-00;+00;"))</f>
        <v>LWWWD…+05...+06</v>
      </c>
    </row>
    <row r="439" spans="1:32" x14ac:dyDescent="0.25">
      <c r="A439" s="12" t="s">
        <v>943</v>
      </c>
      <c r="B439" s="13" t="s">
        <v>167</v>
      </c>
      <c r="C439" s="14">
        <v>1</v>
      </c>
      <c r="D439" s="13" t="s">
        <v>180</v>
      </c>
      <c r="E439" s="13" t="s">
        <v>695</v>
      </c>
      <c r="F439" s="15" t="s">
        <v>30</v>
      </c>
      <c r="G439" s="15" t="s">
        <v>30</v>
      </c>
      <c r="H439" s="15" t="s">
        <v>31</v>
      </c>
      <c r="I439" s="15" t="s">
        <v>31</v>
      </c>
      <c r="J439" s="15" t="s">
        <v>31</v>
      </c>
      <c r="K439" s="15" t="s">
        <v>31</v>
      </c>
      <c r="L439" s="15" t="s">
        <v>29</v>
      </c>
      <c r="M439" s="15" t="s">
        <v>29</v>
      </c>
      <c r="N439" s="15" t="s">
        <v>29</v>
      </c>
      <c r="O439" s="15" t="s">
        <v>31</v>
      </c>
      <c r="P439" s="18">
        <v>3</v>
      </c>
      <c r="Q439" s="18">
        <v>-7</v>
      </c>
      <c r="R439" s="15" t="str">
        <f>_xlfn.CONCAT(F439,G439,H439,I439,J439)</f>
        <v>WWLLL</v>
      </c>
      <c r="S439" s="13" t="str">
        <f>_xlfn.CONCAT(K439,L439,M439,N439,O439)</f>
        <v>LDDDL</v>
      </c>
      <c r="T439" s="13" t="str">
        <f>_xlfn.CONCAT(R439,"***",S439)</f>
        <v>WWLLL***LDDDL</v>
      </c>
      <c r="U439" s="19">
        <f>(P439-Q439)</f>
        <v>10</v>
      </c>
      <c r="V439" s="14">
        <v>1</v>
      </c>
      <c r="W439" s="14">
        <v>1</v>
      </c>
      <c r="X439" s="20" t="str">
        <f>IF(ISBLANK(V439),"",IF(V439&gt;W439,"1",IF(V439&lt;W439,"2",IF(V439=W439,"X"))))</f>
        <v>X</v>
      </c>
      <c r="Y439" s="23" t="str">
        <f>COUNTIF(F439:J439, "W")&amp;COUNTIF(F439:J439, "d")&amp;COUNTIF(F439:J439, "l")</f>
        <v>203</v>
      </c>
      <c r="Z439" s="13" t="str">
        <f>COUNTIF(K439:O439, "W")&amp;COUNTIF(K439:O439, "d")&amp;COUNTIF(K439:O439, "l")</f>
        <v>032</v>
      </c>
      <c r="AA439" s="23" t="str">
        <f>_xlfn.CONCAT(Y439,"-",Z439)</f>
        <v>203-032</v>
      </c>
      <c r="AB439" s="15" t="str">
        <f>_xlfn.CONCAT(AA439,"…",TEXT(U439,"+00;-00;+00;"))</f>
        <v>203-032…+10</v>
      </c>
      <c r="AC439" s="23" t="str">
        <f>_xlfn.CONCAT(TEXT(P439,"+00;-00;+00;"),"…",TEXT(Q439,"+00;-00;+00;"))</f>
        <v>+03…-07</v>
      </c>
      <c r="AD439" s="14" t="str">
        <f>IF(X439="","?","")</f>
        <v/>
      </c>
      <c r="AE439" s="15" t="str">
        <f>_xlfn.CONCAT(AA439,"…",TEXT(P439,"+00;-00;+00;"),"...",TEXT(Q439,"+00;-00;+00;"))</f>
        <v>203-032…+03...-07</v>
      </c>
      <c r="AF439" s="13" t="str">
        <f>_xlfn.CONCAT(R439,"…",TEXT(P439,"+00;-00;+00;"),"...",TEXT(Q439,"+00;-00;+00;"))</f>
        <v>WWLLL…+03...-07</v>
      </c>
    </row>
    <row r="440" spans="1:32" x14ac:dyDescent="0.25">
      <c r="A440" s="12" t="s">
        <v>943</v>
      </c>
      <c r="B440" s="13" t="s">
        <v>7</v>
      </c>
      <c r="C440" s="14" t="s">
        <v>8</v>
      </c>
      <c r="D440" s="13" t="s">
        <v>613</v>
      </c>
      <c r="E440" s="13" t="s">
        <v>12</v>
      </c>
      <c r="F440" s="15" t="s">
        <v>30</v>
      </c>
      <c r="G440" s="15" t="s">
        <v>31</v>
      </c>
      <c r="H440" s="15" t="s">
        <v>30</v>
      </c>
      <c r="I440" s="15" t="s">
        <v>29</v>
      </c>
      <c r="J440" s="15" t="s">
        <v>30</v>
      </c>
      <c r="K440" s="15" t="s">
        <v>30</v>
      </c>
      <c r="L440" s="15" t="s">
        <v>30</v>
      </c>
      <c r="M440" s="15" t="s">
        <v>31</v>
      </c>
      <c r="N440" s="15" t="s">
        <v>30</v>
      </c>
      <c r="O440" s="15" t="s">
        <v>29</v>
      </c>
      <c r="P440" s="18">
        <v>-5</v>
      </c>
      <c r="Q440" s="18">
        <v>18</v>
      </c>
      <c r="R440" s="15" t="str">
        <f>_xlfn.CONCAT(F440,G440,H440,I440,J440)</f>
        <v>WLWDW</v>
      </c>
      <c r="S440" s="13" t="str">
        <f>_xlfn.CONCAT(K440,L440,M440,N440,O440)</f>
        <v>WWLWD</v>
      </c>
      <c r="T440" s="13" t="str">
        <f>_xlfn.CONCAT(R440,"***",S440)</f>
        <v>WLWDW***WWLWD</v>
      </c>
      <c r="U440" s="19">
        <f>(P440-Q440)</f>
        <v>-23</v>
      </c>
      <c r="V440" s="14">
        <v>3</v>
      </c>
      <c r="W440" s="14">
        <v>0</v>
      </c>
      <c r="X440" s="20" t="str">
        <f>IF(ISBLANK(V440),"",IF(V440&gt;W440,"1",IF(V440&lt;W440,"2",IF(V440=W440,"X"))))</f>
        <v>1</v>
      </c>
      <c r="Y440" s="23" t="str">
        <f>COUNTIF(F440:J440, "W")&amp;COUNTIF(F440:J440, "d")&amp;COUNTIF(F440:J440, "l")</f>
        <v>311</v>
      </c>
      <c r="Z440" s="13" t="str">
        <f>COUNTIF(K440:O440, "W")&amp;COUNTIF(K440:O440, "d")&amp;COUNTIF(K440:O440, "l")</f>
        <v>311</v>
      </c>
      <c r="AA440" s="23" t="str">
        <f>_xlfn.CONCAT(Y440,"-",Z440)</f>
        <v>311-311</v>
      </c>
      <c r="AB440" s="15" t="str">
        <f>_xlfn.CONCAT(AA440,"…",TEXT(U440,"+00;-00;+00;"))</f>
        <v>311-311…-23</v>
      </c>
      <c r="AC440" s="23" t="str">
        <f>_xlfn.CONCAT(TEXT(P440,"+00;-00;+00;"),"…",TEXT(Q440,"+00;-00;+00;"))</f>
        <v>-05…+18</v>
      </c>
      <c r="AD440" s="14" t="str">
        <f>IF(X440="","?","")</f>
        <v/>
      </c>
      <c r="AE440" s="15" t="str">
        <f>_xlfn.CONCAT(AA440,"…",TEXT(P440,"+00;-00;+00;"),"...",TEXT(Q440,"+00;-00;+00;"))</f>
        <v>311-311…-05...+18</v>
      </c>
      <c r="AF440" s="13" t="str">
        <f>_xlfn.CONCAT(R440,"…",TEXT(P440,"+00;-00;+00;"),"...",TEXT(Q440,"+00;-00;+00;"))</f>
        <v>WLWDW…-05...+18</v>
      </c>
    </row>
    <row r="441" spans="1:32" x14ac:dyDescent="0.25">
      <c r="A441" s="12" t="s">
        <v>944</v>
      </c>
      <c r="B441" s="13" t="s">
        <v>7</v>
      </c>
      <c r="C441" s="14" t="s">
        <v>8</v>
      </c>
      <c r="D441" s="13" t="s">
        <v>622</v>
      </c>
      <c r="E441" s="13" t="s">
        <v>620</v>
      </c>
      <c r="F441" s="15" t="s">
        <v>29</v>
      </c>
      <c r="G441" s="15" t="s">
        <v>31</v>
      </c>
      <c r="H441" s="15" t="s">
        <v>31</v>
      </c>
      <c r="I441" s="15" t="s">
        <v>31</v>
      </c>
      <c r="J441" s="15" t="s">
        <v>30</v>
      </c>
      <c r="K441" s="15" t="s">
        <v>29</v>
      </c>
      <c r="L441" s="15" t="s">
        <v>30</v>
      </c>
      <c r="M441" s="15" t="s">
        <v>30</v>
      </c>
      <c r="N441" s="15" t="s">
        <v>31</v>
      </c>
      <c r="O441" s="15" t="s">
        <v>31</v>
      </c>
      <c r="P441" s="18">
        <v>8</v>
      </c>
      <c r="Q441" s="18">
        <v>0</v>
      </c>
      <c r="R441" s="15" t="str">
        <f>_xlfn.CONCAT(F441,G441,H441,I441,J441)</f>
        <v>DLLLW</v>
      </c>
      <c r="S441" s="13" t="str">
        <f>_xlfn.CONCAT(K441,L441,M441,N441,O441)</f>
        <v>DWWLL</v>
      </c>
      <c r="T441" s="13" t="str">
        <f>_xlfn.CONCAT(R441,"***",S441)</f>
        <v>DLLLW***DWWLL</v>
      </c>
      <c r="U441" s="19">
        <f>(P441-Q441)</f>
        <v>8</v>
      </c>
      <c r="V441" s="14">
        <v>1</v>
      </c>
      <c r="W441" s="14">
        <v>2</v>
      </c>
      <c r="X441" s="20" t="str">
        <f>IF(ISBLANK(V441),"",IF(V441&gt;W441,"1",IF(V441&lt;W441,"2",IF(V441=W441,"X"))))</f>
        <v>2</v>
      </c>
      <c r="Y441" s="23" t="str">
        <f>COUNTIF(F441:J441, "W")&amp;COUNTIF(F441:J441, "d")&amp;COUNTIF(F441:J441, "l")</f>
        <v>113</v>
      </c>
      <c r="Z441" s="13" t="str">
        <f>COUNTIF(K441:O441, "W")&amp;COUNTIF(K441:O441, "d")&amp;COUNTIF(K441:O441, "l")</f>
        <v>212</v>
      </c>
      <c r="AA441" s="23" t="str">
        <f>_xlfn.CONCAT(Y441,"-",Z441)</f>
        <v>113-212</v>
      </c>
      <c r="AB441" s="15" t="str">
        <f>_xlfn.CONCAT(AA441,"…",TEXT(U441,"+00;-00;+00;"))</f>
        <v>113-212…+08</v>
      </c>
      <c r="AC441" s="23" t="str">
        <f>_xlfn.CONCAT(TEXT(P441,"+00;-00;+00;"),"…",TEXT(Q441,"+00;-00;+00;"))</f>
        <v>+08…+00</v>
      </c>
      <c r="AD441" s="14" t="str">
        <f>IF(X441="","?","")</f>
        <v/>
      </c>
      <c r="AE441" s="15" t="str">
        <f>_xlfn.CONCAT(AA441,"…",TEXT(P441,"+00;-00;+00;"),"...",TEXT(Q441,"+00;-00;+00;"))</f>
        <v>113-212…+08...+00</v>
      </c>
      <c r="AF441" s="13" t="str">
        <f>_xlfn.CONCAT(R441,"…",TEXT(P441,"+00;-00;+00;"),"...",TEXT(Q441,"+00;-00;+00;"))</f>
        <v>DLLLW…+08...+00</v>
      </c>
    </row>
    <row r="442" spans="1:32" x14ac:dyDescent="0.25">
      <c r="A442" s="12" t="s">
        <v>981</v>
      </c>
      <c r="B442" s="13" t="s">
        <v>250</v>
      </c>
      <c r="C442" s="14">
        <v>1</v>
      </c>
      <c r="D442" s="13" t="s">
        <v>260</v>
      </c>
      <c r="E442" s="13" t="s">
        <v>269</v>
      </c>
      <c r="F442" s="15" t="s">
        <v>31</v>
      </c>
      <c r="G442" s="15" t="s">
        <v>29</v>
      </c>
      <c r="H442" s="15" t="s">
        <v>30</v>
      </c>
      <c r="I442" s="15" t="s">
        <v>31</v>
      </c>
      <c r="J442" s="15" t="s">
        <v>29</v>
      </c>
      <c r="K442" s="15" t="s">
        <v>30</v>
      </c>
      <c r="L442" s="15" t="s">
        <v>30</v>
      </c>
      <c r="M442" s="15" t="s">
        <v>30</v>
      </c>
      <c r="N442" s="15" t="s">
        <v>29</v>
      </c>
      <c r="O442" s="15" t="s">
        <v>30</v>
      </c>
      <c r="P442" s="18">
        <v>-6</v>
      </c>
      <c r="Q442" s="18">
        <v>14</v>
      </c>
      <c r="R442" s="15" t="str">
        <f>_xlfn.CONCAT(F442,G442,H442,I442,J442)</f>
        <v>LDWLD</v>
      </c>
      <c r="S442" s="13" t="str">
        <f>_xlfn.CONCAT(K442,L442,M442,N442,O442)</f>
        <v>WWWDW</v>
      </c>
      <c r="T442" s="13" t="str">
        <f>_xlfn.CONCAT(R442,"***",S442)</f>
        <v>LDWLD***WWWDW</v>
      </c>
      <c r="U442" s="19">
        <f>(P442-Q442)</f>
        <v>-20</v>
      </c>
      <c r="V442" s="14">
        <v>1</v>
      </c>
      <c r="W442" s="14">
        <v>3</v>
      </c>
      <c r="X442" s="20" t="str">
        <f>IF(ISBLANK(V442),"",IF(V442&gt;W442,"1",IF(V442&lt;W442,"2",IF(V442=W442,"X"))))</f>
        <v>2</v>
      </c>
      <c r="Y442" s="23" t="str">
        <f>COUNTIF(F442:J442, "W")&amp;COUNTIF(F442:J442, "d")&amp;COUNTIF(F442:J442, "l")</f>
        <v>122</v>
      </c>
      <c r="Z442" s="13" t="str">
        <f>COUNTIF(K442:O442, "W")&amp;COUNTIF(K442:O442, "d")&amp;COUNTIF(K442:O442, "l")</f>
        <v>410</v>
      </c>
      <c r="AA442" s="23" t="str">
        <f>_xlfn.CONCAT(Y442,"-",Z442)</f>
        <v>122-410</v>
      </c>
      <c r="AB442" s="15" t="str">
        <f>_xlfn.CONCAT(AA442,"…",TEXT(U442,"+00;-00;+00;"))</f>
        <v>122-410…-20</v>
      </c>
      <c r="AC442" s="23" t="str">
        <f>_xlfn.CONCAT(TEXT(P442,"+00;-00;+00;"),"…",TEXT(Q442,"+00;-00;+00;"))</f>
        <v>-06…+14</v>
      </c>
      <c r="AD442" s="14" t="str">
        <f>IF(X442="","?","")</f>
        <v/>
      </c>
      <c r="AE442" s="15" t="str">
        <f>_xlfn.CONCAT(AA442,"…",TEXT(P442,"+00;-00;+00;"),"...",TEXT(Q442,"+00;-00;+00;"))</f>
        <v>122-410…-06...+14</v>
      </c>
      <c r="AF442" s="13" t="str">
        <f>_xlfn.CONCAT(R442,"…",TEXT(P442,"+00;-00;+00;"),"...",TEXT(Q442,"+00;-00;+00;"))</f>
        <v>LDWLD…-06...+14</v>
      </c>
    </row>
    <row r="443" spans="1:32" x14ac:dyDescent="0.25">
      <c r="A443" s="13" t="s">
        <v>899</v>
      </c>
      <c r="B443" s="13" t="s">
        <v>414</v>
      </c>
      <c r="C443" s="14">
        <v>1</v>
      </c>
      <c r="D443" s="13" t="s">
        <v>906</v>
      </c>
      <c r="E443" s="13" t="s">
        <v>842</v>
      </c>
      <c r="F443" s="13" t="s">
        <v>29</v>
      </c>
      <c r="G443" s="13" t="s">
        <v>29</v>
      </c>
      <c r="H443" s="13" t="s">
        <v>31</v>
      </c>
      <c r="I443" s="13" t="s">
        <v>29</v>
      </c>
      <c r="J443" s="13" t="s">
        <v>31</v>
      </c>
      <c r="K443" s="13" t="s">
        <v>31</v>
      </c>
      <c r="L443" s="13" t="s">
        <v>30</v>
      </c>
      <c r="M443" s="13" t="s">
        <v>29</v>
      </c>
      <c r="N443" s="13" t="s">
        <v>31</v>
      </c>
      <c r="O443" s="13" t="s">
        <v>31</v>
      </c>
      <c r="P443" s="16">
        <v>-12</v>
      </c>
      <c r="Q443" s="16">
        <v>-8</v>
      </c>
      <c r="R443" s="13" t="str">
        <f>_xlfn.CONCAT(F443,G443,H443,I443,J443)</f>
        <v>DDLDL</v>
      </c>
      <c r="S443" s="13" t="str">
        <f>_xlfn.CONCAT(K443,L443,M443,N443,O443)</f>
        <v>LWDLL</v>
      </c>
      <c r="T443" s="13" t="str">
        <f>_xlfn.CONCAT(R443,"***",S443)</f>
        <v>DDLDL***LWDLL</v>
      </c>
      <c r="U443" s="21">
        <f>(P443-Q443)</f>
        <v>-4</v>
      </c>
      <c r="V443" s="14">
        <v>2</v>
      </c>
      <c r="W443" s="14">
        <v>2</v>
      </c>
      <c r="X443" s="20" t="str">
        <f>IF(ISBLANK(V443),"",IF(V443&gt;W443,"1",IF(V443&lt;W443,"2",IF(V443=W443,"X"))))</f>
        <v>X</v>
      </c>
      <c r="Y443" s="23" t="str">
        <f>COUNTIF(F443:J443, "W")&amp;COUNTIF(F443:J443, "d")&amp;COUNTIF(F443:J443, "l")</f>
        <v>032</v>
      </c>
      <c r="Z443" s="13" t="str">
        <f>COUNTIF(K443:O443, "W")&amp;COUNTIF(K443:O443, "d")&amp;COUNTIF(K443:O443, "l")</f>
        <v>113</v>
      </c>
      <c r="AA443" s="23" t="str">
        <f>_xlfn.CONCAT(Y443,"-",Z443)</f>
        <v>032-113</v>
      </c>
      <c r="AB443" s="13" t="str">
        <f>_xlfn.CONCAT(AA443,"…",TEXT(U443,"+00;-00;+00;"))</f>
        <v>032-113…-04</v>
      </c>
      <c r="AC443" s="23" t="str">
        <f>_xlfn.CONCAT(TEXT(P443,"+00;-00;+00;"),"…",TEXT(Q443,"+00;-00;+00;"))</f>
        <v>-12…-08</v>
      </c>
      <c r="AD443" s="14" t="str">
        <f>IF(X443="","?","")</f>
        <v/>
      </c>
      <c r="AE443" s="15" t="str">
        <f>_xlfn.CONCAT(AA443,"…",TEXT(P443,"+00;-00;+00;"),"...",TEXT(Q443,"+00;-00;+00;"))</f>
        <v>032-113…-12...-08</v>
      </c>
      <c r="AF443" s="13" t="str">
        <f>_xlfn.CONCAT(R443,"…",TEXT(P443,"+00;-00;+00;"),"...",TEXT(Q443,"+00;-00;+00;"))</f>
        <v>DDLDL…-12...-08</v>
      </c>
    </row>
    <row r="444" spans="1:32" x14ac:dyDescent="0.25">
      <c r="A444" s="12" t="s">
        <v>899</v>
      </c>
      <c r="B444" s="13" t="s">
        <v>339</v>
      </c>
      <c r="C444" s="14">
        <v>1</v>
      </c>
      <c r="D444" s="13" t="s">
        <v>350</v>
      </c>
      <c r="E444" s="13" t="s">
        <v>353</v>
      </c>
      <c r="F444" s="15" t="s">
        <v>30</v>
      </c>
      <c r="G444" s="15" t="s">
        <v>30</v>
      </c>
      <c r="H444" s="15" t="s">
        <v>31</v>
      </c>
      <c r="I444" s="15" t="s">
        <v>30</v>
      </c>
      <c r="J444" s="15" t="s">
        <v>30</v>
      </c>
      <c r="K444" s="15" t="s">
        <v>31</v>
      </c>
      <c r="L444" s="15" t="s">
        <v>29</v>
      </c>
      <c r="M444" s="15" t="s">
        <v>29</v>
      </c>
      <c r="N444" s="15" t="s">
        <v>29</v>
      </c>
      <c r="O444" s="15" t="s">
        <v>30</v>
      </c>
      <c r="P444" s="18">
        <v>20</v>
      </c>
      <c r="Q444" s="18">
        <v>10</v>
      </c>
      <c r="R444" s="15" t="str">
        <f>_xlfn.CONCAT(F444,G444,H444,I444,J444)</f>
        <v>WWLWW</v>
      </c>
      <c r="S444" s="13" t="str">
        <f>_xlfn.CONCAT(K444,L444,M444,N444,O444)</f>
        <v>LDDDW</v>
      </c>
      <c r="T444" s="13" t="str">
        <f>_xlfn.CONCAT(R444,"***",S444)</f>
        <v>WWLWW***LDDDW</v>
      </c>
      <c r="U444" s="19">
        <f>(P444-Q444)</f>
        <v>10</v>
      </c>
      <c r="V444" s="14">
        <v>3</v>
      </c>
      <c r="W444" s="14">
        <v>1</v>
      </c>
      <c r="X444" s="20" t="str">
        <f>IF(ISBLANK(V444),"",IF(V444&gt;W444,"1",IF(V444&lt;W444,"2",IF(V444=W444,"X"))))</f>
        <v>1</v>
      </c>
      <c r="Y444" s="23" t="str">
        <f>COUNTIF(F444:J444, "W")&amp;COUNTIF(F444:J444, "d")&amp;COUNTIF(F444:J444, "l")</f>
        <v>401</v>
      </c>
      <c r="Z444" s="13" t="str">
        <f>COUNTIF(K444:O444, "W")&amp;COUNTIF(K444:O444, "d")&amp;COUNTIF(K444:O444, "l")</f>
        <v>131</v>
      </c>
      <c r="AA444" s="23" t="str">
        <f>_xlfn.CONCAT(Y444,"-",Z444)</f>
        <v>401-131</v>
      </c>
      <c r="AB444" s="15" t="str">
        <f>_xlfn.CONCAT(AA444,"…",TEXT(U444,"+00;-00;+00;"))</f>
        <v>401-131…+10</v>
      </c>
      <c r="AC444" s="23" t="str">
        <f>_xlfn.CONCAT(TEXT(P444,"+00;-00;+00;"),"…",TEXT(Q444,"+00;-00;+00;"))</f>
        <v>+20…+10</v>
      </c>
      <c r="AD444" s="14" t="str">
        <f>IF(X444="","?","")</f>
        <v/>
      </c>
      <c r="AE444" s="15" t="str">
        <f>_xlfn.CONCAT(AA444,"…",TEXT(P444,"+00;-00;+00;"),"...",TEXT(Q444,"+00;-00;+00;"))</f>
        <v>401-131…+20...+10</v>
      </c>
      <c r="AF444" s="13" t="str">
        <f>_xlfn.CONCAT(R444,"…",TEXT(P444,"+00;-00;+00;"),"...",TEXT(Q444,"+00;-00;+00;"))</f>
        <v>WWLWW…+20...+10</v>
      </c>
    </row>
    <row r="445" spans="1:32" x14ac:dyDescent="0.25">
      <c r="A445" s="13" t="s">
        <v>929</v>
      </c>
      <c r="B445" s="13" t="s">
        <v>208</v>
      </c>
      <c r="C445" s="14">
        <v>2</v>
      </c>
      <c r="D445" s="13" t="s">
        <v>592</v>
      </c>
      <c r="E445" s="13" t="s">
        <v>933</v>
      </c>
      <c r="F445" s="13" t="s">
        <v>31</v>
      </c>
      <c r="G445" s="13" t="s">
        <v>29</v>
      </c>
      <c r="H445" s="13" t="s">
        <v>29</v>
      </c>
      <c r="I445" s="13" t="s">
        <v>30</v>
      </c>
      <c r="J445" s="13" t="s">
        <v>31</v>
      </c>
      <c r="K445" s="13" t="s">
        <v>29</v>
      </c>
      <c r="L445" s="13" t="s">
        <v>30</v>
      </c>
      <c r="M445" s="13" t="s">
        <v>29</v>
      </c>
      <c r="N445" s="13" t="s">
        <v>31</v>
      </c>
      <c r="O445" s="13" t="s">
        <v>31</v>
      </c>
      <c r="P445" s="16">
        <v>10</v>
      </c>
      <c r="Q445" s="16">
        <v>-1</v>
      </c>
      <c r="R445" s="13" t="str">
        <f>_xlfn.CONCAT(F445,G445,H445,I445,J445)</f>
        <v>LDDWL</v>
      </c>
      <c r="S445" s="13" t="str">
        <f>_xlfn.CONCAT(K445,L445,M445,N445,O445)</f>
        <v>DWDLL</v>
      </c>
      <c r="T445" s="13" t="str">
        <f>_xlfn.CONCAT(R445,"***",S445)</f>
        <v>LDDWL***DWDLL</v>
      </c>
      <c r="U445" s="21">
        <f>(P445-Q445)</f>
        <v>11</v>
      </c>
      <c r="V445" s="14">
        <v>2</v>
      </c>
      <c r="W445" s="14">
        <v>2</v>
      </c>
      <c r="X445" s="20" t="str">
        <f>IF(ISBLANK(V445),"",IF(V445&gt;W445,"1",IF(V445&lt;W445,"2",IF(V445=W445,"X"))))</f>
        <v>X</v>
      </c>
      <c r="Y445" s="23" t="str">
        <f>COUNTIF(F445:J445, "W")&amp;COUNTIF(F445:J445, "d")&amp;COUNTIF(F445:J445, "l")</f>
        <v>122</v>
      </c>
      <c r="Z445" s="13" t="str">
        <f>COUNTIF(K445:O445, "W")&amp;COUNTIF(K445:O445, "d")&amp;COUNTIF(K445:O445, "l")</f>
        <v>122</v>
      </c>
      <c r="AA445" s="23" t="str">
        <f>_xlfn.CONCAT(Y445,"-",Z445)</f>
        <v>122-122</v>
      </c>
      <c r="AB445" s="13" t="str">
        <f>_xlfn.CONCAT(AA445,"…",TEXT(U445,"+00;-00;+00;"))</f>
        <v>122-122…+11</v>
      </c>
      <c r="AC445" s="23" t="str">
        <f>_xlfn.CONCAT(TEXT(P445,"+00;-00;+00;"),"…",TEXT(Q445,"+00;-00;+00;"))</f>
        <v>+10…-01</v>
      </c>
      <c r="AD445" s="14" t="str">
        <f>IF(X445="","?","")</f>
        <v/>
      </c>
      <c r="AE445" s="15" t="str">
        <f>_xlfn.CONCAT(AA445,"…",TEXT(P445,"+00;-00;+00;"),"...",TEXT(Q445,"+00;-00;+00;"))</f>
        <v>122-122…+10...-01</v>
      </c>
      <c r="AF445" s="13" t="str">
        <f>_xlfn.CONCAT(R445,"…",TEXT(P445,"+00;-00;+00;"),"...",TEXT(Q445,"+00;-00;+00;"))</f>
        <v>LDDWL…+10...-01</v>
      </c>
    </row>
    <row r="446" spans="1:32" x14ac:dyDescent="0.25">
      <c r="A446" s="12" t="s">
        <v>929</v>
      </c>
      <c r="B446" s="13" t="s">
        <v>59</v>
      </c>
      <c r="C446" s="14">
        <v>2</v>
      </c>
      <c r="D446" s="13" t="s">
        <v>748</v>
      </c>
      <c r="E446" s="13" t="s">
        <v>1012</v>
      </c>
      <c r="F446" s="15" t="s">
        <v>31</v>
      </c>
      <c r="G446" s="15" t="s">
        <v>30</v>
      </c>
      <c r="H446" s="15" t="s">
        <v>29</v>
      </c>
      <c r="I446" s="15" t="s">
        <v>29</v>
      </c>
      <c r="J446" s="15" t="s">
        <v>29</v>
      </c>
      <c r="K446" s="15" t="s">
        <v>30</v>
      </c>
      <c r="L446" s="15" t="s">
        <v>31</v>
      </c>
      <c r="M446" s="15" t="s">
        <v>29</v>
      </c>
      <c r="N446" s="15" t="s">
        <v>30</v>
      </c>
      <c r="O446" s="15" t="s">
        <v>31</v>
      </c>
      <c r="P446" s="18">
        <v>-6</v>
      </c>
      <c r="Q446" s="18">
        <v>-6</v>
      </c>
      <c r="R446" s="15" t="str">
        <f>_xlfn.CONCAT(F446,G446,H446,I446,J446)</f>
        <v>LWDDD</v>
      </c>
      <c r="S446" s="13" t="str">
        <f>_xlfn.CONCAT(K446,L446,M446,N446,O446)</f>
        <v>WLDWL</v>
      </c>
      <c r="T446" s="13" t="str">
        <f>_xlfn.CONCAT(R446,"***",S446)</f>
        <v>LWDDD***WLDWL</v>
      </c>
      <c r="U446" s="19">
        <f>(P446-Q446)</f>
        <v>0</v>
      </c>
      <c r="V446" s="14">
        <v>2</v>
      </c>
      <c r="W446" s="14">
        <v>0</v>
      </c>
      <c r="X446" s="20" t="str">
        <f>IF(ISBLANK(V446),"",IF(V446&gt;W446,"1",IF(V446&lt;W446,"2",IF(V446=W446,"X"))))</f>
        <v>1</v>
      </c>
      <c r="Y446" s="23" t="str">
        <f>COUNTIF(F446:J446, "W")&amp;COUNTIF(F446:J446, "d")&amp;COUNTIF(F446:J446, "l")</f>
        <v>131</v>
      </c>
      <c r="Z446" s="13" t="str">
        <f>COUNTIF(K446:O446, "W")&amp;COUNTIF(K446:O446, "d")&amp;COUNTIF(K446:O446, "l")</f>
        <v>212</v>
      </c>
      <c r="AA446" s="23" t="str">
        <f>_xlfn.CONCAT(Y446,"-",Z446)</f>
        <v>131-212</v>
      </c>
      <c r="AB446" s="15" t="str">
        <f>_xlfn.CONCAT(AA446,"…",TEXT(U446,"+00;-00;+00;"))</f>
        <v>131-212…+00</v>
      </c>
      <c r="AC446" s="23" t="str">
        <f>_xlfn.CONCAT(TEXT(P446,"+00;-00;+00;"),"…",TEXT(Q446,"+00;-00;+00;"))</f>
        <v>-06…-06</v>
      </c>
      <c r="AD446" s="14" t="str">
        <f>IF(X446="","?","")</f>
        <v/>
      </c>
      <c r="AE446" s="15" t="str">
        <f>_xlfn.CONCAT(AA446,"…",TEXT(P446,"+00;-00;+00;"),"...",TEXT(Q446,"+00;-00;+00;"))</f>
        <v>131-212…-06...-06</v>
      </c>
      <c r="AF446" s="13" t="str">
        <f>_xlfn.CONCAT(R446,"…",TEXT(P446,"+00;-00;+00;"),"...",TEXT(Q446,"+00;-00;+00;"))</f>
        <v>LWDDD…-06...-06</v>
      </c>
    </row>
    <row r="447" spans="1:32" x14ac:dyDescent="0.25">
      <c r="A447" s="13" t="s">
        <v>929</v>
      </c>
      <c r="B447" s="13" t="s">
        <v>208</v>
      </c>
      <c r="C447" s="14">
        <v>2</v>
      </c>
      <c r="D447" s="13" t="s">
        <v>934</v>
      </c>
      <c r="E447" s="13" t="s">
        <v>584</v>
      </c>
      <c r="F447" s="13" t="s">
        <v>31</v>
      </c>
      <c r="G447" s="13" t="s">
        <v>31</v>
      </c>
      <c r="H447" s="13" t="s">
        <v>30</v>
      </c>
      <c r="I447" s="13" t="s">
        <v>30</v>
      </c>
      <c r="J447" s="13" t="s">
        <v>30</v>
      </c>
      <c r="K447" s="13" t="s">
        <v>31</v>
      </c>
      <c r="L447" s="13" t="s">
        <v>31</v>
      </c>
      <c r="M447" s="13" t="s">
        <v>30</v>
      </c>
      <c r="N447" s="13" t="s">
        <v>31</v>
      </c>
      <c r="O447" s="13" t="s">
        <v>31</v>
      </c>
      <c r="P447" s="16">
        <v>-1</v>
      </c>
      <c r="Q447" s="16">
        <v>-18</v>
      </c>
      <c r="R447" s="13" t="str">
        <f>_xlfn.CONCAT(F447,G447,H447,I447,J447)</f>
        <v>LLWWW</v>
      </c>
      <c r="S447" s="13" t="str">
        <f>_xlfn.CONCAT(K447,L447,M447,N447,O447)</f>
        <v>LLWLL</v>
      </c>
      <c r="T447" s="13" t="str">
        <f>_xlfn.CONCAT(R447,"***",S447)</f>
        <v>LLWWW***LLWLL</v>
      </c>
      <c r="U447" s="21">
        <f>(P447-Q447)</f>
        <v>17</v>
      </c>
      <c r="V447" s="14">
        <v>1</v>
      </c>
      <c r="W447" s="14">
        <v>3</v>
      </c>
      <c r="X447" s="20" t="str">
        <f>IF(ISBLANK(V447),"",IF(V447&gt;W447,"1",IF(V447&lt;W447,"2",IF(V447=W447,"X"))))</f>
        <v>2</v>
      </c>
      <c r="Y447" s="23" t="str">
        <f>COUNTIF(F447:J447, "W")&amp;COUNTIF(F447:J447, "d")&amp;COUNTIF(F447:J447, "l")</f>
        <v>302</v>
      </c>
      <c r="Z447" s="13" t="str">
        <f>COUNTIF(K447:O447, "W")&amp;COUNTIF(K447:O447, "d")&amp;COUNTIF(K447:O447, "l")</f>
        <v>104</v>
      </c>
      <c r="AA447" s="23" t="str">
        <f>_xlfn.CONCAT(Y447,"-",Z447)</f>
        <v>302-104</v>
      </c>
      <c r="AB447" s="13" t="str">
        <f>_xlfn.CONCAT(AA447,"…",TEXT(U447,"+00;-00;+00;"))</f>
        <v>302-104…+17</v>
      </c>
      <c r="AC447" s="23" t="str">
        <f>_xlfn.CONCAT(TEXT(P447,"+00;-00;+00;"),"…",TEXT(Q447,"+00;-00;+00;"))</f>
        <v>-01…-18</v>
      </c>
      <c r="AD447" s="14" t="str">
        <f>IF(X447="","?","")</f>
        <v/>
      </c>
      <c r="AE447" s="15" t="str">
        <f>_xlfn.CONCAT(AA447,"…",TEXT(P447,"+00;-00;+00;"),"...",TEXT(Q447,"+00;-00;+00;"))</f>
        <v>302-104…-01...-18</v>
      </c>
      <c r="AF447" s="13" t="str">
        <f>_xlfn.CONCAT(R447,"…",TEXT(P447,"+00;-00;+00;"),"...",TEXT(Q447,"+00;-00;+00;"))</f>
        <v>LLWWW…-01...-18</v>
      </c>
    </row>
    <row r="448" spans="1:32" x14ac:dyDescent="0.25">
      <c r="A448" s="12" t="s">
        <v>982</v>
      </c>
      <c r="B448" s="13" t="s">
        <v>208</v>
      </c>
      <c r="C448" s="14">
        <v>3</v>
      </c>
      <c r="D448" s="13" t="s">
        <v>1028</v>
      </c>
      <c r="E448" s="13" t="s">
        <v>1029</v>
      </c>
      <c r="F448" s="15" t="s">
        <v>30</v>
      </c>
      <c r="G448" s="15" t="s">
        <v>31</v>
      </c>
      <c r="H448" s="15" t="s">
        <v>31</v>
      </c>
      <c r="I448" s="15" t="s">
        <v>30</v>
      </c>
      <c r="J448" s="15" t="s">
        <v>30</v>
      </c>
      <c r="K448" s="15" t="s">
        <v>29</v>
      </c>
      <c r="L448" s="15" t="s">
        <v>29</v>
      </c>
      <c r="M448" s="15" t="s">
        <v>29</v>
      </c>
      <c r="N448" s="15" t="s">
        <v>31</v>
      </c>
      <c r="O448" s="15" t="s">
        <v>30</v>
      </c>
      <c r="P448" s="18">
        <v>-10</v>
      </c>
      <c r="Q448" s="18">
        <v>0</v>
      </c>
      <c r="R448" s="15" t="str">
        <f>_xlfn.CONCAT(F448,G448,H448,I448,J448)</f>
        <v>WLLWW</v>
      </c>
      <c r="S448" s="13" t="str">
        <f>_xlfn.CONCAT(K448,L448,M448,N448,O448)</f>
        <v>DDDLW</v>
      </c>
      <c r="T448" s="13" t="str">
        <f>_xlfn.CONCAT(R448,"***",S448)</f>
        <v>WLLWW***DDDLW</v>
      </c>
      <c r="U448" s="19">
        <f>(P448-Q448)</f>
        <v>-10</v>
      </c>
      <c r="V448" s="14">
        <v>2</v>
      </c>
      <c r="W448" s="14">
        <v>2</v>
      </c>
      <c r="X448" s="20" t="str">
        <f>IF(ISBLANK(V448),"",IF(V448&gt;W448,"1",IF(V448&lt;W448,"2",IF(V448=W448,"X"))))</f>
        <v>X</v>
      </c>
      <c r="Y448" s="23" t="str">
        <f>COUNTIF(F448:J448, "W")&amp;COUNTIF(F448:J448, "d")&amp;COUNTIF(F448:J448, "l")</f>
        <v>302</v>
      </c>
      <c r="Z448" s="13" t="str">
        <f>COUNTIF(K448:O448, "W")&amp;COUNTIF(K448:O448, "d")&amp;COUNTIF(K448:O448, "l")</f>
        <v>131</v>
      </c>
      <c r="AA448" s="23" t="str">
        <f>_xlfn.CONCAT(Y448,"-",Z448)</f>
        <v>302-131</v>
      </c>
      <c r="AB448" s="15" t="str">
        <f>_xlfn.CONCAT(AA448,"…",TEXT(U448,"+00;-00;+00;"))</f>
        <v>302-131…-10</v>
      </c>
      <c r="AC448" s="23" t="str">
        <f>_xlfn.CONCAT(TEXT(P448,"+00;-00;+00;"),"…",TEXT(Q448,"+00;-00;+00;"))</f>
        <v>-10…+00</v>
      </c>
      <c r="AD448" s="14" t="str">
        <f>IF(X448="","?","")</f>
        <v/>
      </c>
      <c r="AE448" s="15" t="str">
        <f>_xlfn.CONCAT(AA448,"…",TEXT(P448,"+00;-00;+00;"),"...",TEXT(Q448,"+00;-00;+00;"))</f>
        <v>302-131…-10...+00</v>
      </c>
      <c r="AF448" s="13" t="str">
        <f>_xlfn.CONCAT(R448,"…",TEXT(P448,"+00;-00;+00;"),"...",TEXT(Q448,"+00;-00;+00;"))</f>
        <v>WLLWW…-10...+00</v>
      </c>
    </row>
    <row r="449" spans="1:32" x14ac:dyDescent="0.25">
      <c r="A449" s="12" t="s">
        <v>982</v>
      </c>
      <c r="B449" s="13" t="s">
        <v>250</v>
      </c>
      <c r="C449" s="14">
        <v>1</v>
      </c>
      <c r="D449" s="13" t="s">
        <v>652</v>
      </c>
      <c r="E449" s="13" t="s">
        <v>990</v>
      </c>
      <c r="F449" s="15" t="s">
        <v>29</v>
      </c>
      <c r="G449" s="15" t="s">
        <v>30</v>
      </c>
      <c r="H449" s="15" t="s">
        <v>30</v>
      </c>
      <c r="I449" s="15" t="s">
        <v>29</v>
      </c>
      <c r="J449" s="15" t="s">
        <v>30</v>
      </c>
      <c r="K449" s="15" t="s">
        <v>31</v>
      </c>
      <c r="L449" s="15" t="s">
        <v>30</v>
      </c>
      <c r="M449" s="15" t="s">
        <v>30</v>
      </c>
      <c r="N449" s="15" t="s">
        <v>30</v>
      </c>
      <c r="O449" s="15" t="s">
        <v>29</v>
      </c>
      <c r="P449" s="18">
        <v>14</v>
      </c>
      <c r="Q449" s="18">
        <v>4</v>
      </c>
      <c r="R449" s="15" t="str">
        <f>_xlfn.CONCAT(F449,G449,H449,I449,J449)</f>
        <v>DWWDW</v>
      </c>
      <c r="S449" s="13" t="str">
        <f>_xlfn.CONCAT(K449,L449,M449,N449,O449)</f>
        <v>LWWWD</v>
      </c>
      <c r="T449" s="13" t="str">
        <f>_xlfn.CONCAT(R449,"***",S449)</f>
        <v>DWWDW***LWWWD</v>
      </c>
      <c r="U449" s="19">
        <f>(P449-Q449)</f>
        <v>10</v>
      </c>
      <c r="V449" s="14">
        <v>1</v>
      </c>
      <c r="W449" s="14">
        <v>1</v>
      </c>
      <c r="X449" s="20" t="str">
        <f>IF(ISBLANK(V449),"",IF(V449&gt;W449,"1",IF(V449&lt;W449,"2",IF(V449=W449,"X"))))</f>
        <v>X</v>
      </c>
      <c r="Y449" s="23" t="str">
        <f>COUNTIF(F449:J449, "W")&amp;COUNTIF(F449:J449, "d")&amp;COUNTIF(F449:J449, "l")</f>
        <v>320</v>
      </c>
      <c r="Z449" s="13" t="str">
        <f>COUNTIF(K449:O449, "W")&amp;COUNTIF(K449:O449, "d")&amp;COUNTIF(K449:O449, "l")</f>
        <v>311</v>
      </c>
      <c r="AA449" s="23" t="str">
        <f>_xlfn.CONCAT(Y449,"-",Z449)</f>
        <v>320-311</v>
      </c>
      <c r="AB449" s="15" t="str">
        <f>_xlfn.CONCAT(AA449,"…",TEXT(U449,"+00;-00;+00;"))</f>
        <v>320-311…+10</v>
      </c>
      <c r="AC449" s="23" t="str">
        <f>_xlfn.CONCAT(TEXT(P449,"+00;-00;+00;"),"…",TEXT(Q449,"+00;-00;+00;"))</f>
        <v>+14…+04</v>
      </c>
      <c r="AD449" s="14" t="str">
        <f>IF(X449="","?","")</f>
        <v/>
      </c>
      <c r="AE449" s="15" t="str">
        <f>_xlfn.CONCAT(AA449,"…",TEXT(P449,"+00;-00;+00;"),"...",TEXT(Q449,"+00;-00;+00;"))</f>
        <v>320-311…+14...+04</v>
      </c>
      <c r="AF449" s="13" t="str">
        <f>_xlfn.CONCAT(R449,"…",TEXT(P449,"+00;-00;+00;"),"...",TEXT(Q449,"+00;-00;+00;"))</f>
        <v>DWWDW…+14...+04</v>
      </c>
    </row>
    <row r="450" spans="1:32" x14ac:dyDescent="0.25">
      <c r="A450" s="12" t="s">
        <v>1049</v>
      </c>
      <c r="B450" s="13" t="s">
        <v>295</v>
      </c>
      <c r="C450" s="14">
        <v>1</v>
      </c>
      <c r="D450" s="13" t="s">
        <v>690</v>
      </c>
      <c r="E450" s="13" t="s">
        <v>1053</v>
      </c>
      <c r="F450" s="15" t="s">
        <v>30</v>
      </c>
      <c r="G450" s="15" t="s">
        <v>31</v>
      </c>
      <c r="H450" s="15" t="s">
        <v>29</v>
      </c>
      <c r="I450" s="15" t="s">
        <v>29</v>
      </c>
      <c r="J450" s="15" t="s">
        <v>30</v>
      </c>
      <c r="K450" s="15" t="s">
        <v>29</v>
      </c>
      <c r="L450" s="15" t="s">
        <v>31</v>
      </c>
      <c r="M450" s="15" t="s">
        <v>29</v>
      </c>
      <c r="N450" s="15" t="s">
        <v>29</v>
      </c>
      <c r="O450" s="15" t="s">
        <v>31</v>
      </c>
      <c r="P450" s="18">
        <v>13</v>
      </c>
      <c r="Q450" s="18">
        <v>-3</v>
      </c>
      <c r="R450" s="15" t="str">
        <f>_xlfn.CONCAT(F450,G450,H450,I450,J450)</f>
        <v>WLDDW</v>
      </c>
      <c r="S450" s="13" t="str">
        <f>_xlfn.CONCAT(K450,L450,M450,N450,O450)</f>
        <v>DLDDL</v>
      </c>
      <c r="T450" s="13" t="str">
        <f>_xlfn.CONCAT(R450,"***",S450)</f>
        <v>WLDDW***DLDDL</v>
      </c>
      <c r="U450" s="19">
        <f>(P450-Q450)</f>
        <v>16</v>
      </c>
      <c r="V450" s="14">
        <v>4</v>
      </c>
      <c r="W450" s="14">
        <v>2</v>
      </c>
      <c r="X450" s="20" t="str">
        <f>IF(ISBLANK(V450),"",IF(V450&gt;W450,"1",IF(V450&lt;W450,"2",IF(V450=W450,"X"))))</f>
        <v>1</v>
      </c>
      <c r="Y450" s="23" t="str">
        <f>COUNTIF(F450:J450, "W")&amp;COUNTIF(F450:J450, "d")&amp;COUNTIF(F450:J450, "l")</f>
        <v>221</v>
      </c>
      <c r="Z450" s="13" t="str">
        <f>COUNTIF(K450:O450, "W")&amp;COUNTIF(K450:O450, "d")&amp;COUNTIF(K450:O450, "l")</f>
        <v>032</v>
      </c>
      <c r="AA450" s="23" t="str">
        <f>_xlfn.CONCAT(Y450,"-",Z450)</f>
        <v>221-032</v>
      </c>
      <c r="AB450" s="15" t="str">
        <f>_xlfn.CONCAT(AA450,"…",TEXT(U450,"+00;-00;+00;"))</f>
        <v>221-032…+16</v>
      </c>
      <c r="AC450" s="23" t="str">
        <f>_xlfn.CONCAT(TEXT(P450,"+00;-00;+00;"),"…",TEXT(Q450,"+00;-00;+00;"))</f>
        <v>+13…-03</v>
      </c>
      <c r="AD450" s="14" t="str">
        <f>IF(X450="","?","")</f>
        <v/>
      </c>
      <c r="AE450" s="15" t="str">
        <f>_xlfn.CONCAT(AA450,"…",TEXT(P450,"+00;-00;+00;"),"...",TEXT(Q450,"+00;-00;+00;"))</f>
        <v>221-032…+13...-03</v>
      </c>
      <c r="AF450" s="13" t="str">
        <f>_xlfn.CONCAT(R450,"…",TEXT(P450,"+00;-00;+00;"),"...",TEXT(Q450,"+00;-00;+00;"))</f>
        <v>WLDDW…+13...-03</v>
      </c>
    </row>
    <row r="451" spans="1:32" x14ac:dyDescent="0.25">
      <c r="A451" s="12" t="s">
        <v>900</v>
      </c>
      <c r="B451" s="13" t="s">
        <v>208</v>
      </c>
      <c r="C451" s="14">
        <v>1</v>
      </c>
      <c r="D451" s="13" t="s">
        <v>567</v>
      </c>
      <c r="E451" s="13" t="s">
        <v>568</v>
      </c>
      <c r="F451" s="15" t="s">
        <v>31</v>
      </c>
      <c r="G451" s="15" t="s">
        <v>29</v>
      </c>
      <c r="H451" s="15" t="s">
        <v>29</v>
      </c>
      <c r="I451" s="15" t="s">
        <v>31</v>
      </c>
      <c r="J451" s="15" t="s">
        <v>30</v>
      </c>
      <c r="K451" s="15" t="s">
        <v>30</v>
      </c>
      <c r="L451" s="15" t="s">
        <v>29</v>
      </c>
      <c r="M451" s="15" t="s">
        <v>29</v>
      </c>
      <c r="N451" s="15" t="s">
        <v>30</v>
      </c>
      <c r="O451" s="15" t="s">
        <v>29</v>
      </c>
      <c r="P451" s="18">
        <v>2</v>
      </c>
      <c r="Q451" s="18">
        <v>-12</v>
      </c>
      <c r="R451" s="15" t="str">
        <f>_xlfn.CONCAT(F451,G451,H451,I451,J451)</f>
        <v>LDDLW</v>
      </c>
      <c r="S451" s="13" t="str">
        <f>_xlfn.CONCAT(K451,L451,M451,N451,O451)</f>
        <v>WDDWD</v>
      </c>
      <c r="T451" s="13" t="str">
        <f>_xlfn.CONCAT(R451,"***",S451)</f>
        <v>LDDLW***WDDWD</v>
      </c>
      <c r="U451" s="19">
        <f>(P451-Q451)</f>
        <v>14</v>
      </c>
      <c r="V451" s="14">
        <v>3</v>
      </c>
      <c r="W451" s="14">
        <v>1</v>
      </c>
      <c r="X451" s="20" t="str">
        <f>IF(ISBLANK(V451),"",IF(V451&gt;W451,"1",IF(V451&lt;W451,"2",IF(V451=W451,"X"))))</f>
        <v>1</v>
      </c>
      <c r="Y451" s="23" t="str">
        <f>COUNTIF(F451:J451, "W")&amp;COUNTIF(F451:J451, "d")&amp;COUNTIF(F451:J451, "l")</f>
        <v>122</v>
      </c>
      <c r="Z451" s="13" t="str">
        <f>COUNTIF(K451:O451, "W")&amp;COUNTIF(K451:O451, "d")&amp;COUNTIF(K451:O451, "l")</f>
        <v>230</v>
      </c>
      <c r="AA451" s="23" t="str">
        <f>_xlfn.CONCAT(Y451,"-",Z451)</f>
        <v>122-230</v>
      </c>
      <c r="AB451" s="15" t="str">
        <f>_xlfn.CONCAT(AA451,"…",TEXT(U451,"+00;-00;+00;"))</f>
        <v>122-230…+14</v>
      </c>
      <c r="AC451" s="23" t="str">
        <f>_xlfn.CONCAT(TEXT(P451,"+00;-00;+00;"),"…",TEXT(Q451,"+00;-00;+00;"))</f>
        <v>+02…-12</v>
      </c>
      <c r="AD451" s="14" t="str">
        <f>IF(X451="","?","")</f>
        <v/>
      </c>
      <c r="AE451" s="15" t="str">
        <f>_xlfn.CONCAT(AA451,"…",TEXT(P451,"+00;-00;+00;"),"...",TEXT(Q451,"+00;-00;+00;"))</f>
        <v>122-230…+02...-12</v>
      </c>
      <c r="AF451" s="13" t="str">
        <f>_xlfn.CONCAT(R451,"…",TEXT(P451,"+00;-00;+00;"),"...",TEXT(Q451,"+00;-00;+00;"))</f>
        <v>LDDLW…+02...-12</v>
      </c>
    </row>
    <row r="452" spans="1:32" x14ac:dyDescent="0.25">
      <c r="A452" s="13" t="s">
        <v>900</v>
      </c>
      <c r="B452" s="13" t="s">
        <v>414</v>
      </c>
      <c r="C452" s="14">
        <v>1</v>
      </c>
      <c r="D452" s="13" t="s">
        <v>907</v>
      </c>
      <c r="E452" s="13" t="s">
        <v>908</v>
      </c>
      <c r="F452" s="13" t="s">
        <v>31</v>
      </c>
      <c r="G452" s="13" t="s">
        <v>31</v>
      </c>
      <c r="H452" s="13" t="s">
        <v>29</v>
      </c>
      <c r="I452" s="13" t="s">
        <v>30</v>
      </c>
      <c r="J452" s="13" t="s">
        <v>30</v>
      </c>
      <c r="K452" s="13" t="s">
        <v>31</v>
      </c>
      <c r="L452" s="13" t="s">
        <v>29</v>
      </c>
      <c r="M452" s="13" t="s">
        <v>31</v>
      </c>
      <c r="N452" s="13" t="s">
        <v>30</v>
      </c>
      <c r="O452" s="13" t="s">
        <v>29</v>
      </c>
      <c r="P452" s="16">
        <v>10</v>
      </c>
      <c r="Q452" s="16">
        <v>-3</v>
      </c>
      <c r="R452" s="13" t="str">
        <f>_xlfn.CONCAT(F452,G452,H452,I452,J452)</f>
        <v>LLDWW</v>
      </c>
      <c r="S452" s="13" t="str">
        <f>_xlfn.CONCAT(K452,L452,M452,N452,O452)</f>
        <v>LDLWD</v>
      </c>
      <c r="T452" s="13" t="str">
        <f>_xlfn.CONCAT(R452,"***",S452)</f>
        <v>LLDWW***LDLWD</v>
      </c>
      <c r="U452" s="21">
        <f>(P452-Q452)</f>
        <v>13</v>
      </c>
      <c r="V452" s="14">
        <v>3</v>
      </c>
      <c r="W452" s="14">
        <v>3</v>
      </c>
      <c r="X452" s="20" t="str">
        <f>IF(ISBLANK(V452),"",IF(V452&gt;W452,"1",IF(V452&lt;W452,"2",IF(V452=W452,"X"))))</f>
        <v>X</v>
      </c>
      <c r="Y452" s="23" t="str">
        <f>COUNTIF(F452:J452, "W")&amp;COUNTIF(F452:J452, "d")&amp;COUNTIF(F452:J452, "l")</f>
        <v>212</v>
      </c>
      <c r="Z452" s="13" t="str">
        <f>COUNTIF(K452:O452, "W")&amp;COUNTIF(K452:O452, "d")&amp;COUNTIF(K452:O452, "l")</f>
        <v>122</v>
      </c>
      <c r="AA452" s="23" t="str">
        <f>_xlfn.CONCAT(Y452,"-",Z452)</f>
        <v>212-122</v>
      </c>
      <c r="AB452" s="13" t="str">
        <f>_xlfn.CONCAT(AA452,"…",TEXT(U452,"+00;-00;+00;"))</f>
        <v>212-122…+13</v>
      </c>
      <c r="AC452" s="23" t="str">
        <f>_xlfn.CONCAT(TEXT(P452,"+00;-00;+00;"),"…",TEXT(Q452,"+00;-00;+00;"))</f>
        <v>+10…-03</v>
      </c>
      <c r="AD452" s="14" t="str">
        <f>IF(X452="","?","")</f>
        <v/>
      </c>
      <c r="AE452" s="15" t="str">
        <f>_xlfn.CONCAT(AA452,"…",TEXT(P452,"+00;-00;+00;"),"...",TEXT(Q452,"+00;-00;+00;"))</f>
        <v>212-122…+10...-03</v>
      </c>
      <c r="AF452" s="13" t="str">
        <f>_xlfn.CONCAT(R452,"…",TEXT(P452,"+00;-00;+00;"),"...",TEXT(Q452,"+00;-00;+00;"))</f>
        <v>LLDWW…+10...-03</v>
      </c>
    </row>
    <row r="453" spans="1:32" x14ac:dyDescent="0.25">
      <c r="A453" s="12" t="s">
        <v>949</v>
      </c>
      <c r="B453" s="13" t="s">
        <v>318</v>
      </c>
      <c r="C453" s="14">
        <v>1</v>
      </c>
      <c r="D453" s="13" t="s">
        <v>337</v>
      </c>
      <c r="E453" s="13" t="s">
        <v>327</v>
      </c>
      <c r="F453" s="15" t="s">
        <v>29</v>
      </c>
      <c r="G453" s="15" t="s">
        <v>31</v>
      </c>
      <c r="H453" s="15" t="s">
        <v>31</v>
      </c>
      <c r="I453" s="15" t="s">
        <v>29</v>
      </c>
      <c r="J453" s="15" t="s">
        <v>31</v>
      </c>
      <c r="K453" s="15" t="s">
        <v>31</v>
      </c>
      <c r="L453" s="15" t="s">
        <v>31</v>
      </c>
      <c r="M453" s="15" t="s">
        <v>29</v>
      </c>
      <c r="N453" s="15" t="s">
        <v>30</v>
      </c>
      <c r="O453" s="15" t="s">
        <v>31</v>
      </c>
      <c r="P453" s="18">
        <v>-22</v>
      </c>
      <c r="Q453" s="18">
        <v>-11</v>
      </c>
      <c r="R453" s="15" t="str">
        <f>_xlfn.CONCAT(F453,G453,H453,I453,J453)</f>
        <v>DLLDL</v>
      </c>
      <c r="S453" s="13" t="str">
        <f>_xlfn.CONCAT(K453,L453,M453,N453,O453)</f>
        <v>LLDWL</v>
      </c>
      <c r="T453" s="13" t="str">
        <f>_xlfn.CONCAT(R453,"***",S453)</f>
        <v>DLLDL***LLDWL</v>
      </c>
      <c r="U453" s="19">
        <f>(P453-Q453)</f>
        <v>-11</v>
      </c>
      <c r="V453" s="14">
        <v>1</v>
      </c>
      <c r="W453" s="14">
        <v>2</v>
      </c>
      <c r="X453" s="20" t="str">
        <f>IF(ISBLANK(V453),"",IF(V453&gt;W453,"1",IF(V453&lt;W453,"2",IF(V453=W453,"X"))))</f>
        <v>2</v>
      </c>
      <c r="Y453" s="23" t="str">
        <f>COUNTIF(F453:J453, "W")&amp;COUNTIF(F453:J453, "d")&amp;COUNTIF(F453:J453, "l")</f>
        <v>023</v>
      </c>
      <c r="Z453" s="13" t="str">
        <f>COUNTIF(K453:O453, "W")&amp;COUNTIF(K453:O453, "d")&amp;COUNTIF(K453:O453, "l")</f>
        <v>113</v>
      </c>
      <c r="AA453" s="23" t="str">
        <f>_xlfn.CONCAT(Y453,"-",Z453)</f>
        <v>023-113</v>
      </c>
      <c r="AB453" s="15" t="str">
        <f>_xlfn.CONCAT(AA453,"…",TEXT(U453,"+00;-00;+00;"))</f>
        <v>023-113…-11</v>
      </c>
      <c r="AC453" s="23" t="str">
        <f>_xlfn.CONCAT(TEXT(P453,"+00;-00;+00;"),"…",TEXT(Q453,"+00;-00;+00;"))</f>
        <v>-22…-11</v>
      </c>
      <c r="AD453" s="14" t="str">
        <f>IF(X453="","?","")</f>
        <v/>
      </c>
      <c r="AE453" s="15" t="str">
        <f>_xlfn.CONCAT(AA453,"…",TEXT(P453,"+00;-00;+00;"),"...",TEXT(Q453,"+00;-00;+00;"))</f>
        <v>023-113…-22...-11</v>
      </c>
      <c r="AF453" s="13" t="str">
        <f>_xlfn.CONCAT(R453,"…",TEXT(P453,"+00;-00;+00;"),"...",TEXT(Q453,"+00;-00;+00;"))</f>
        <v>DLLDL…-22...-11</v>
      </c>
    </row>
    <row r="454" spans="1:32" x14ac:dyDescent="0.25">
      <c r="A454" s="12" t="s">
        <v>949</v>
      </c>
      <c r="B454" s="13" t="s">
        <v>117</v>
      </c>
      <c r="C454" s="14" t="s">
        <v>0</v>
      </c>
      <c r="D454" s="13" t="s">
        <v>140</v>
      </c>
      <c r="E454" s="13" t="s">
        <v>641</v>
      </c>
      <c r="F454" s="15" t="s">
        <v>30</v>
      </c>
      <c r="G454" s="15" t="s">
        <v>29</v>
      </c>
      <c r="H454" s="15" t="s">
        <v>30</v>
      </c>
      <c r="I454" s="15" t="s">
        <v>30</v>
      </c>
      <c r="J454" s="15" t="s">
        <v>30</v>
      </c>
      <c r="K454" s="15" t="s">
        <v>31</v>
      </c>
      <c r="L454" s="15" t="s">
        <v>30</v>
      </c>
      <c r="M454" s="15" t="s">
        <v>31</v>
      </c>
      <c r="N454" s="15" t="s">
        <v>30</v>
      </c>
      <c r="O454" s="15" t="s">
        <v>29</v>
      </c>
      <c r="P454" s="18">
        <v>13</v>
      </c>
      <c r="Q454" s="18">
        <v>9</v>
      </c>
      <c r="R454" s="15" t="str">
        <f>_xlfn.CONCAT(F454,G454,H454,I454,J454)</f>
        <v>WDWWW</v>
      </c>
      <c r="S454" s="13" t="str">
        <f>_xlfn.CONCAT(K454,L454,M454,N454,O454)</f>
        <v>LWLWD</v>
      </c>
      <c r="T454" s="13" t="str">
        <f>_xlfn.CONCAT(R454,"***",S454)</f>
        <v>WDWWW***LWLWD</v>
      </c>
      <c r="U454" s="19">
        <f>(P454-Q454)</f>
        <v>4</v>
      </c>
      <c r="V454" s="14">
        <v>1</v>
      </c>
      <c r="W454" s="14">
        <v>0</v>
      </c>
      <c r="X454" s="20" t="str">
        <f>IF(ISBLANK(V454),"",IF(V454&gt;W454,"1",IF(V454&lt;W454,"2",IF(V454=W454,"X"))))</f>
        <v>1</v>
      </c>
      <c r="Y454" s="23" t="str">
        <f>COUNTIF(F454:J454, "W")&amp;COUNTIF(F454:J454, "d")&amp;COUNTIF(F454:J454, "l")</f>
        <v>410</v>
      </c>
      <c r="Z454" s="13" t="str">
        <f>COUNTIF(K454:O454, "W")&amp;COUNTIF(K454:O454, "d")&amp;COUNTIF(K454:O454, "l")</f>
        <v>212</v>
      </c>
      <c r="AA454" s="23" t="str">
        <f>_xlfn.CONCAT(Y454,"-",Z454)</f>
        <v>410-212</v>
      </c>
      <c r="AB454" s="15" t="str">
        <f>_xlfn.CONCAT(AA454,"…",TEXT(U454,"+00;-00;+00;"))</f>
        <v>410-212…+04</v>
      </c>
      <c r="AC454" s="23" t="str">
        <f>_xlfn.CONCAT(TEXT(P454,"+00;-00;+00;"),"…",TEXT(Q454,"+00;-00;+00;"))</f>
        <v>+13…+09</v>
      </c>
      <c r="AD454" s="14" t="str">
        <f>IF(X454="","?","")</f>
        <v/>
      </c>
      <c r="AE454" s="15" t="str">
        <f>_xlfn.CONCAT(AA454,"…",TEXT(P454,"+00;-00;+00;"),"...",TEXT(Q454,"+00;-00;+00;"))</f>
        <v>410-212…+13...+09</v>
      </c>
      <c r="AF454" s="13" t="str">
        <f>_xlfn.CONCAT(R454,"…",TEXT(P454,"+00;-00;+00;"),"...",TEXT(Q454,"+00;-00;+00;"))</f>
        <v>WDWWW…+13...+09</v>
      </c>
    </row>
    <row r="455" spans="1:32" x14ac:dyDescent="0.25">
      <c r="A455" s="13" t="s">
        <v>867</v>
      </c>
      <c r="B455" s="13" t="s">
        <v>7</v>
      </c>
      <c r="C455" s="14" t="s">
        <v>32</v>
      </c>
      <c r="D455" s="13" t="s">
        <v>870</v>
      </c>
      <c r="E455" s="13" t="s">
        <v>501</v>
      </c>
      <c r="F455" s="13" t="s">
        <v>31</v>
      </c>
      <c r="G455" s="13" t="s">
        <v>30</v>
      </c>
      <c r="H455" s="13" t="s">
        <v>30</v>
      </c>
      <c r="I455" s="13" t="s">
        <v>29</v>
      </c>
      <c r="J455" s="13" t="s">
        <v>31</v>
      </c>
      <c r="K455" s="13" t="s">
        <v>29</v>
      </c>
      <c r="L455" s="13" t="s">
        <v>31</v>
      </c>
      <c r="M455" s="13" t="s">
        <v>30</v>
      </c>
      <c r="N455" s="13" t="s">
        <v>31</v>
      </c>
      <c r="O455" s="13" t="s">
        <v>29</v>
      </c>
      <c r="P455" s="16">
        <v>1</v>
      </c>
      <c r="Q455" s="16">
        <v>-4</v>
      </c>
      <c r="R455" s="13" t="str">
        <f>_xlfn.CONCAT(F455,G455,H455,I455,J455)</f>
        <v>LWWDL</v>
      </c>
      <c r="S455" s="13" t="str">
        <f>_xlfn.CONCAT(K455,L455,M455,N455,O455)</f>
        <v>DLWLD</v>
      </c>
      <c r="T455" s="13" t="str">
        <f>_xlfn.CONCAT(R455,"***",S455)</f>
        <v>LWWDL***DLWLD</v>
      </c>
      <c r="U455" s="21">
        <f>(P455-Q455)</f>
        <v>5</v>
      </c>
      <c r="V455" s="14">
        <v>2</v>
      </c>
      <c r="W455" s="14">
        <v>0</v>
      </c>
      <c r="X455" s="20" t="str">
        <f>IF(ISBLANK(V455),"",IF(V455&gt;W455,"1",IF(V455&lt;W455,"2",IF(V455=W455,"X"))))</f>
        <v>1</v>
      </c>
      <c r="Y455" s="23" t="str">
        <f>COUNTIF(F455:J455, "W")&amp;COUNTIF(F455:J455, "d")&amp;COUNTIF(F455:J455, "l")</f>
        <v>212</v>
      </c>
      <c r="Z455" s="13" t="str">
        <f>COUNTIF(K455:O455, "W")&amp;COUNTIF(K455:O455, "d")&amp;COUNTIF(K455:O455, "l")</f>
        <v>122</v>
      </c>
      <c r="AA455" s="23" t="str">
        <f>_xlfn.CONCAT(Y455,"-",Z455)</f>
        <v>212-122</v>
      </c>
      <c r="AB455" s="13" t="str">
        <f>_xlfn.CONCAT(AA455,"…",TEXT(U455,"+00;-00;+00;"))</f>
        <v>212-122…+05</v>
      </c>
      <c r="AC455" s="23" t="str">
        <f>_xlfn.CONCAT(TEXT(P455,"+00;-00;+00;"),"…",TEXT(Q455,"+00;-00;+00;"))</f>
        <v>+01…-04</v>
      </c>
      <c r="AD455" s="14" t="str">
        <f>IF(X455="","?","")</f>
        <v/>
      </c>
      <c r="AE455" s="15" t="str">
        <f>_xlfn.CONCAT(AA455,"…",TEXT(P455,"+00;-00;+00;"),"...",TEXT(Q455,"+00;-00;+00;"))</f>
        <v>212-122…+01...-04</v>
      </c>
      <c r="AF455" s="13" t="str">
        <f>_xlfn.CONCAT(R455,"…",TEXT(P455,"+00;-00;+00;"),"...",TEXT(Q455,"+00;-00;+00;"))</f>
        <v>LWWDL…+01...-04</v>
      </c>
    </row>
    <row r="456" spans="1:32" x14ac:dyDescent="0.25">
      <c r="A456" s="12" t="s">
        <v>867</v>
      </c>
      <c r="B456" s="13" t="s">
        <v>59</v>
      </c>
      <c r="C456" s="14">
        <v>2</v>
      </c>
      <c r="D456" s="13" t="s">
        <v>737</v>
      </c>
      <c r="E456" s="13" t="s">
        <v>1013</v>
      </c>
      <c r="F456" s="15" t="s">
        <v>31</v>
      </c>
      <c r="G456" s="15" t="s">
        <v>30</v>
      </c>
      <c r="H456" s="15" t="s">
        <v>30</v>
      </c>
      <c r="I456" s="15" t="s">
        <v>29</v>
      </c>
      <c r="J456" s="15" t="s">
        <v>29</v>
      </c>
      <c r="K456" s="15" t="s">
        <v>30</v>
      </c>
      <c r="L456" s="15" t="s">
        <v>31</v>
      </c>
      <c r="M456" s="15" t="s">
        <v>31</v>
      </c>
      <c r="N456" s="15" t="s">
        <v>31</v>
      </c>
      <c r="O456" s="15" t="s">
        <v>29</v>
      </c>
      <c r="P456" s="18">
        <v>10</v>
      </c>
      <c r="Q456" s="18">
        <v>0</v>
      </c>
      <c r="R456" s="15" t="str">
        <f>_xlfn.CONCAT(F456,G456,H456,I456,J456)</f>
        <v>LWWDD</v>
      </c>
      <c r="S456" s="13" t="str">
        <f>_xlfn.CONCAT(K456,L456,M456,N456,O456)</f>
        <v>WLLLD</v>
      </c>
      <c r="T456" s="13" t="str">
        <f>_xlfn.CONCAT(R456,"***",S456)</f>
        <v>LWWDD***WLLLD</v>
      </c>
      <c r="U456" s="19">
        <f>(P456-Q456)</f>
        <v>10</v>
      </c>
      <c r="V456" s="14">
        <v>1</v>
      </c>
      <c r="W456" s="14">
        <v>1</v>
      </c>
      <c r="X456" s="20" t="str">
        <f>IF(ISBLANK(V456),"",IF(V456&gt;W456,"1",IF(V456&lt;W456,"2",IF(V456=W456,"X"))))</f>
        <v>X</v>
      </c>
      <c r="Y456" s="23" t="str">
        <f>COUNTIF(F456:J456, "W")&amp;COUNTIF(F456:J456, "d")&amp;COUNTIF(F456:J456, "l")</f>
        <v>221</v>
      </c>
      <c r="Z456" s="13" t="str">
        <f>COUNTIF(K456:O456, "W")&amp;COUNTIF(K456:O456, "d")&amp;COUNTIF(K456:O456, "l")</f>
        <v>113</v>
      </c>
      <c r="AA456" s="23" t="str">
        <f>_xlfn.CONCAT(Y456,"-",Z456)</f>
        <v>221-113</v>
      </c>
      <c r="AB456" s="15" t="str">
        <f>_xlfn.CONCAT(AA456,"…",TEXT(U456,"+00;-00;+00;"))</f>
        <v>221-113…+10</v>
      </c>
      <c r="AC456" s="23" t="str">
        <f>_xlfn.CONCAT(TEXT(P456,"+00;-00;+00;"),"…",TEXT(Q456,"+00;-00;+00;"))</f>
        <v>+10…+00</v>
      </c>
      <c r="AD456" s="14" t="str">
        <f>IF(X456="","?","")</f>
        <v/>
      </c>
      <c r="AE456" s="15" t="str">
        <f>_xlfn.CONCAT(AA456,"…",TEXT(P456,"+00;-00;+00;"),"...",TEXT(Q456,"+00;-00;+00;"))</f>
        <v>221-113…+10...+00</v>
      </c>
      <c r="AF456" s="13" t="str">
        <f>_xlfn.CONCAT(R456,"…",TEXT(P456,"+00;-00;+00;"),"...",TEXT(Q456,"+00;-00;+00;"))</f>
        <v>LWWDD…+10...+00</v>
      </c>
    </row>
    <row r="457" spans="1:32" x14ac:dyDescent="0.25">
      <c r="A457" s="12" t="s">
        <v>867</v>
      </c>
      <c r="B457" s="13" t="s">
        <v>59</v>
      </c>
      <c r="C457" s="14">
        <v>1</v>
      </c>
      <c r="D457" s="13" t="s">
        <v>722</v>
      </c>
      <c r="E457" s="13" t="s">
        <v>724</v>
      </c>
      <c r="F457" s="15" t="s">
        <v>31</v>
      </c>
      <c r="G457" s="15" t="s">
        <v>30</v>
      </c>
      <c r="H457" s="15" t="s">
        <v>29</v>
      </c>
      <c r="I457" s="15" t="s">
        <v>30</v>
      </c>
      <c r="J457" s="15" t="s">
        <v>29</v>
      </c>
      <c r="K457" s="15" t="s">
        <v>31</v>
      </c>
      <c r="L457" s="15" t="s">
        <v>29</v>
      </c>
      <c r="M457" s="15" t="s">
        <v>31</v>
      </c>
      <c r="N457" s="15" t="s">
        <v>30</v>
      </c>
      <c r="O457" s="15" t="s">
        <v>29</v>
      </c>
      <c r="P457" s="18">
        <v>-3</v>
      </c>
      <c r="Q457" s="18">
        <v>-3</v>
      </c>
      <c r="R457" s="15" t="str">
        <f>_xlfn.CONCAT(F457,G457,H457,I457,J457)</f>
        <v>LWDWD</v>
      </c>
      <c r="S457" s="13" t="str">
        <f>_xlfn.CONCAT(K457,L457,M457,N457,O457)</f>
        <v>LDLWD</v>
      </c>
      <c r="T457" s="13" t="str">
        <f>_xlfn.CONCAT(R457,"***",S457)</f>
        <v>LWDWD***LDLWD</v>
      </c>
      <c r="U457" s="19">
        <f>(P457-Q457)</f>
        <v>0</v>
      </c>
      <c r="V457" s="14">
        <v>1</v>
      </c>
      <c r="W457" s="14">
        <v>0</v>
      </c>
      <c r="X457" s="20" t="str">
        <f>IF(ISBLANK(V457),"",IF(V457&gt;W457,"1",IF(V457&lt;W457,"2",IF(V457=W457,"X"))))</f>
        <v>1</v>
      </c>
      <c r="Y457" s="23" t="str">
        <f>COUNTIF(F457:J457, "W")&amp;COUNTIF(F457:J457, "d")&amp;COUNTIF(F457:J457, "l")</f>
        <v>221</v>
      </c>
      <c r="Z457" s="13" t="str">
        <f>COUNTIF(K457:O457, "W")&amp;COUNTIF(K457:O457, "d")&amp;COUNTIF(K457:O457, "l")</f>
        <v>122</v>
      </c>
      <c r="AA457" s="23" t="str">
        <f>_xlfn.CONCAT(Y457,"-",Z457)</f>
        <v>221-122</v>
      </c>
      <c r="AB457" s="15" t="str">
        <f>_xlfn.CONCAT(AA457,"…",TEXT(U457,"+00;-00;+00;"))</f>
        <v>221-122…+00</v>
      </c>
      <c r="AC457" s="23" t="str">
        <f>_xlfn.CONCAT(TEXT(P457,"+00;-00;+00;"),"…",TEXT(Q457,"+00;-00;+00;"))</f>
        <v>-03…-03</v>
      </c>
      <c r="AD457" s="14" t="str">
        <f>IF(X457="","?","")</f>
        <v/>
      </c>
      <c r="AE457" s="15" t="str">
        <f>_xlfn.CONCAT(AA457,"…",TEXT(P457,"+00;-00;+00;"),"...",TEXT(Q457,"+00;-00;+00;"))</f>
        <v>221-122…-03...-03</v>
      </c>
      <c r="AF457" s="13" t="str">
        <f>_xlfn.CONCAT(R457,"…",TEXT(P457,"+00;-00;+00;"),"...",TEXT(Q457,"+00;-00;+00;"))</f>
        <v>LWDWD…-03...-03</v>
      </c>
    </row>
    <row r="458" spans="1:32" x14ac:dyDescent="0.25">
      <c r="A458" s="12" t="s">
        <v>1001</v>
      </c>
      <c r="B458" s="13" t="s">
        <v>250</v>
      </c>
      <c r="C458" s="14">
        <v>2</v>
      </c>
      <c r="D458" s="13" t="s">
        <v>287</v>
      </c>
      <c r="E458" s="13" t="s">
        <v>1004</v>
      </c>
      <c r="F458" s="15" t="s">
        <v>31</v>
      </c>
      <c r="G458" s="15" t="s">
        <v>29</v>
      </c>
      <c r="H458" s="15" t="s">
        <v>31</v>
      </c>
      <c r="I458" s="15" t="s">
        <v>30</v>
      </c>
      <c r="J458" s="15" t="s">
        <v>30</v>
      </c>
      <c r="K458" s="15" t="s">
        <v>29</v>
      </c>
      <c r="L458" s="15" t="s">
        <v>30</v>
      </c>
      <c r="M458" s="15" t="s">
        <v>29</v>
      </c>
      <c r="N458" s="15" t="s">
        <v>30</v>
      </c>
      <c r="O458" s="15" t="s">
        <v>31</v>
      </c>
      <c r="P458" s="18">
        <v>3</v>
      </c>
      <c r="Q458" s="18">
        <v>6</v>
      </c>
      <c r="R458" s="15" t="str">
        <f>_xlfn.CONCAT(F458,G458,H458,I458,J458)</f>
        <v>LDLWW</v>
      </c>
      <c r="S458" s="13" t="str">
        <f>_xlfn.CONCAT(K458,L458,M458,N458,O458)</f>
        <v>DWDWL</v>
      </c>
      <c r="T458" s="13" t="str">
        <f>_xlfn.CONCAT(R458,"***",S458)</f>
        <v>LDLWW***DWDWL</v>
      </c>
      <c r="U458" s="19">
        <f>(P458-Q458)</f>
        <v>-3</v>
      </c>
      <c r="V458" s="14">
        <v>1</v>
      </c>
      <c r="W458" s="14">
        <v>0</v>
      </c>
      <c r="X458" s="20" t="str">
        <f>IF(ISBLANK(V458),"",IF(V458&gt;W458,"1",IF(V458&lt;W458,"2",IF(V458=W458,"X"))))</f>
        <v>1</v>
      </c>
      <c r="Y458" s="23" t="str">
        <f>COUNTIF(F458:J458, "W")&amp;COUNTIF(F458:J458, "d")&amp;COUNTIF(F458:J458, "l")</f>
        <v>212</v>
      </c>
      <c r="Z458" s="13" t="str">
        <f>COUNTIF(K458:O458, "W")&amp;COUNTIF(K458:O458, "d")&amp;COUNTIF(K458:O458, "l")</f>
        <v>221</v>
      </c>
      <c r="AA458" s="23" t="str">
        <f>_xlfn.CONCAT(Y458,"-",Z458)</f>
        <v>212-221</v>
      </c>
      <c r="AB458" s="15" t="str">
        <f>_xlfn.CONCAT(AA458,"…",TEXT(U458,"+00;-00;+00;"))</f>
        <v>212-221…-03</v>
      </c>
      <c r="AC458" s="23" t="str">
        <f>_xlfn.CONCAT(TEXT(P458,"+00;-00;+00;"),"…",TEXT(Q458,"+00;-00;+00;"))</f>
        <v>+03…+06</v>
      </c>
      <c r="AD458" s="14" t="str">
        <f>IF(X458="","?","")</f>
        <v/>
      </c>
      <c r="AE458" s="15" t="str">
        <f>_xlfn.CONCAT(AA458,"…",TEXT(P458,"+00;-00;+00;"),"...",TEXT(Q458,"+00;-00;+00;"))</f>
        <v>212-221…+03...+06</v>
      </c>
      <c r="AF458" s="13" t="str">
        <f>_xlfn.CONCAT(R458,"…",TEXT(P458,"+00;-00;+00;"),"...",TEXT(Q458,"+00;-00;+00;"))</f>
        <v>LDLWW…+03...+06</v>
      </c>
    </row>
    <row r="459" spans="1:32" x14ac:dyDescent="0.25">
      <c r="A459" s="12" t="s">
        <v>1018</v>
      </c>
      <c r="B459" s="13" t="s">
        <v>339</v>
      </c>
      <c r="C459" s="14">
        <v>1</v>
      </c>
      <c r="D459" s="13" t="s">
        <v>354</v>
      </c>
      <c r="E459" s="13" t="s">
        <v>359</v>
      </c>
      <c r="F459" s="15" t="s">
        <v>29</v>
      </c>
      <c r="G459" s="15" t="s">
        <v>29</v>
      </c>
      <c r="H459" s="15" t="s">
        <v>30</v>
      </c>
      <c r="I459" s="15" t="s">
        <v>30</v>
      </c>
      <c r="J459" s="15" t="s">
        <v>30</v>
      </c>
      <c r="K459" s="15" t="s">
        <v>30</v>
      </c>
      <c r="L459" s="15" t="s">
        <v>31</v>
      </c>
      <c r="M459" s="15" t="s">
        <v>30</v>
      </c>
      <c r="N459" s="15" t="s">
        <v>29</v>
      </c>
      <c r="O459" s="15" t="s">
        <v>29</v>
      </c>
      <c r="P459" s="18">
        <v>4</v>
      </c>
      <c r="Q459" s="18">
        <v>5</v>
      </c>
      <c r="R459" s="15" t="str">
        <f>_xlfn.CONCAT(F459,G459,H459,I459,J459)</f>
        <v>DDWWW</v>
      </c>
      <c r="S459" s="13" t="str">
        <f>_xlfn.CONCAT(K459,L459,M459,N459,O459)</f>
        <v>WLWDD</v>
      </c>
      <c r="T459" s="13" t="str">
        <f>_xlfn.CONCAT(R459,"***",S459)</f>
        <v>DDWWW***WLWDD</v>
      </c>
      <c r="U459" s="19">
        <f>(P459-Q459)</f>
        <v>-1</v>
      </c>
      <c r="V459" s="14">
        <v>2</v>
      </c>
      <c r="W459" s="14">
        <v>1</v>
      </c>
      <c r="X459" s="20" t="str">
        <f>IF(ISBLANK(V459),"",IF(V459&gt;W459,"1",IF(V459&lt;W459,"2",IF(V459=W459,"X"))))</f>
        <v>1</v>
      </c>
      <c r="Y459" s="23" t="str">
        <f>COUNTIF(F459:J459, "W")&amp;COUNTIF(F459:J459, "d")&amp;COUNTIF(F459:J459, "l")</f>
        <v>320</v>
      </c>
      <c r="Z459" s="13" t="str">
        <f>COUNTIF(K459:O459, "W")&amp;COUNTIF(K459:O459, "d")&amp;COUNTIF(K459:O459, "l")</f>
        <v>221</v>
      </c>
      <c r="AA459" s="23" t="str">
        <f>_xlfn.CONCAT(Y459,"-",Z459)</f>
        <v>320-221</v>
      </c>
      <c r="AB459" s="15" t="str">
        <f>_xlfn.CONCAT(AA459,"…",TEXT(U459,"+00;-00;+00;"))</f>
        <v>320-221…-01</v>
      </c>
      <c r="AC459" s="23" t="str">
        <f>_xlfn.CONCAT(TEXT(P459,"+00;-00;+00;"),"…",TEXT(Q459,"+00;-00;+00;"))</f>
        <v>+04…+05</v>
      </c>
      <c r="AD459" s="14" t="str">
        <f>IF(X459="","?","")</f>
        <v/>
      </c>
      <c r="AE459" s="15" t="str">
        <f>_xlfn.CONCAT(AA459,"…",TEXT(P459,"+00;-00;+00;"),"...",TEXT(Q459,"+00;-00;+00;"))</f>
        <v>320-221…+04...+05</v>
      </c>
      <c r="AF459" s="13" t="str">
        <f>_xlfn.CONCAT(R459,"…",TEXT(P459,"+00;-00;+00;"),"...",TEXT(Q459,"+00;-00;+00;"))</f>
        <v>DDWWW…+04...+05</v>
      </c>
    </row>
    <row r="460" spans="1:32" x14ac:dyDescent="0.25">
      <c r="A460" s="12" t="s">
        <v>1002</v>
      </c>
      <c r="B460" s="13" t="s">
        <v>250</v>
      </c>
      <c r="C460" s="14">
        <v>2</v>
      </c>
      <c r="D460" s="13" t="s">
        <v>858</v>
      </c>
      <c r="E460" s="13" t="s">
        <v>862</v>
      </c>
      <c r="F460" s="15" t="s">
        <v>31</v>
      </c>
      <c r="G460" s="15" t="s">
        <v>31</v>
      </c>
      <c r="H460" s="15" t="s">
        <v>29</v>
      </c>
      <c r="I460" s="15" t="s">
        <v>30</v>
      </c>
      <c r="J460" s="15" t="s">
        <v>30</v>
      </c>
      <c r="K460" s="15" t="s">
        <v>31</v>
      </c>
      <c r="L460" s="15" t="s">
        <v>31</v>
      </c>
      <c r="M460" s="15" t="s">
        <v>30</v>
      </c>
      <c r="N460" s="15" t="s">
        <v>31</v>
      </c>
      <c r="O460" s="15" t="s">
        <v>30</v>
      </c>
      <c r="P460" s="18">
        <v>0</v>
      </c>
      <c r="Q460" s="18">
        <v>-8</v>
      </c>
      <c r="R460" s="15" t="str">
        <f>_xlfn.CONCAT(F460,G460,H460,I460,J460)</f>
        <v>LLDWW</v>
      </c>
      <c r="S460" s="13" t="str">
        <f>_xlfn.CONCAT(K460,L460,M460,N460,O460)</f>
        <v>LLWLW</v>
      </c>
      <c r="T460" s="13" t="str">
        <f>_xlfn.CONCAT(R460,"***",S460)</f>
        <v>LLDWW***LLWLW</v>
      </c>
      <c r="U460" s="19">
        <f>(P460-Q460)</f>
        <v>8</v>
      </c>
      <c r="V460" s="14">
        <v>2</v>
      </c>
      <c r="W460" s="14">
        <v>1</v>
      </c>
      <c r="X460" s="20" t="str">
        <f>IF(ISBLANK(V460),"",IF(V460&gt;W460,"1",IF(V460&lt;W460,"2",IF(V460=W460,"X"))))</f>
        <v>1</v>
      </c>
      <c r="Y460" s="23" t="str">
        <f>COUNTIF(F460:J460, "W")&amp;COUNTIF(F460:J460, "d")&amp;COUNTIF(F460:J460, "l")</f>
        <v>212</v>
      </c>
      <c r="Z460" s="13" t="str">
        <f>COUNTIF(K460:O460, "W")&amp;COUNTIF(K460:O460, "d")&amp;COUNTIF(K460:O460, "l")</f>
        <v>203</v>
      </c>
      <c r="AA460" s="23" t="str">
        <f>_xlfn.CONCAT(Y460,"-",Z460)</f>
        <v>212-203</v>
      </c>
      <c r="AB460" s="15" t="str">
        <f>_xlfn.CONCAT(AA460,"…",TEXT(U460,"+00;-00;+00;"))</f>
        <v>212-203…+08</v>
      </c>
      <c r="AC460" s="23" t="str">
        <f>_xlfn.CONCAT(TEXT(P460,"+00;-00;+00;"),"…",TEXT(Q460,"+00;-00;+00;"))</f>
        <v>+00…-08</v>
      </c>
      <c r="AD460" s="14" t="str">
        <f>IF(X460="","?","")</f>
        <v/>
      </c>
      <c r="AE460" s="15" t="str">
        <f>_xlfn.CONCAT(AA460,"…",TEXT(P460,"+00;-00;+00;"),"...",TEXT(Q460,"+00;-00;+00;"))</f>
        <v>212-203…+00...-08</v>
      </c>
      <c r="AF460" s="13" t="str">
        <f>_xlfn.CONCAT(R460,"…",TEXT(P460,"+00;-00;+00;"),"...",TEXT(Q460,"+00;-00;+00;"))</f>
        <v>LLDWW…+00...-08</v>
      </c>
    </row>
    <row r="461" spans="1:32" x14ac:dyDescent="0.25">
      <c r="A461" s="12" t="s">
        <v>1002</v>
      </c>
      <c r="B461" s="13" t="s">
        <v>250</v>
      </c>
      <c r="C461" s="14">
        <v>2</v>
      </c>
      <c r="D461" s="13" t="s">
        <v>856</v>
      </c>
      <c r="E461" s="13" t="s">
        <v>289</v>
      </c>
      <c r="F461" s="15" t="s">
        <v>30</v>
      </c>
      <c r="G461" s="15" t="s">
        <v>30</v>
      </c>
      <c r="H461" s="15" t="s">
        <v>31</v>
      </c>
      <c r="I461" s="15" t="s">
        <v>30</v>
      </c>
      <c r="J461" s="15" t="s">
        <v>30</v>
      </c>
      <c r="K461" s="15" t="s">
        <v>30</v>
      </c>
      <c r="L461" s="15" t="s">
        <v>31</v>
      </c>
      <c r="M461" s="15" t="s">
        <v>31</v>
      </c>
      <c r="N461" s="15" t="s">
        <v>31</v>
      </c>
      <c r="O461" s="15" t="s">
        <v>30</v>
      </c>
      <c r="P461" s="18">
        <v>11</v>
      </c>
      <c r="Q461" s="18">
        <v>6</v>
      </c>
      <c r="R461" s="15" t="str">
        <f>_xlfn.CONCAT(F461,G461,H461,I461,J461)</f>
        <v>WWLWW</v>
      </c>
      <c r="S461" s="13" t="str">
        <f>_xlfn.CONCAT(K461,L461,M461,N461,O461)</f>
        <v>WLLLW</v>
      </c>
      <c r="T461" s="13" t="str">
        <f>_xlfn.CONCAT(R461,"***",S461)</f>
        <v>WWLWW***WLLLW</v>
      </c>
      <c r="U461" s="19">
        <f>(P461-Q461)</f>
        <v>5</v>
      </c>
      <c r="V461" s="14">
        <v>2</v>
      </c>
      <c r="W461" s="14">
        <v>3</v>
      </c>
      <c r="X461" s="20" t="str">
        <f>IF(ISBLANK(V461),"",IF(V461&gt;W461,"1",IF(V461&lt;W461,"2",IF(V461=W461,"X"))))</f>
        <v>2</v>
      </c>
      <c r="Y461" s="23" t="str">
        <f>COUNTIF(F461:J461, "W")&amp;COUNTIF(F461:J461, "d")&amp;COUNTIF(F461:J461, "l")</f>
        <v>401</v>
      </c>
      <c r="Z461" s="13" t="str">
        <f>COUNTIF(K461:O461, "W")&amp;COUNTIF(K461:O461, "d")&amp;COUNTIF(K461:O461, "l")</f>
        <v>203</v>
      </c>
      <c r="AA461" s="23" t="str">
        <f>_xlfn.CONCAT(Y461,"-",Z461)</f>
        <v>401-203</v>
      </c>
      <c r="AB461" s="15" t="str">
        <f>_xlfn.CONCAT(AA461,"…",TEXT(U461,"+00;-00;+00;"))</f>
        <v>401-203…+05</v>
      </c>
      <c r="AC461" s="23" t="str">
        <f>_xlfn.CONCAT(TEXT(P461,"+00;-00;+00;"),"…",TEXT(Q461,"+00;-00;+00;"))</f>
        <v>+11…+06</v>
      </c>
      <c r="AD461" s="14" t="str">
        <f>IF(X461="","?","")</f>
        <v/>
      </c>
      <c r="AE461" s="15" t="str">
        <f>_xlfn.CONCAT(AA461,"…",TEXT(P461,"+00;-00;+00;"),"...",TEXT(Q461,"+00;-00;+00;"))</f>
        <v>401-203…+11...+06</v>
      </c>
      <c r="AF461" s="13" t="str">
        <f>_xlfn.CONCAT(R461,"…",TEXT(P461,"+00;-00;+00;"),"...",TEXT(Q461,"+00;-00;+00;"))</f>
        <v>WWLWW…+11...+06</v>
      </c>
    </row>
    <row r="462" spans="1:32" x14ac:dyDescent="0.25">
      <c r="A462" s="13" t="s">
        <v>930</v>
      </c>
      <c r="B462" s="13" t="s">
        <v>208</v>
      </c>
      <c r="C462" s="14">
        <v>2</v>
      </c>
      <c r="D462" s="13" t="s">
        <v>588</v>
      </c>
      <c r="E462" s="13" t="s">
        <v>938</v>
      </c>
      <c r="F462" s="13" t="s">
        <v>31</v>
      </c>
      <c r="G462" s="13" t="s">
        <v>31</v>
      </c>
      <c r="H462" s="13" t="s">
        <v>31</v>
      </c>
      <c r="I462" s="13" t="s">
        <v>31</v>
      </c>
      <c r="J462" s="13" t="s">
        <v>29</v>
      </c>
      <c r="K462" s="13" t="s">
        <v>30</v>
      </c>
      <c r="L462" s="13" t="s">
        <v>29</v>
      </c>
      <c r="M462" s="13" t="s">
        <v>29</v>
      </c>
      <c r="N462" s="13" t="s">
        <v>29</v>
      </c>
      <c r="O462" s="13" t="s">
        <v>30</v>
      </c>
      <c r="P462" s="16">
        <v>-6</v>
      </c>
      <c r="Q462" s="16">
        <v>6</v>
      </c>
      <c r="R462" s="13" t="str">
        <f>_xlfn.CONCAT(F462,G462,H462,I462,J462)</f>
        <v>LLLLD</v>
      </c>
      <c r="S462" s="13" t="str">
        <f>_xlfn.CONCAT(K462,L462,M462,N462,O462)</f>
        <v>WDDDW</v>
      </c>
      <c r="T462" s="13" t="str">
        <f>_xlfn.CONCAT(R462,"***",S462)</f>
        <v>LLLLD***WDDDW</v>
      </c>
      <c r="U462" s="21">
        <f>(P462-Q462)</f>
        <v>-12</v>
      </c>
      <c r="V462" s="14">
        <v>1</v>
      </c>
      <c r="W462" s="14">
        <v>2</v>
      </c>
      <c r="X462" s="20" t="str">
        <f>IF(ISBLANK(V462),"",IF(V462&gt;W462,"1",IF(V462&lt;W462,"2",IF(V462=W462,"X"))))</f>
        <v>2</v>
      </c>
      <c r="Y462" s="23" t="str">
        <f>COUNTIF(F462:J462, "W")&amp;COUNTIF(F462:J462, "d")&amp;COUNTIF(F462:J462, "l")</f>
        <v>014</v>
      </c>
      <c r="Z462" s="13" t="str">
        <f>COUNTIF(K462:O462, "W")&amp;COUNTIF(K462:O462, "d")&amp;COUNTIF(K462:O462, "l")</f>
        <v>230</v>
      </c>
      <c r="AA462" s="23" t="str">
        <f>_xlfn.CONCAT(Y462,"-",Z462)</f>
        <v>014-230</v>
      </c>
      <c r="AB462" s="13" t="str">
        <f>_xlfn.CONCAT(AA462,"…",TEXT(U462,"+00;-00;+00;"))</f>
        <v>014-230…-12</v>
      </c>
      <c r="AC462" s="23" t="str">
        <f>_xlfn.CONCAT(TEXT(P462,"+00;-00;+00;"),"…",TEXT(Q462,"+00;-00;+00;"))</f>
        <v>-06…+06</v>
      </c>
      <c r="AD462" s="14" t="str">
        <f>IF(X462="","?","")</f>
        <v/>
      </c>
      <c r="AE462" s="15" t="str">
        <f>_xlfn.CONCAT(AA462,"…",TEXT(P462,"+00;-00;+00;"),"...",TEXT(Q462,"+00;-00;+00;"))</f>
        <v>014-230…-06...+06</v>
      </c>
      <c r="AF462" s="13" t="str">
        <f>_xlfn.CONCAT(R462,"…",TEXT(P462,"+00;-00;+00;"),"...",TEXT(Q462,"+00;-00;+00;"))</f>
        <v>LLLLD…-06...+06</v>
      </c>
    </row>
    <row r="463" spans="1:32" x14ac:dyDescent="0.25">
      <c r="A463" s="13" t="s">
        <v>930</v>
      </c>
      <c r="B463" s="13" t="s">
        <v>208</v>
      </c>
      <c r="C463" s="14">
        <v>2</v>
      </c>
      <c r="D463" s="13" t="s">
        <v>936</v>
      </c>
      <c r="E463" s="13" t="s">
        <v>937</v>
      </c>
      <c r="F463" s="13" t="s">
        <v>29</v>
      </c>
      <c r="G463" s="13" t="s">
        <v>30</v>
      </c>
      <c r="H463" s="13" t="s">
        <v>31</v>
      </c>
      <c r="I463" s="13" t="s">
        <v>30</v>
      </c>
      <c r="J463" s="13" t="s">
        <v>29</v>
      </c>
      <c r="K463" s="13" t="s">
        <v>30</v>
      </c>
      <c r="L463" s="13" t="s">
        <v>31</v>
      </c>
      <c r="M463" s="13" t="s">
        <v>31</v>
      </c>
      <c r="N463" s="13" t="s">
        <v>30</v>
      </c>
      <c r="O463" s="13" t="s">
        <v>31</v>
      </c>
      <c r="P463" s="16">
        <v>10</v>
      </c>
      <c r="Q463" s="16">
        <v>-4</v>
      </c>
      <c r="R463" s="13" t="str">
        <f>_xlfn.CONCAT(F463,G463,H463,I463,J463)</f>
        <v>DWLWD</v>
      </c>
      <c r="S463" s="13" t="str">
        <f>_xlfn.CONCAT(K463,L463,M463,N463,O463)</f>
        <v>WLLWL</v>
      </c>
      <c r="T463" s="13" t="str">
        <f>_xlfn.CONCAT(R463,"***",S463)</f>
        <v>DWLWD***WLLWL</v>
      </c>
      <c r="U463" s="21">
        <f>(P463-Q463)</f>
        <v>14</v>
      </c>
      <c r="V463" s="14">
        <v>1</v>
      </c>
      <c r="W463" s="14">
        <v>2</v>
      </c>
      <c r="X463" s="20" t="str">
        <f>IF(ISBLANK(V463),"",IF(V463&gt;W463,"1",IF(V463&lt;W463,"2",IF(V463=W463,"X"))))</f>
        <v>2</v>
      </c>
      <c r="Y463" s="23" t="str">
        <f>COUNTIF(F463:J463, "W")&amp;COUNTIF(F463:J463, "d")&amp;COUNTIF(F463:J463, "l")</f>
        <v>221</v>
      </c>
      <c r="Z463" s="13" t="str">
        <f>COUNTIF(K463:O463, "W")&amp;COUNTIF(K463:O463, "d")&amp;COUNTIF(K463:O463, "l")</f>
        <v>203</v>
      </c>
      <c r="AA463" s="23" t="str">
        <f>_xlfn.CONCAT(Y463,"-",Z463)</f>
        <v>221-203</v>
      </c>
      <c r="AB463" s="13" t="str">
        <f>_xlfn.CONCAT(AA463,"…",TEXT(U463,"+00;-00;+00;"))</f>
        <v>221-203…+14</v>
      </c>
      <c r="AC463" s="23" t="str">
        <f>_xlfn.CONCAT(TEXT(P463,"+00;-00;+00;"),"…",TEXT(Q463,"+00;-00;+00;"))</f>
        <v>+10…-04</v>
      </c>
      <c r="AD463" s="14" t="str">
        <f>IF(X463="","?","")</f>
        <v/>
      </c>
      <c r="AE463" s="15" t="str">
        <f>_xlfn.CONCAT(AA463,"…",TEXT(P463,"+00;-00;+00;"),"...",TEXT(Q463,"+00;-00;+00;"))</f>
        <v>221-203…+10...-04</v>
      </c>
      <c r="AF463" s="13" t="str">
        <f>_xlfn.CONCAT(R463,"…",TEXT(P463,"+00;-00;+00;"),"...",TEXT(Q463,"+00;-00;+00;"))</f>
        <v>DWLWD…+10...-04</v>
      </c>
    </row>
    <row r="464" spans="1:32" x14ac:dyDescent="0.25">
      <c r="A464" s="13" t="s">
        <v>930</v>
      </c>
      <c r="B464" s="13" t="s">
        <v>208</v>
      </c>
      <c r="C464" s="14">
        <v>2</v>
      </c>
      <c r="D464" s="13" t="s">
        <v>935</v>
      </c>
      <c r="E464" s="13" t="s">
        <v>587</v>
      </c>
      <c r="F464" s="13" t="s">
        <v>30</v>
      </c>
      <c r="G464" s="13" t="s">
        <v>30</v>
      </c>
      <c r="H464" s="13" t="s">
        <v>30</v>
      </c>
      <c r="I464" s="13" t="s">
        <v>30</v>
      </c>
      <c r="J464" s="13" t="s">
        <v>30</v>
      </c>
      <c r="K464" s="13" t="s">
        <v>30</v>
      </c>
      <c r="L464" s="13" t="s">
        <v>30</v>
      </c>
      <c r="M464" s="13" t="s">
        <v>31</v>
      </c>
      <c r="N464" s="13" t="s">
        <v>31</v>
      </c>
      <c r="O464" s="13" t="s">
        <v>31</v>
      </c>
      <c r="P464" s="16">
        <v>7</v>
      </c>
      <c r="Q464" s="16">
        <v>3</v>
      </c>
      <c r="R464" s="13" t="str">
        <f>_xlfn.CONCAT(F464,G464,H464,I464,J464)</f>
        <v>WWWWW</v>
      </c>
      <c r="S464" s="13" t="str">
        <f>_xlfn.CONCAT(K464,L464,M464,N464,O464)</f>
        <v>WWLLL</v>
      </c>
      <c r="T464" s="13" t="str">
        <f>_xlfn.CONCAT(R464,"***",S464)</f>
        <v>WWWWW***WWLLL</v>
      </c>
      <c r="U464" s="21">
        <f>(P464-Q464)</f>
        <v>4</v>
      </c>
      <c r="V464" s="14">
        <v>1</v>
      </c>
      <c r="W464" s="14">
        <v>1</v>
      </c>
      <c r="X464" s="20" t="str">
        <f>IF(ISBLANK(V464),"",IF(V464&gt;W464,"1",IF(V464&lt;W464,"2",IF(V464=W464,"X"))))</f>
        <v>X</v>
      </c>
      <c r="Y464" s="23" t="str">
        <f>COUNTIF(F464:J464, "W")&amp;COUNTIF(F464:J464, "d")&amp;COUNTIF(F464:J464, "l")</f>
        <v>500</v>
      </c>
      <c r="Z464" s="13" t="str">
        <f>COUNTIF(K464:O464, "W")&amp;COUNTIF(K464:O464, "d")&amp;COUNTIF(K464:O464, "l")</f>
        <v>203</v>
      </c>
      <c r="AA464" s="23" t="str">
        <f>_xlfn.CONCAT(Y464,"-",Z464)</f>
        <v>500-203</v>
      </c>
      <c r="AB464" s="13" t="str">
        <f>_xlfn.CONCAT(AA464,"…",TEXT(U464,"+00;-00;+00;"))</f>
        <v>500-203…+04</v>
      </c>
      <c r="AC464" s="23" t="str">
        <f>_xlfn.CONCAT(TEXT(P464,"+00;-00;+00;"),"…",TEXT(Q464,"+00;-00;+00;"))</f>
        <v>+07…+03</v>
      </c>
      <c r="AD464" s="14" t="str">
        <f>IF(X464="","?","")</f>
        <v/>
      </c>
      <c r="AE464" s="15" t="str">
        <f>_xlfn.CONCAT(AA464,"…",TEXT(P464,"+00;-00;+00;"),"...",TEXT(Q464,"+00;-00;+00;"))</f>
        <v>500-203…+07...+03</v>
      </c>
      <c r="AF464" s="13" t="str">
        <f>_xlfn.CONCAT(R464,"…",TEXT(P464,"+00;-00;+00;"),"...",TEXT(Q464,"+00;-00;+00;"))</f>
        <v>WWWWW…+07...+03</v>
      </c>
    </row>
    <row r="465" spans="1:32" x14ac:dyDescent="0.25">
      <c r="A465" s="12" t="s">
        <v>868</v>
      </c>
      <c r="B465" s="13" t="s">
        <v>7</v>
      </c>
      <c r="C465" s="14" t="s">
        <v>8</v>
      </c>
      <c r="D465" s="13" t="s">
        <v>21</v>
      </c>
      <c r="E465" s="13" t="s">
        <v>19</v>
      </c>
      <c r="F465" s="15" t="s">
        <v>31</v>
      </c>
      <c r="G465" s="15" t="s">
        <v>29</v>
      </c>
      <c r="H465" s="15" t="s">
        <v>31</v>
      </c>
      <c r="I465" s="15" t="s">
        <v>31</v>
      </c>
      <c r="J465" s="15" t="s">
        <v>30</v>
      </c>
      <c r="K465" s="15" t="s">
        <v>30</v>
      </c>
      <c r="L465" s="15" t="s">
        <v>30</v>
      </c>
      <c r="M465" s="15" t="s">
        <v>29</v>
      </c>
      <c r="N465" s="15" t="s">
        <v>30</v>
      </c>
      <c r="O465" s="15" t="s">
        <v>29</v>
      </c>
      <c r="P465" s="18">
        <v>-7</v>
      </c>
      <c r="Q465" s="18">
        <v>20</v>
      </c>
      <c r="R465" s="15" t="str">
        <f>_xlfn.CONCAT(F465,G465,H465,I465,J465)</f>
        <v>LDLLW</v>
      </c>
      <c r="S465" s="13" t="str">
        <f>_xlfn.CONCAT(K465,L465,M465,N465,O465)</f>
        <v>WWDWD</v>
      </c>
      <c r="T465" s="13" t="str">
        <f>_xlfn.CONCAT(R465,"***",S465)</f>
        <v>LDLLW***WWDWD</v>
      </c>
      <c r="U465" s="19">
        <f>(P465-Q465)</f>
        <v>-27</v>
      </c>
      <c r="V465" s="14">
        <v>1</v>
      </c>
      <c r="W465" s="14">
        <v>2</v>
      </c>
      <c r="X465" s="20" t="str">
        <f>IF(ISBLANK(V465),"",IF(V465&gt;W465,"1",IF(V465&lt;W465,"2",IF(V465=W465,"X"))))</f>
        <v>2</v>
      </c>
      <c r="Y465" s="23" t="str">
        <f>COUNTIF(F465:J465, "W")&amp;COUNTIF(F465:J465, "d")&amp;COUNTIF(F465:J465, "l")</f>
        <v>113</v>
      </c>
      <c r="Z465" s="13" t="str">
        <f>COUNTIF(K465:O465, "W")&amp;COUNTIF(K465:O465, "d")&amp;COUNTIF(K465:O465, "l")</f>
        <v>320</v>
      </c>
      <c r="AA465" s="23" t="str">
        <f>_xlfn.CONCAT(Y465,"-",Z465)</f>
        <v>113-320</v>
      </c>
      <c r="AB465" s="15" t="str">
        <f>_xlfn.CONCAT(AA465,"…",TEXT(U465,"+00;-00;+00;"))</f>
        <v>113-320…-27</v>
      </c>
      <c r="AC465" s="23" t="str">
        <f>_xlfn.CONCAT(TEXT(P465,"+00;-00;+00;"),"…",TEXT(Q465,"+00;-00;+00;"))</f>
        <v>-07…+20</v>
      </c>
      <c r="AD465" s="14" t="str">
        <f>IF(X465="","?","")</f>
        <v/>
      </c>
      <c r="AE465" s="15" t="str">
        <f>_xlfn.CONCAT(AA465,"…",TEXT(P465,"+00;-00;+00;"),"...",TEXT(Q465,"+00;-00;+00;"))</f>
        <v>113-320…-07...+20</v>
      </c>
      <c r="AF465" s="13" t="str">
        <f>_xlfn.CONCAT(R465,"…",TEXT(P465,"+00;-00;+00;"),"...",TEXT(Q465,"+00;-00;+00;"))</f>
        <v>LDLLW…-07...+20</v>
      </c>
    </row>
    <row r="466" spans="1:32" x14ac:dyDescent="0.25">
      <c r="A466" s="13" t="s">
        <v>868</v>
      </c>
      <c r="B466" s="13" t="s">
        <v>7</v>
      </c>
      <c r="C466" s="14" t="s">
        <v>32</v>
      </c>
      <c r="D466" s="13" t="s">
        <v>504</v>
      </c>
      <c r="E466" s="13" t="s">
        <v>57</v>
      </c>
      <c r="F466" s="13" t="s">
        <v>29</v>
      </c>
      <c r="G466" s="13" t="s">
        <v>31</v>
      </c>
      <c r="H466" s="13" t="s">
        <v>31</v>
      </c>
      <c r="I466" s="13" t="s">
        <v>30</v>
      </c>
      <c r="J466" s="13" t="s">
        <v>29</v>
      </c>
      <c r="K466" s="13" t="s">
        <v>31</v>
      </c>
      <c r="L466" s="13" t="s">
        <v>30</v>
      </c>
      <c r="M466" s="13" t="s">
        <v>30</v>
      </c>
      <c r="N466" s="13" t="s">
        <v>31</v>
      </c>
      <c r="O466" s="13" t="s">
        <v>30</v>
      </c>
      <c r="P466" s="16">
        <v>7</v>
      </c>
      <c r="Q466" s="16">
        <v>11</v>
      </c>
      <c r="R466" s="13" t="str">
        <f>_xlfn.CONCAT(F466,G466,H466,I466,J466)</f>
        <v>DLLWD</v>
      </c>
      <c r="S466" s="13" t="str">
        <f>_xlfn.CONCAT(K466,L466,M466,N466,O466)</f>
        <v>LWWLW</v>
      </c>
      <c r="T466" s="13" t="str">
        <f>_xlfn.CONCAT(R466,"***",S466)</f>
        <v>DLLWD***LWWLW</v>
      </c>
      <c r="U466" s="21">
        <f>(P466-Q466)</f>
        <v>-4</v>
      </c>
      <c r="V466" s="14">
        <v>2</v>
      </c>
      <c r="W466" s="14">
        <v>1</v>
      </c>
      <c r="X466" s="20" t="str">
        <f>IF(ISBLANK(V466),"",IF(V466&gt;W466,"1",IF(V466&lt;W466,"2",IF(V466=W466,"X"))))</f>
        <v>1</v>
      </c>
      <c r="Y466" s="23" t="str">
        <f>COUNTIF(F466:J466, "W")&amp;COUNTIF(F466:J466, "d")&amp;COUNTIF(F466:J466, "l")</f>
        <v>122</v>
      </c>
      <c r="Z466" s="13" t="str">
        <f>COUNTIF(K466:O466, "W")&amp;COUNTIF(K466:O466, "d")&amp;COUNTIF(K466:O466, "l")</f>
        <v>302</v>
      </c>
      <c r="AA466" s="23" t="str">
        <f>_xlfn.CONCAT(Y466,"-",Z466)</f>
        <v>122-302</v>
      </c>
      <c r="AB466" s="13" t="str">
        <f>_xlfn.CONCAT(AA466,"…",TEXT(U466,"+00;-00;+00;"))</f>
        <v>122-302…-04</v>
      </c>
      <c r="AC466" s="23" t="str">
        <f>_xlfn.CONCAT(TEXT(P466,"+00;-00;+00;"),"…",TEXT(Q466,"+00;-00;+00;"))</f>
        <v>+07…+11</v>
      </c>
      <c r="AD466" s="14" t="str">
        <f>IF(X466="","?","")</f>
        <v/>
      </c>
      <c r="AE466" s="15" t="str">
        <f>_xlfn.CONCAT(AA466,"…",TEXT(P466,"+00;-00;+00;"),"...",TEXT(Q466,"+00;-00;+00;"))</f>
        <v>122-302…+07...+11</v>
      </c>
      <c r="AF466" s="13" t="str">
        <f>_xlfn.CONCAT(R466,"…",TEXT(P466,"+00;-00;+00;"),"...",TEXT(Q466,"+00;-00;+00;"))</f>
        <v>DLLWD…+07...+11</v>
      </c>
    </row>
    <row r="467" spans="1:32" x14ac:dyDescent="0.25">
      <c r="A467" s="13" t="s">
        <v>868</v>
      </c>
      <c r="B467" s="13" t="s">
        <v>7</v>
      </c>
      <c r="C467" s="14" t="s">
        <v>32</v>
      </c>
      <c r="D467" s="13" t="s">
        <v>871</v>
      </c>
      <c r="E467" s="13" t="s">
        <v>36</v>
      </c>
      <c r="F467" s="13" t="s">
        <v>31</v>
      </c>
      <c r="G467" s="13" t="s">
        <v>30</v>
      </c>
      <c r="H467" s="13" t="s">
        <v>30</v>
      </c>
      <c r="I467" s="13" t="s">
        <v>31</v>
      </c>
      <c r="J467" s="13" t="s">
        <v>30</v>
      </c>
      <c r="K467" s="13" t="s">
        <v>30</v>
      </c>
      <c r="L467" s="13" t="s">
        <v>30</v>
      </c>
      <c r="M467" s="13" t="s">
        <v>29</v>
      </c>
      <c r="N467" s="13" t="s">
        <v>30</v>
      </c>
      <c r="O467" s="13" t="s">
        <v>30</v>
      </c>
      <c r="P467" s="16">
        <v>1</v>
      </c>
      <c r="Q467" s="16">
        <v>14</v>
      </c>
      <c r="R467" s="13" t="str">
        <f>_xlfn.CONCAT(F467,G467,H467,I467,J467)</f>
        <v>LWWLW</v>
      </c>
      <c r="S467" s="13" t="str">
        <f>_xlfn.CONCAT(K467,L467,M467,N467,O467)</f>
        <v>WWDWW</v>
      </c>
      <c r="T467" s="13" t="str">
        <f>_xlfn.CONCAT(R467,"***",S467)</f>
        <v>LWWLW***WWDWW</v>
      </c>
      <c r="U467" s="21">
        <f>(P467-Q467)</f>
        <v>-13</v>
      </c>
      <c r="V467" s="14">
        <v>0</v>
      </c>
      <c r="W467" s="14">
        <v>2</v>
      </c>
      <c r="X467" s="20" t="str">
        <f>IF(ISBLANK(V467),"",IF(V467&gt;W467,"1",IF(V467&lt;W467,"2",IF(V467=W467,"X"))))</f>
        <v>2</v>
      </c>
      <c r="Y467" s="23" t="str">
        <f>COUNTIF(F467:J467, "W")&amp;COUNTIF(F467:J467, "d")&amp;COUNTIF(F467:J467, "l")</f>
        <v>302</v>
      </c>
      <c r="Z467" s="13" t="str">
        <f>COUNTIF(K467:O467, "W")&amp;COUNTIF(K467:O467, "d")&amp;COUNTIF(K467:O467, "l")</f>
        <v>410</v>
      </c>
      <c r="AA467" s="23" t="str">
        <f>_xlfn.CONCAT(Y467,"-",Z467)</f>
        <v>302-410</v>
      </c>
      <c r="AB467" s="13" t="str">
        <f>_xlfn.CONCAT(AA467,"…",TEXT(U467,"+00;-00;+00;"))</f>
        <v>302-410…-13</v>
      </c>
      <c r="AC467" s="23" t="str">
        <f>_xlfn.CONCAT(TEXT(P467,"+00;-00;+00;"),"…",TEXT(Q467,"+00;-00;+00;"))</f>
        <v>+01…+14</v>
      </c>
      <c r="AD467" s="14" t="str">
        <f>IF(X467="","?","")</f>
        <v/>
      </c>
      <c r="AE467" s="15" t="str">
        <f>_xlfn.CONCAT(AA467,"…",TEXT(P467,"+00;-00;+00;"),"...",TEXT(Q467,"+00;-00;+00;"))</f>
        <v>302-410…+01...+14</v>
      </c>
      <c r="AF467" s="13" t="str">
        <f>_xlfn.CONCAT(R467,"…",TEXT(P467,"+00;-00;+00;"),"...",TEXT(Q467,"+00;-00;+00;"))</f>
        <v>LWWLW…+01...+14</v>
      </c>
    </row>
    <row r="468" spans="1:32" x14ac:dyDescent="0.25">
      <c r="A468" s="13" t="s">
        <v>914</v>
      </c>
      <c r="B468" s="13" t="s">
        <v>117</v>
      </c>
      <c r="C468" s="14" t="s">
        <v>33</v>
      </c>
      <c r="D468" s="13" t="s">
        <v>675</v>
      </c>
      <c r="E468" s="13" t="s">
        <v>676</v>
      </c>
      <c r="F468" s="13" t="s">
        <v>31</v>
      </c>
      <c r="G468" s="13" t="s">
        <v>29</v>
      </c>
      <c r="H468" s="13" t="s">
        <v>31</v>
      </c>
      <c r="I468" s="13" t="s">
        <v>31</v>
      </c>
      <c r="J468" s="13" t="s">
        <v>31</v>
      </c>
      <c r="K468" s="13" t="s">
        <v>31</v>
      </c>
      <c r="L468" s="13" t="s">
        <v>31</v>
      </c>
      <c r="M468" s="13" t="s">
        <v>29</v>
      </c>
      <c r="N468" s="13" t="s">
        <v>29</v>
      </c>
      <c r="O468" s="13" t="s">
        <v>31</v>
      </c>
      <c r="P468" s="16">
        <v>-6</v>
      </c>
      <c r="Q468" s="16">
        <v>-10</v>
      </c>
      <c r="R468" s="13" t="str">
        <f>_xlfn.CONCAT(F468,G468,H468,I468,J468)</f>
        <v>LDLLL</v>
      </c>
      <c r="S468" s="13" t="str">
        <f>_xlfn.CONCAT(K468,L468,M468,N468,O468)</f>
        <v>LLDDL</v>
      </c>
      <c r="T468" s="13" t="str">
        <f>_xlfn.CONCAT(R468,"***",S468)</f>
        <v>LDLLL***LLDDL</v>
      </c>
      <c r="U468" s="21">
        <f>(P468-Q468)</f>
        <v>4</v>
      </c>
      <c r="V468" s="14">
        <v>1</v>
      </c>
      <c r="W468" s="14">
        <v>2</v>
      </c>
      <c r="X468" s="20" t="str">
        <f>IF(ISBLANK(V468),"",IF(V468&gt;W468,"1",IF(V468&lt;W468,"2",IF(V468=W468,"X"))))</f>
        <v>2</v>
      </c>
      <c r="Y468" s="23" t="str">
        <f>COUNTIF(F468:J468, "W")&amp;COUNTIF(F468:J468, "d")&amp;COUNTIF(F468:J468, "l")</f>
        <v>014</v>
      </c>
      <c r="Z468" s="13" t="str">
        <f>COUNTIF(K468:O468, "W")&amp;COUNTIF(K468:O468, "d")&amp;COUNTIF(K468:O468, "l")</f>
        <v>023</v>
      </c>
      <c r="AA468" s="23" t="str">
        <f>_xlfn.CONCAT(Y468,"-",Z468)</f>
        <v>014-023</v>
      </c>
      <c r="AB468" s="13" t="str">
        <f>_xlfn.CONCAT(AA468,"…",TEXT(U468,"+00;-00;+00;"))</f>
        <v>014-023…+04</v>
      </c>
      <c r="AC468" s="23" t="str">
        <f>_xlfn.CONCAT(TEXT(P468,"+00;-00;+00;"),"…",TEXT(Q468,"+00;-00;+00;"))</f>
        <v>-06…-10</v>
      </c>
      <c r="AD468" s="14" t="str">
        <f>IF(X468="","?","")</f>
        <v/>
      </c>
      <c r="AE468" s="15" t="str">
        <f>_xlfn.CONCAT(AA468,"…",TEXT(P468,"+00;-00;+00;"),"...",TEXT(Q468,"+00;-00;+00;"))</f>
        <v>014-023…-06...-10</v>
      </c>
      <c r="AF468" s="13" t="str">
        <f>_xlfn.CONCAT(R468,"…",TEXT(P468,"+00;-00;+00;"),"...",TEXT(Q468,"+00;-00;+00;"))</f>
        <v>LDLLL…-06...-10</v>
      </c>
    </row>
    <row r="469" spans="1:32" x14ac:dyDescent="0.25">
      <c r="A469" s="12" t="s">
        <v>914</v>
      </c>
      <c r="B469" s="13" t="s">
        <v>208</v>
      </c>
      <c r="C469" s="14">
        <v>3</v>
      </c>
      <c r="D469" s="13" t="s">
        <v>1032</v>
      </c>
      <c r="E469" s="13" t="s">
        <v>1030</v>
      </c>
      <c r="F469" s="15" t="s">
        <v>31</v>
      </c>
      <c r="G469" s="15" t="s">
        <v>31</v>
      </c>
      <c r="H469" s="15" t="s">
        <v>31</v>
      </c>
      <c r="I469" s="15" t="s">
        <v>29</v>
      </c>
      <c r="J469" s="15" t="s">
        <v>31</v>
      </c>
      <c r="K469" s="15" t="s">
        <v>29</v>
      </c>
      <c r="L469" s="15" t="s">
        <v>29</v>
      </c>
      <c r="M469" s="15" t="s">
        <v>30</v>
      </c>
      <c r="N469" s="15" t="s">
        <v>30</v>
      </c>
      <c r="O469" s="15" t="s">
        <v>31</v>
      </c>
      <c r="P469" s="18">
        <v>-16</v>
      </c>
      <c r="Q469" s="18">
        <v>5</v>
      </c>
      <c r="R469" s="15" t="str">
        <f>_xlfn.CONCAT(F469,G469,H469,I469,J469)</f>
        <v>LLLDL</v>
      </c>
      <c r="S469" s="13" t="str">
        <f>_xlfn.CONCAT(K469,L469,M469,N469,O469)</f>
        <v>DDWWL</v>
      </c>
      <c r="T469" s="13" t="str">
        <f>_xlfn.CONCAT(R469,"***",S469)</f>
        <v>LLLDL***DDWWL</v>
      </c>
      <c r="U469" s="19">
        <f>(P469-Q469)</f>
        <v>-21</v>
      </c>
      <c r="V469" s="14">
        <v>0</v>
      </c>
      <c r="W469" s="14">
        <v>4</v>
      </c>
      <c r="X469" s="20" t="str">
        <f>IF(ISBLANK(V469),"",IF(V469&gt;W469,"1",IF(V469&lt;W469,"2",IF(V469=W469,"X"))))</f>
        <v>2</v>
      </c>
      <c r="Y469" s="23" t="str">
        <f>COUNTIF(F469:J469, "W")&amp;COUNTIF(F469:J469, "d")&amp;COUNTIF(F469:J469, "l")</f>
        <v>014</v>
      </c>
      <c r="Z469" s="13" t="str">
        <f>COUNTIF(K469:O469, "W")&amp;COUNTIF(K469:O469, "d")&amp;COUNTIF(K469:O469, "l")</f>
        <v>221</v>
      </c>
      <c r="AA469" s="23" t="str">
        <f>_xlfn.CONCAT(Y469,"-",Z469)</f>
        <v>014-221</v>
      </c>
      <c r="AB469" s="15" t="str">
        <f>_xlfn.CONCAT(AA469,"…",TEXT(U469,"+00;-00;+00;"))</f>
        <v>014-221…-21</v>
      </c>
      <c r="AC469" s="23" t="str">
        <f>_xlfn.CONCAT(TEXT(P469,"+00;-00;+00;"),"…",TEXT(Q469,"+00;-00;+00;"))</f>
        <v>-16…+05</v>
      </c>
      <c r="AD469" s="14" t="str">
        <f>IF(X469="","?","")</f>
        <v/>
      </c>
      <c r="AE469" s="15" t="str">
        <f>_xlfn.CONCAT(AA469,"…",TEXT(P469,"+00;-00;+00;"),"...",TEXT(Q469,"+00;-00;+00;"))</f>
        <v>014-221…-16...+05</v>
      </c>
      <c r="AF469" s="13" t="str">
        <f>_xlfn.CONCAT(R469,"…",TEXT(P469,"+00;-00;+00;"),"...",TEXT(Q469,"+00;-00;+00;"))</f>
        <v>LLLDL…-16...+05</v>
      </c>
    </row>
    <row r="470" spans="1:32" x14ac:dyDescent="0.25">
      <c r="A470" s="12" t="s">
        <v>914</v>
      </c>
      <c r="B470" s="13" t="s">
        <v>208</v>
      </c>
      <c r="C470" s="14">
        <v>3</v>
      </c>
      <c r="D470" s="13" t="s">
        <v>1031</v>
      </c>
      <c r="E470" s="13" t="s">
        <v>1033</v>
      </c>
      <c r="F470" s="15" t="s">
        <v>31</v>
      </c>
      <c r="G470" s="15" t="s">
        <v>29</v>
      </c>
      <c r="H470" s="15" t="s">
        <v>29</v>
      </c>
      <c r="I470" s="15" t="s">
        <v>31</v>
      </c>
      <c r="J470" s="15" t="s">
        <v>31</v>
      </c>
      <c r="K470" s="15" t="s">
        <v>29</v>
      </c>
      <c r="L470" s="15" t="s">
        <v>30</v>
      </c>
      <c r="M470" s="15" t="s">
        <v>30</v>
      </c>
      <c r="N470" s="15" t="s">
        <v>29</v>
      </c>
      <c r="O470" s="15" t="s">
        <v>31</v>
      </c>
      <c r="P470" s="18">
        <v>-10</v>
      </c>
      <c r="Q470" s="18">
        <v>5</v>
      </c>
      <c r="R470" s="15" t="str">
        <f>_xlfn.CONCAT(F470,G470,H470,I470,J470)</f>
        <v>LDDLL</v>
      </c>
      <c r="S470" s="13" t="str">
        <f>_xlfn.CONCAT(K470,L470,M470,N470,O470)</f>
        <v>DWWDL</v>
      </c>
      <c r="T470" s="13" t="str">
        <f>_xlfn.CONCAT(R470,"***",S470)</f>
        <v>LDDLL***DWWDL</v>
      </c>
      <c r="U470" s="19">
        <f>(P470-Q470)</f>
        <v>-15</v>
      </c>
      <c r="V470" s="14">
        <v>0</v>
      </c>
      <c r="W470" s="14">
        <v>4</v>
      </c>
      <c r="X470" s="20" t="str">
        <f>IF(ISBLANK(V470),"",IF(V470&gt;W470,"1",IF(V470&lt;W470,"2",IF(V470=W470,"X"))))</f>
        <v>2</v>
      </c>
      <c r="Y470" s="23" t="str">
        <f>COUNTIF(F470:J470, "W")&amp;COUNTIF(F470:J470, "d")&amp;COUNTIF(F470:J470, "l")</f>
        <v>023</v>
      </c>
      <c r="Z470" s="13" t="str">
        <f>COUNTIF(K470:O470, "W")&amp;COUNTIF(K470:O470, "d")&amp;COUNTIF(K470:O470, "l")</f>
        <v>221</v>
      </c>
      <c r="AA470" s="23" t="str">
        <f>_xlfn.CONCAT(Y470,"-",Z470)</f>
        <v>023-221</v>
      </c>
      <c r="AB470" s="15" t="str">
        <f>_xlfn.CONCAT(AA470,"…",TEXT(U470,"+00;-00;+00;"))</f>
        <v>023-221…-15</v>
      </c>
      <c r="AC470" s="23" t="str">
        <f>_xlfn.CONCAT(TEXT(P470,"+00;-00;+00;"),"…",TEXT(Q470,"+00;-00;+00;"))</f>
        <v>-10…+05</v>
      </c>
      <c r="AD470" s="14" t="str">
        <f>IF(X470="","?","")</f>
        <v/>
      </c>
      <c r="AE470" s="15" t="str">
        <f>_xlfn.CONCAT(AA470,"…",TEXT(P470,"+00;-00;+00;"),"...",TEXT(Q470,"+00;-00;+00;"))</f>
        <v>023-221…-10...+05</v>
      </c>
      <c r="AF470" s="13" t="str">
        <f>_xlfn.CONCAT(R470,"…",TEXT(P470,"+00;-00;+00;"),"...",TEXT(Q470,"+00;-00;+00;"))</f>
        <v>LDDLL…-10...+05</v>
      </c>
    </row>
    <row r="471" spans="1:32" x14ac:dyDescent="0.25">
      <c r="A471" s="13" t="s">
        <v>914</v>
      </c>
      <c r="B471" s="13" t="s">
        <v>117</v>
      </c>
      <c r="C471" s="14" t="s">
        <v>33</v>
      </c>
      <c r="D471" s="13" t="s">
        <v>668</v>
      </c>
      <c r="E471" s="13" t="s">
        <v>669</v>
      </c>
      <c r="F471" s="13" t="s">
        <v>30</v>
      </c>
      <c r="G471" s="13" t="s">
        <v>29</v>
      </c>
      <c r="H471" s="13" t="s">
        <v>29</v>
      </c>
      <c r="I471" s="13" t="s">
        <v>31</v>
      </c>
      <c r="J471" s="13" t="s">
        <v>31</v>
      </c>
      <c r="K471" s="13" t="s">
        <v>31</v>
      </c>
      <c r="L471" s="13" t="s">
        <v>31</v>
      </c>
      <c r="M471" s="13" t="s">
        <v>29</v>
      </c>
      <c r="N471" s="13" t="s">
        <v>29</v>
      </c>
      <c r="O471" s="13" t="s">
        <v>31</v>
      </c>
      <c r="P471" s="16">
        <v>-4</v>
      </c>
      <c r="Q471" s="16">
        <v>-19</v>
      </c>
      <c r="R471" s="13" t="str">
        <f>_xlfn.CONCAT(F471,G471,H471,I471,J471)</f>
        <v>WDDLL</v>
      </c>
      <c r="S471" s="13" t="str">
        <f>_xlfn.CONCAT(K471,L471,M471,N471,O471)</f>
        <v>LLDDL</v>
      </c>
      <c r="T471" s="13" t="str">
        <f>_xlfn.CONCAT(R471,"***",S471)</f>
        <v>WDDLL***LLDDL</v>
      </c>
      <c r="U471" s="21">
        <f>(P471-Q471)</f>
        <v>15</v>
      </c>
      <c r="V471" s="14">
        <v>2</v>
      </c>
      <c r="W471" s="14">
        <v>1</v>
      </c>
      <c r="X471" s="20" t="str">
        <f>IF(ISBLANK(V471),"",IF(V471&gt;W471,"1",IF(V471&lt;W471,"2",IF(V471=W471,"X"))))</f>
        <v>1</v>
      </c>
      <c r="Y471" s="23" t="str">
        <f>COUNTIF(F471:J471, "W")&amp;COUNTIF(F471:J471, "d")&amp;COUNTIF(F471:J471, "l")</f>
        <v>122</v>
      </c>
      <c r="Z471" s="13" t="str">
        <f>COUNTIF(K471:O471, "W")&amp;COUNTIF(K471:O471, "d")&amp;COUNTIF(K471:O471, "l")</f>
        <v>023</v>
      </c>
      <c r="AA471" s="23" t="str">
        <f>_xlfn.CONCAT(Y471,"-",Z471)</f>
        <v>122-023</v>
      </c>
      <c r="AB471" s="13" t="str">
        <f>_xlfn.CONCAT(AA471,"…",TEXT(U471,"+00;-00;+00;"))</f>
        <v>122-023…+15</v>
      </c>
      <c r="AC471" s="23" t="str">
        <f>_xlfn.CONCAT(TEXT(P471,"+00;-00;+00;"),"…",TEXT(Q471,"+00;-00;+00;"))</f>
        <v>-04…-19</v>
      </c>
      <c r="AD471" s="14" t="str">
        <f>IF(X471="","?","")</f>
        <v/>
      </c>
      <c r="AE471" s="15" t="str">
        <f>_xlfn.CONCAT(AA471,"…",TEXT(P471,"+00;-00;+00;"),"...",TEXT(Q471,"+00;-00;+00;"))</f>
        <v>122-023…-04...-19</v>
      </c>
      <c r="AF471" s="13" t="str">
        <f>_xlfn.CONCAT(R471,"…",TEXT(P471,"+00;-00;+00;"),"...",TEXT(Q471,"+00;-00;+00;"))</f>
        <v>WDDLL…-04...-19</v>
      </c>
    </row>
    <row r="472" spans="1:32" x14ac:dyDescent="0.25">
      <c r="A472" s="12" t="s">
        <v>914</v>
      </c>
      <c r="B472" s="13" t="s">
        <v>208</v>
      </c>
      <c r="C472" s="14">
        <v>3</v>
      </c>
      <c r="D472" s="13" t="s">
        <v>1036</v>
      </c>
      <c r="E472" s="13" t="s">
        <v>1037</v>
      </c>
      <c r="F472" s="15" t="s">
        <v>30</v>
      </c>
      <c r="G472" s="15" t="s">
        <v>30</v>
      </c>
      <c r="H472" s="15" t="s">
        <v>31</v>
      </c>
      <c r="I472" s="15" t="s">
        <v>31</v>
      </c>
      <c r="J472" s="15" t="s">
        <v>31</v>
      </c>
      <c r="K472" s="15" t="s">
        <v>30</v>
      </c>
      <c r="L472" s="15" t="s">
        <v>31</v>
      </c>
      <c r="M472" s="15" t="s">
        <v>29</v>
      </c>
      <c r="N472" s="15" t="s">
        <v>29</v>
      </c>
      <c r="O472" s="15" t="s">
        <v>31</v>
      </c>
      <c r="P472" s="18">
        <v>3</v>
      </c>
      <c r="Q472" s="18">
        <v>1</v>
      </c>
      <c r="R472" s="15" t="str">
        <f>_xlfn.CONCAT(F472,G472,H472,I472,J472)</f>
        <v>WWLLL</v>
      </c>
      <c r="S472" s="13" t="str">
        <f>_xlfn.CONCAT(K472,L472,M472,N472,O472)</f>
        <v>WLDDL</v>
      </c>
      <c r="T472" s="13" t="str">
        <f>_xlfn.CONCAT(R472,"***",S472)</f>
        <v>WWLLL***WLDDL</v>
      </c>
      <c r="U472" s="19">
        <f>(P472-Q472)</f>
        <v>2</v>
      </c>
      <c r="V472" s="14">
        <v>1</v>
      </c>
      <c r="W472" s="14">
        <v>1</v>
      </c>
      <c r="X472" s="20" t="str">
        <f>IF(ISBLANK(V472),"",IF(V472&gt;W472,"1",IF(V472&lt;W472,"2",IF(V472=W472,"X"))))</f>
        <v>X</v>
      </c>
      <c r="Y472" s="23" t="str">
        <f>COUNTIF(F472:J472, "W")&amp;COUNTIF(F472:J472, "d")&amp;COUNTIF(F472:J472, "l")</f>
        <v>203</v>
      </c>
      <c r="Z472" s="13" t="str">
        <f>COUNTIF(K472:O472, "W")&amp;COUNTIF(K472:O472, "d")&amp;COUNTIF(K472:O472, "l")</f>
        <v>122</v>
      </c>
      <c r="AA472" s="23" t="str">
        <f>_xlfn.CONCAT(Y472,"-",Z472)</f>
        <v>203-122</v>
      </c>
      <c r="AB472" s="15" t="str">
        <f>_xlfn.CONCAT(AA472,"…",TEXT(U472,"+00;-00;+00;"))</f>
        <v>203-122…+02</v>
      </c>
      <c r="AC472" s="23" t="str">
        <f>_xlfn.CONCAT(TEXT(P472,"+00;-00;+00;"),"…",TEXT(Q472,"+00;-00;+00;"))</f>
        <v>+03…+01</v>
      </c>
      <c r="AD472" s="14" t="str">
        <f>IF(X472="","?","")</f>
        <v/>
      </c>
      <c r="AE472" s="15" t="str">
        <f>_xlfn.CONCAT(AA472,"…",TEXT(P472,"+00;-00;+00;"),"...",TEXT(Q472,"+00;-00;+00;"))</f>
        <v>203-122…+03...+01</v>
      </c>
      <c r="AF472" s="13" t="str">
        <f>_xlfn.CONCAT(R472,"…",TEXT(P472,"+00;-00;+00;"),"...",TEXT(Q472,"+00;-00;+00;"))</f>
        <v>WWLLL…+03...+01</v>
      </c>
    </row>
    <row r="473" spans="1:32" x14ac:dyDescent="0.25">
      <c r="A473" s="13" t="s">
        <v>914</v>
      </c>
      <c r="B473" s="13" t="s">
        <v>117</v>
      </c>
      <c r="C473" s="14" t="s">
        <v>33</v>
      </c>
      <c r="D473" s="13" t="s">
        <v>149</v>
      </c>
      <c r="E473" s="13" t="s">
        <v>645</v>
      </c>
      <c r="F473" s="13" t="s">
        <v>31</v>
      </c>
      <c r="G473" s="13" t="s">
        <v>31</v>
      </c>
      <c r="H473" s="13" t="s">
        <v>29</v>
      </c>
      <c r="I473" s="13" t="s">
        <v>30</v>
      </c>
      <c r="J473" s="13" t="s">
        <v>30</v>
      </c>
      <c r="K473" s="13" t="s">
        <v>31</v>
      </c>
      <c r="L473" s="13" t="s">
        <v>29</v>
      </c>
      <c r="M473" s="13" t="s">
        <v>31</v>
      </c>
      <c r="N473" s="13" t="s">
        <v>31</v>
      </c>
      <c r="O473" s="13" t="s">
        <v>31</v>
      </c>
      <c r="P473" s="16">
        <v>-2</v>
      </c>
      <c r="Q473" s="16">
        <v>0</v>
      </c>
      <c r="R473" s="13" t="str">
        <f>_xlfn.CONCAT(F473,G473,H473,I473,J473)</f>
        <v>LLDWW</v>
      </c>
      <c r="S473" s="13" t="str">
        <f>_xlfn.CONCAT(K473,L473,M473,N473,O473)</f>
        <v>LDLLL</v>
      </c>
      <c r="T473" s="13" t="str">
        <f>_xlfn.CONCAT(R473,"***",S473)</f>
        <v>LLDWW***LDLLL</v>
      </c>
      <c r="U473" s="21">
        <f>(P473-Q473)</f>
        <v>-2</v>
      </c>
      <c r="V473" s="14">
        <v>2</v>
      </c>
      <c r="W473" s="14">
        <v>1</v>
      </c>
      <c r="X473" s="20" t="str">
        <f>IF(ISBLANK(V473),"",IF(V473&gt;W473,"1",IF(V473&lt;W473,"2",IF(V473=W473,"X"))))</f>
        <v>1</v>
      </c>
      <c r="Y473" s="23" t="str">
        <f>COUNTIF(F473:J473, "W")&amp;COUNTIF(F473:J473, "d")&amp;COUNTIF(F473:J473, "l")</f>
        <v>212</v>
      </c>
      <c r="Z473" s="13" t="str">
        <f>COUNTIF(K473:O473, "W")&amp;COUNTIF(K473:O473, "d")&amp;COUNTIF(K473:O473, "l")</f>
        <v>014</v>
      </c>
      <c r="AA473" s="23" t="str">
        <f>_xlfn.CONCAT(Y473,"-",Z473)</f>
        <v>212-014</v>
      </c>
      <c r="AB473" s="13" t="str">
        <f>_xlfn.CONCAT(AA473,"…",TEXT(U473,"+00;-00;+00;"))</f>
        <v>212-014…-02</v>
      </c>
      <c r="AC473" s="23" t="str">
        <f>_xlfn.CONCAT(TEXT(P473,"+00;-00;+00;"),"…",TEXT(Q473,"+00;-00;+00;"))</f>
        <v>-02…+00</v>
      </c>
      <c r="AD473" s="14" t="str">
        <f>IF(X473="","?","")</f>
        <v/>
      </c>
      <c r="AE473" s="15" t="str">
        <f>_xlfn.CONCAT(AA473,"…",TEXT(P473,"+00;-00;+00;"),"...",TEXT(Q473,"+00;-00;+00;"))</f>
        <v>212-014…-02...+00</v>
      </c>
      <c r="AF473" s="13" t="str">
        <f>_xlfn.CONCAT(R473,"…",TEXT(P473,"+00;-00;+00;"),"...",TEXT(Q473,"+00;-00;+00;"))</f>
        <v>LLDWW…-02...+00</v>
      </c>
    </row>
    <row r="474" spans="1:32" x14ac:dyDescent="0.25">
      <c r="A474" s="12" t="s">
        <v>914</v>
      </c>
      <c r="B474" s="13" t="s">
        <v>59</v>
      </c>
      <c r="C474" s="14">
        <v>1</v>
      </c>
      <c r="D474" s="13" t="s">
        <v>731</v>
      </c>
      <c r="E474" s="13" t="s">
        <v>721</v>
      </c>
      <c r="F474" s="15" t="s">
        <v>29</v>
      </c>
      <c r="G474" s="15" t="s">
        <v>30</v>
      </c>
      <c r="H474" s="15" t="s">
        <v>31</v>
      </c>
      <c r="I474" s="15" t="s">
        <v>30</v>
      </c>
      <c r="J474" s="15" t="s">
        <v>31</v>
      </c>
      <c r="K474" s="15" t="s">
        <v>30</v>
      </c>
      <c r="L474" s="15" t="s">
        <v>31</v>
      </c>
      <c r="M474" s="15" t="s">
        <v>29</v>
      </c>
      <c r="N474" s="15" t="s">
        <v>30</v>
      </c>
      <c r="O474" s="15" t="s">
        <v>30</v>
      </c>
      <c r="P474" s="18">
        <v>-5</v>
      </c>
      <c r="Q474" s="18">
        <v>0</v>
      </c>
      <c r="R474" s="15" t="str">
        <f>_xlfn.CONCAT(F474,G474,H474,I474,J474)</f>
        <v>DWLWL</v>
      </c>
      <c r="S474" s="13" t="str">
        <f>_xlfn.CONCAT(K474,L474,M474,N474,O474)</f>
        <v>WLDWW</v>
      </c>
      <c r="T474" s="13" t="str">
        <f>_xlfn.CONCAT(R474,"***",S474)</f>
        <v>DWLWL***WLDWW</v>
      </c>
      <c r="U474" s="19">
        <f>(P474-Q474)</f>
        <v>-5</v>
      </c>
      <c r="V474" s="14">
        <v>0</v>
      </c>
      <c r="W474" s="14">
        <v>1</v>
      </c>
      <c r="X474" s="20" t="str">
        <f>IF(ISBLANK(V474),"",IF(V474&gt;W474,"1",IF(V474&lt;W474,"2",IF(V474=W474,"X"))))</f>
        <v>2</v>
      </c>
      <c r="Y474" s="23" t="str">
        <f>COUNTIF(F474:J474, "W")&amp;COUNTIF(F474:J474, "d")&amp;COUNTIF(F474:J474, "l")</f>
        <v>212</v>
      </c>
      <c r="Z474" s="13" t="str">
        <f>COUNTIF(K474:O474, "W")&amp;COUNTIF(K474:O474, "d")&amp;COUNTIF(K474:O474, "l")</f>
        <v>311</v>
      </c>
      <c r="AA474" s="23" t="str">
        <f>_xlfn.CONCAT(Y474,"-",Z474)</f>
        <v>212-311</v>
      </c>
      <c r="AB474" s="15" t="str">
        <f>_xlfn.CONCAT(AA474,"…",TEXT(U474,"+00;-00;+00;"))</f>
        <v>212-311…-05</v>
      </c>
      <c r="AC474" s="23" t="str">
        <f>_xlfn.CONCAT(TEXT(P474,"+00;-00;+00;"),"…",TEXT(Q474,"+00;-00;+00;"))</f>
        <v>-05…+00</v>
      </c>
      <c r="AD474" s="14" t="str">
        <f>IF(X474="","?","")</f>
        <v/>
      </c>
      <c r="AE474" s="15" t="str">
        <f>_xlfn.CONCAT(AA474,"…",TEXT(P474,"+00;-00;+00;"),"...",TEXT(Q474,"+00;-00;+00;"))</f>
        <v>212-311…-05...+00</v>
      </c>
      <c r="AF474" s="13" t="str">
        <f>_xlfn.CONCAT(R474,"…",TEXT(P474,"+00;-00;+00;"),"...",TEXT(Q474,"+00;-00;+00;"))</f>
        <v>DWLWL…-05...+00</v>
      </c>
    </row>
    <row r="475" spans="1:32" x14ac:dyDescent="0.25">
      <c r="A475" s="12" t="s">
        <v>914</v>
      </c>
      <c r="B475" s="13" t="s">
        <v>208</v>
      </c>
      <c r="C475" s="14">
        <v>3</v>
      </c>
      <c r="D475" s="13" t="s">
        <v>1038</v>
      </c>
      <c r="E475" s="13" t="s">
        <v>1039</v>
      </c>
      <c r="F475" s="15" t="s">
        <v>29</v>
      </c>
      <c r="G475" s="15" t="s">
        <v>30</v>
      </c>
      <c r="H475" s="15" t="s">
        <v>29</v>
      </c>
      <c r="I475" s="15" t="s">
        <v>31</v>
      </c>
      <c r="J475" s="15" t="s">
        <v>30</v>
      </c>
      <c r="K475" s="15" t="s">
        <v>30</v>
      </c>
      <c r="L475" s="15" t="s">
        <v>29</v>
      </c>
      <c r="M475" s="15" t="s">
        <v>31</v>
      </c>
      <c r="N475" s="15" t="s">
        <v>31</v>
      </c>
      <c r="O475" s="15" t="s">
        <v>29</v>
      </c>
      <c r="P475" s="18">
        <v>2</v>
      </c>
      <c r="Q475" s="18">
        <v>-11</v>
      </c>
      <c r="R475" s="15" t="str">
        <f>_xlfn.CONCAT(F475,G475,H475,I475,J475)</f>
        <v>DWDLW</v>
      </c>
      <c r="S475" s="13" t="str">
        <f>_xlfn.CONCAT(K475,L475,M475,N475,O475)</f>
        <v>WDLLD</v>
      </c>
      <c r="T475" s="13" t="str">
        <f>_xlfn.CONCAT(R475,"***",S475)</f>
        <v>DWDLW***WDLLD</v>
      </c>
      <c r="U475" s="19">
        <f>(P475-Q475)</f>
        <v>13</v>
      </c>
      <c r="V475" s="14">
        <v>0</v>
      </c>
      <c r="W475" s="14">
        <v>0</v>
      </c>
      <c r="X475" s="20" t="str">
        <f>IF(ISBLANK(V475),"",IF(V475&gt;W475,"1",IF(V475&lt;W475,"2",IF(V475=W475,"X"))))</f>
        <v>X</v>
      </c>
      <c r="Y475" s="23" t="str">
        <f>COUNTIF(F475:J475, "W")&amp;COUNTIF(F475:J475, "d")&amp;COUNTIF(F475:J475, "l")</f>
        <v>221</v>
      </c>
      <c r="Z475" s="13" t="str">
        <f>COUNTIF(K475:O475, "W")&amp;COUNTIF(K475:O475, "d")&amp;COUNTIF(K475:O475, "l")</f>
        <v>122</v>
      </c>
      <c r="AA475" s="23" t="str">
        <f>_xlfn.CONCAT(Y475,"-",Z475)</f>
        <v>221-122</v>
      </c>
      <c r="AB475" s="15" t="str">
        <f>_xlfn.CONCAT(AA475,"…",TEXT(U475,"+00;-00;+00;"))</f>
        <v>221-122…+13</v>
      </c>
      <c r="AC475" s="23" t="str">
        <f>_xlfn.CONCAT(TEXT(P475,"+00;-00;+00;"),"…",TEXT(Q475,"+00;-00;+00;"))</f>
        <v>+02…-11</v>
      </c>
      <c r="AD475" s="14" t="str">
        <f>IF(X475="","?","")</f>
        <v/>
      </c>
      <c r="AE475" s="15" t="str">
        <f>_xlfn.CONCAT(AA475,"…",TEXT(P475,"+00;-00;+00;"),"...",TEXT(Q475,"+00;-00;+00;"))</f>
        <v>221-122…+02...-11</v>
      </c>
      <c r="AF475" s="13" t="str">
        <f>_xlfn.CONCAT(R475,"…",TEXT(P475,"+00;-00;+00;"),"...",TEXT(Q475,"+00;-00;+00;"))</f>
        <v>DWDLW…+02...-11</v>
      </c>
    </row>
    <row r="476" spans="1:32" x14ac:dyDescent="0.25">
      <c r="A476" s="12" t="s">
        <v>914</v>
      </c>
      <c r="B476" s="13" t="s">
        <v>339</v>
      </c>
      <c r="C476" s="14">
        <v>1</v>
      </c>
      <c r="D476" s="13" t="s">
        <v>356</v>
      </c>
      <c r="E476" s="13" t="s">
        <v>349</v>
      </c>
      <c r="F476" s="15" t="s">
        <v>30</v>
      </c>
      <c r="G476" s="15" t="s">
        <v>31</v>
      </c>
      <c r="H476" s="15" t="s">
        <v>31</v>
      </c>
      <c r="I476" s="15" t="s">
        <v>30</v>
      </c>
      <c r="J476" s="15" t="s">
        <v>30</v>
      </c>
      <c r="K476" s="15" t="s">
        <v>30</v>
      </c>
      <c r="L476" s="15" t="s">
        <v>31</v>
      </c>
      <c r="M476" s="15" t="s">
        <v>31</v>
      </c>
      <c r="N476" s="15" t="s">
        <v>31</v>
      </c>
      <c r="O476" s="15" t="s">
        <v>30</v>
      </c>
      <c r="P476" s="18">
        <v>-10</v>
      </c>
      <c r="Q476" s="18">
        <v>-2</v>
      </c>
      <c r="R476" s="15" t="str">
        <f>_xlfn.CONCAT(F476,G476,H476,I476,J476)</f>
        <v>WLLWW</v>
      </c>
      <c r="S476" s="13" t="str">
        <f>_xlfn.CONCAT(K476,L476,M476,N476,O476)</f>
        <v>WLLLW</v>
      </c>
      <c r="T476" s="13" t="str">
        <f>_xlfn.CONCAT(R476,"***",S476)</f>
        <v>WLLWW***WLLLW</v>
      </c>
      <c r="U476" s="19">
        <f>(P476-Q476)</f>
        <v>-8</v>
      </c>
      <c r="V476" s="14">
        <v>4</v>
      </c>
      <c r="W476" s="14">
        <v>2</v>
      </c>
      <c r="X476" s="20" t="str">
        <f>IF(ISBLANK(V476),"",IF(V476&gt;W476,"1",IF(V476&lt;W476,"2",IF(V476=W476,"X"))))</f>
        <v>1</v>
      </c>
      <c r="Y476" s="23" t="str">
        <f>COUNTIF(F476:J476, "W")&amp;COUNTIF(F476:J476, "d")&amp;COUNTIF(F476:J476, "l")</f>
        <v>302</v>
      </c>
      <c r="Z476" s="13" t="str">
        <f>COUNTIF(K476:O476, "W")&amp;COUNTIF(K476:O476, "d")&amp;COUNTIF(K476:O476, "l")</f>
        <v>203</v>
      </c>
      <c r="AA476" s="23" t="str">
        <f>_xlfn.CONCAT(Y476,"-",Z476)</f>
        <v>302-203</v>
      </c>
      <c r="AB476" s="15" t="str">
        <f>_xlfn.CONCAT(AA476,"…",TEXT(U476,"+00;-00;+00;"))</f>
        <v>302-203…-08</v>
      </c>
      <c r="AC476" s="23" t="str">
        <f>_xlfn.CONCAT(TEXT(P476,"+00;-00;+00;"),"…",TEXT(Q476,"+00;-00;+00;"))</f>
        <v>-10…-02</v>
      </c>
      <c r="AD476" s="14" t="str">
        <f>IF(X476="","?","")</f>
        <v/>
      </c>
      <c r="AE476" s="15" t="str">
        <f>_xlfn.CONCAT(AA476,"…",TEXT(P476,"+00;-00;+00;"),"...",TEXT(Q476,"+00;-00;+00;"))</f>
        <v>302-203…-10...-02</v>
      </c>
      <c r="AF476" s="13" t="str">
        <f>_xlfn.CONCAT(R476,"…",TEXT(P476,"+00;-00;+00;"),"...",TEXT(Q476,"+00;-00;+00;"))</f>
        <v>WLLWW…-10...-02</v>
      </c>
    </row>
    <row r="477" spans="1:32" x14ac:dyDescent="0.25">
      <c r="A477" s="13" t="s">
        <v>914</v>
      </c>
      <c r="B477" s="13" t="s">
        <v>117</v>
      </c>
      <c r="C477" s="14" t="s">
        <v>33</v>
      </c>
      <c r="D477" s="13" t="s">
        <v>918</v>
      </c>
      <c r="E477" s="13" t="s">
        <v>156</v>
      </c>
      <c r="F477" s="13" t="s">
        <v>31</v>
      </c>
      <c r="G477" s="13" t="s">
        <v>30</v>
      </c>
      <c r="H477" s="13" t="s">
        <v>30</v>
      </c>
      <c r="I477" s="13" t="s">
        <v>30</v>
      </c>
      <c r="J477" s="13" t="s">
        <v>31</v>
      </c>
      <c r="K477" s="13" t="s">
        <v>30</v>
      </c>
      <c r="L477" s="13" t="s">
        <v>29</v>
      </c>
      <c r="M477" s="13" t="s">
        <v>31</v>
      </c>
      <c r="N477" s="13" t="s">
        <v>30</v>
      </c>
      <c r="O477" s="13" t="s">
        <v>29</v>
      </c>
      <c r="P477" s="16">
        <v>-3</v>
      </c>
      <c r="Q477" s="16">
        <v>-7</v>
      </c>
      <c r="R477" s="13" t="str">
        <f>_xlfn.CONCAT(F477,G477,H477,I477,J477)</f>
        <v>LWWWL</v>
      </c>
      <c r="S477" s="13" t="str">
        <f>_xlfn.CONCAT(K477,L477,M477,N477,O477)</f>
        <v>WDLWD</v>
      </c>
      <c r="T477" s="13" t="str">
        <f>_xlfn.CONCAT(R477,"***",S477)</f>
        <v>LWWWL***WDLWD</v>
      </c>
      <c r="U477" s="21">
        <f>(P477-Q477)</f>
        <v>4</v>
      </c>
      <c r="V477" s="14">
        <v>2</v>
      </c>
      <c r="W477" s="14">
        <v>0</v>
      </c>
      <c r="X477" s="20" t="str">
        <f>IF(ISBLANK(V477),"",IF(V477&gt;W477,"1",IF(V477&lt;W477,"2",IF(V477=W477,"X"))))</f>
        <v>1</v>
      </c>
      <c r="Y477" s="23" t="str">
        <f>COUNTIF(F477:J477, "W")&amp;COUNTIF(F477:J477, "d")&amp;COUNTIF(F477:J477, "l")</f>
        <v>302</v>
      </c>
      <c r="Z477" s="13" t="str">
        <f>COUNTIF(K477:O477, "W")&amp;COUNTIF(K477:O477, "d")&amp;COUNTIF(K477:O477, "l")</f>
        <v>221</v>
      </c>
      <c r="AA477" s="23" t="str">
        <f>_xlfn.CONCAT(Y477,"-",Z477)</f>
        <v>302-221</v>
      </c>
      <c r="AB477" s="13" t="str">
        <f>_xlfn.CONCAT(AA477,"…",TEXT(U477,"+00;-00;+00;"))</f>
        <v>302-221…+04</v>
      </c>
      <c r="AC477" s="23" t="str">
        <f>_xlfn.CONCAT(TEXT(P477,"+00;-00;+00;"),"…",TEXT(Q477,"+00;-00;+00;"))</f>
        <v>-03…-07</v>
      </c>
      <c r="AD477" s="14" t="str">
        <f>IF(X477="","?","")</f>
        <v/>
      </c>
      <c r="AE477" s="15" t="str">
        <f>_xlfn.CONCAT(AA477,"…",TEXT(P477,"+00;-00;+00;"),"...",TEXT(Q477,"+00;-00;+00;"))</f>
        <v>302-221…-03...-07</v>
      </c>
      <c r="AF477" s="13" t="str">
        <f>_xlfn.CONCAT(R477,"…",TEXT(P477,"+00;-00;+00;"),"...",TEXT(Q477,"+00;-00;+00;"))</f>
        <v>LWWWL…-03...-07</v>
      </c>
    </row>
    <row r="478" spans="1:32" x14ac:dyDescent="0.25">
      <c r="A478" s="13" t="s">
        <v>914</v>
      </c>
      <c r="B478" s="13" t="s">
        <v>117</v>
      </c>
      <c r="C478" s="14" t="s">
        <v>33</v>
      </c>
      <c r="D478" s="13" t="s">
        <v>670</v>
      </c>
      <c r="E478" s="13" t="s">
        <v>667</v>
      </c>
      <c r="F478" s="13" t="s">
        <v>30</v>
      </c>
      <c r="G478" s="13" t="s">
        <v>29</v>
      </c>
      <c r="H478" s="13" t="s">
        <v>31</v>
      </c>
      <c r="I478" s="13" t="s">
        <v>30</v>
      </c>
      <c r="J478" s="13" t="s">
        <v>30</v>
      </c>
      <c r="K478" s="13" t="s">
        <v>31</v>
      </c>
      <c r="L478" s="13" t="s">
        <v>31</v>
      </c>
      <c r="M478" s="13" t="s">
        <v>30</v>
      </c>
      <c r="N478" s="13" t="s">
        <v>29</v>
      </c>
      <c r="O478" s="13" t="s">
        <v>29</v>
      </c>
      <c r="P478" s="16">
        <v>0</v>
      </c>
      <c r="Q478" s="16">
        <v>1</v>
      </c>
      <c r="R478" s="13" t="str">
        <f>_xlfn.CONCAT(F478,G478,H478,I478,J478)</f>
        <v>WDLWW</v>
      </c>
      <c r="S478" s="13" t="str">
        <f>_xlfn.CONCAT(K478,L478,M478,N478,O478)</f>
        <v>LLWDD</v>
      </c>
      <c r="T478" s="13" t="str">
        <f>_xlfn.CONCAT(R478,"***",S478)</f>
        <v>WDLWW***LLWDD</v>
      </c>
      <c r="U478" s="21">
        <f>(P478-Q478)</f>
        <v>-1</v>
      </c>
      <c r="V478" s="14">
        <v>2</v>
      </c>
      <c r="W478" s="14">
        <v>0</v>
      </c>
      <c r="X478" s="20" t="str">
        <f>IF(ISBLANK(V478),"",IF(V478&gt;W478,"1",IF(V478&lt;W478,"2",IF(V478=W478,"X"))))</f>
        <v>1</v>
      </c>
      <c r="Y478" s="23" t="str">
        <f>COUNTIF(F478:J478, "W")&amp;COUNTIF(F478:J478, "d")&amp;COUNTIF(F478:J478, "l")</f>
        <v>311</v>
      </c>
      <c r="Z478" s="13" t="str">
        <f>COUNTIF(K478:O478, "W")&amp;COUNTIF(K478:O478, "d")&amp;COUNTIF(K478:O478, "l")</f>
        <v>122</v>
      </c>
      <c r="AA478" s="23" t="str">
        <f>_xlfn.CONCAT(Y478,"-",Z478)</f>
        <v>311-122</v>
      </c>
      <c r="AB478" s="13" t="str">
        <f>_xlfn.CONCAT(AA478,"…",TEXT(U478,"+00;-00;+00;"))</f>
        <v>311-122…-01</v>
      </c>
      <c r="AC478" s="23" t="str">
        <f>_xlfn.CONCAT(TEXT(P478,"+00;-00;+00;"),"…",TEXT(Q478,"+00;-00;+00;"))</f>
        <v>+00…+01</v>
      </c>
      <c r="AD478" s="14" t="str">
        <f>IF(X478="","?","")</f>
        <v/>
      </c>
      <c r="AE478" s="15" t="str">
        <f>_xlfn.CONCAT(AA478,"…",TEXT(P478,"+00;-00;+00;"),"...",TEXT(Q478,"+00;-00;+00;"))</f>
        <v>311-122…+00...+01</v>
      </c>
      <c r="AF478" s="13" t="str">
        <f>_xlfn.CONCAT(R478,"…",TEXT(P478,"+00;-00;+00;"),"...",TEXT(Q478,"+00;-00;+00;"))</f>
        <v>WDLWW…+00...+01</v>
      </c>
    </row>
    <row r="479" spans="1:32" x14ac:dyDescent="0.25">
      <c r="A479" s="12" t="s">
        <v>914</v>
      </c>
      <c r="B479" s="13" t="s">
        <v>208</v>
      </c>
      <c r="C479" s="14">
        <v>3</v>
      </c>
      <c r="D479" s="13" t="s">
        <v>1034</v>
      </c>
      <c r="E479" s="13" t="s">
        <v>1035</v>
      </c>
      <c r="F479" s="15" t="s">
        <v>30</v>
      </c>
      <c r="G479" s="15" t="s">
        <v>30</v>
      </c>
      <c r="H479" s="15" t="s">
        <v>29</v>
      </c>
      <c r="I479" s="15" t="s">
        <v>29</v>
      </c>
      <c r="J479" s="15" t="s">
        <v>30</v>
      </c>
      <c r="K479" s="15" t="s">
        <v>29</v>
      </c>
      <c r="L479" s="15" t="s">
        <v>31</v>
      </c>
      <c r="M479" s="15" t="s">
        <v>31</v>
      </c>
      <c r="N479" s="15" t="s">
        <v>29</v>
      </c>
      <c r="O479" s="15" t="s">
        <v>31</v>
      </c>
      <c r="P479" s="18">
        <v>4</v>
      </c>
      <c r="Q479" s="18">
        <v>-12</v>
      </c>
      <c r="R479" s="15" t="str">
        <f>_xlfn.CONCAT(F479,G479,H479,I479,J479)</f>
        <v>WWDDW</v>
      </c>
      <c r="S479" s="13" t="str">
        <f>_xlfn.CONCAT(K479,L479,M479,N479,O479)</f>
        <v>DLLDL</v>
      </c>
      <c r="T479" s="13" t="str">
        <f>_xlfn.CONCAT(R479,"***",S479)</f>
        <v>WWDDW***DLLDL</v>
      </c>
      <c r="U479" s="19">
        <f>(P479-Q479)</f>
        <v>16</v>
      </c>
      <c r="V479" s="14">
        <v>3</v>
      </c>
      <c r="W479" s="14">
        <v>0</v>
      </c>
      <c r="X479" s="20" t="str">
        <f>IF(ISBLANK(V479),"",IF(V479&gt;W479,"1",IF(V479&lt;W479,"2",IF(V479=W479,"X"))))</f>
        <v>1</v>
      </c>
      <c r="Y479" s="23" t="str">
        <f>COUNTIF(F479:J479, "W")&amp;COUNTIF(F479:J479, "d")&amp;COUNTIF(F479:J479, "l")</f>
        <v>320</v>
      </c>
      <c r="Z479" s="13" t="str">
        <f>COUNTIF(K479:O479, "W")&amp;COUNTIF(K479:O479, "d")&amp;COUNTIF(K479:O479, "l")</f>
        <v>023</v>
      </c>
      <c r="AA479" s="23" t="str">
        <f>_xlfn.CONCAT(Y479,"-",Z479)</f>
        <v>320-023</v>
      </c>
      <c r="AB479" s="15" t="str">
        <f>_xlfn.CONCAT(AA479,"…",TEXT(U479,"+00;-00;+00;"))</f>
        <v>320-023…+16</v>
      </c>
      <c r="AC479" s="23" t="str">
        <f>_xlfn.CONCAT(TEXT(P479,"+00;-00;+00;"),"…",TEXT(Q479,"+00;-00;+00;"))</f>
        <v>+04…-12</v>
      </c>
      <c r="AD479" s="14" t="str">
        <f>IF(X479="","?","")</f>
        <v/>
      </c>
      <c r="AE479" s="15" t="str">
        <f>_xlfn.CONCAT(AA479,"…",TEXT(P479,"+00;-00;+00;"),"...",TEXT(Q479,"+00;-00;+00;"))</f>
        <v>320-023…+04...-12</v>
      </c>
      <c r="AF479" s="13" t="str">
        <f>_xlfn.CONCAT(R479,"…",TEXT(P479,"+00;-00;+00;"),"...",TEXT(Q479,"+00;-00;+00;"))</f>
        <v>WWDDW…+04...-12</v>
      </c>
    </row>
    <row r="480" spans="1:32" x14ac:dyDescent="0.25">
      <c r="A480" s="13" t="s">
        <v>914</v>
      </c>
      <c r="B480" s="13" t="s">
        <v>117</v>
      </c>
      <c r="C480" s="14" t="s">
        <v>33</v>
      </c>
      <c r="D480" s="13" t="s">
        <v>917</v>
      </c>
      <c r="E480" s="13" t="s">
        <v>674</v>
      </c>
      <c r="F480" s="13" t="s">
        <v>29</v>
      </c>
      <c r="G480" s="13" t="s">
        <v>30</v>
      </c>
      <c r="H480" s="13" t="s">
        <v>30</v>
      </c>
      <c r="I480" s="13" t="s">
        <v>30</v>
      </c>
      <c r="J480" s="13" t="s">
        <v>30</v>
      </c>
      <c r="K480" s="13" t="s">
        <v>30</v>
      </c>
      <c r="L480" s="13" t="s">
        <v>30</v>
      </c>
      <c r="M480" s="13" t="s">
        <v>30</v>
      </c>
      <c r="N480" s="13" t="s">
        <v>30</v>
      </c>
      <c r="O480" s="13" t="s">
        <v>30</v>
      </c>
      <c r="P480" s="16">
        <v>9</v>
      </c>
      <c r="Q480" s="16">
        <v>13</v>
      </c>
      <c r="R480" s="13" t="str">
        <f>_xlfn.CONCAT(F480,G480,H480,I480,J480)</f>
        <v>DWWWW</v>
      </c>
      <c r="S480" s="13" t="str">
        <f>_xlfn.CONCAT(K480,L480,M480,N480,O480)</f>
        <v>WWWWW</v>
      </c>
      <c r="T480" s="13" t="str">
        <f>_xlfn.CONCAT(R480,"***",S480)</f>
        <v>DWWWW***WWWWW</v>
      </c>
      <c r="U480" s="21">
        <f>(P480-Q480)</f>
        <v>-4</v>
      </c>
      <c r="V480" s="14">
        <v>1</v>
      </c>
      <c r="W480" s="14">
        <v>0</v>
      </c>
      <c r="X480" s="20" t="str">
        <f>IF(ISBLANK(V480),"",IF(V480&gt;W480,"1",IF(V480&lt;W480,"2",IF(V480=W480,"X"))))</f>
        <v>1</v>
      </c>
      <c r="Y480" s="23" t="str">
        <f>COUNTIF(F480:J480, "W")&amp;COUNTIF(F480:J480, "d")&amp;COUNTIF(F480:J480, "l")</f>
        <v>410</v>
      </c>
      <c r="Z480" s="13" t="str">
        <f>COUNTIF(K480:O480, "W")&amp;COUNTIF(K480:O480, "d")&amp;COUNTIF(K480:O480, "l")</f>
        <v>500</v>
      </c>
      <c r="AA480" s="23" t="str">
        <f>_xlfn.CONCAT(Y480,"-",Z480)</f>
        <v>410-500</v>
      </c>
      <c r="AB480" s="13" t="str">
        <f>_xlfn.CONCAT(AA480,"…",TEXT(U480,"+00;-00;+00;"))</f>
        <v>410-500…-04</v>
      </c>
      <c r="AC480" s="23" t="str">
        <f>_xlfn.CONCAT(TEXT(P480,"+00;-00;+00;"),"…",TEXT(Q480,"+00;-00;+00;"))</f>
        <v>+09…+13</v>
      </c>
      <c r="AD480" s="14" t="str">
        <f>IF(X480="","?","")</f>
        <v/>
      </c>
      <c r="AE480" s="15" t="str">
        <f>_xlfn.CONCAT(AA480,"…",TEXT(P480,"+00;-00;+00;"),"...",TEXT(Q480,"+00;-00;+00;"))</f>
        <v>410-500…+09...+13</v>
      </c>
      <c r="AF480" s="13" t="str">
        <f>_xlfn.CONCAT(R480,"…",TEXT(P480,"+00;-00;+00;"),"...",TEXT(Q480,"+00;-00;+00;"))</f>
        <v>DWWWW…+09...+13</v>
      </c>
    </row>
    <row r="481" spans="1:32" x14ac:dyDescent="0.25">
      <c r="A481" s="12" t="s">
        <v>901</v>
      </c>
      <c r="B481" s="13" t="s">
        <v>117</v>
      </c>
      <c r="C481" s="14" t="s">
        <v>0</v>
      </c>
      <c r="D481" s="13" t="s">
        <v>639</v>
      </c>
      <c r="E481" s="13" t="s">
        <v>127</v>
      </c>
      <c r="F481" s="15" t="s">
        <v>29</v>
      </c>
      <c r="G481" s="15" t="s">
        <v>29</v>
      </c>
      <c r="H481" s="15" t="s">
        <v>31</v>
      </c>
      <c r="I481" s="15" t="s">
        <v>31</v>
      </c>
      <c r="J481" s="15" t="s">
        <v>31</v>
      </c>
      <c r="K481" s="15" t="s">
        <v>30</v>
      </c>
      <c r="L481" s="15" t="s">
        <v>31</v>
      </c>
      <c r="M481" s="15" t="s">
        <v>29</v>
      </c>
      <c r="N481" s="15" t="s">
        <v>31</v>
      </c>
      <c r="O481" s="15" t="s">
        <v>30</v>
      </c>
      <c r="P481" s="18">
        <v>-9</v>
      </c>
      <c r="Q481" s="18">
        <v>0</v>
      </c>
      <c r="R481" s="15" t="str">
        <f>_xlfn.CONCAT(F481,G481,H481,I481,J481)</f>
        <v>DDLLL</v>
      </c>
      <c r="S481" s="13" t="str">
        <f>_xlfn.CONCAT(K481,L481,M481,N481,O481)</f>
        <v>WLDLW</v>
      </c>
      <c r="T481" s="13" t="str">
        <f>_xlfn.CONCAT(R481,"***",S481)</f>
        <v>DDLLL***WLDLW</v>
      </c>
      <c r="U481" s="19">
        <f>(P481-Q481)</f>
        <v>-9</v>
      </c>
      <c r="V481" s="14">
        <v>1</v>
      </c>
      <c r="W481" s="14">
        <v>1</v>
      </c>
      <c r="X481" s="20" t="str">
        <f>IF(ISBLANK(V481),"",IF(V481&gt;W481,"1",IF(V481&lt;W481,"2",IF(V481=W481,"X"))))</f>
        <v>X</v>
      </c>
      <c r="Y481" s="23" t="str">
        <f>COUNTIF(F481:J481, "W")&amp;COUNTIF(F481:J481, "d")&amp;COUNTIF(F481:J481, "l")</f>
        <v>023</v>
      </c>
      <c r="Z481" s="13" t="str">
        <f>COUNTIF(K481:O481, "W")&amp;COUNTIF(K481:O481, "d")&amp;COUNTIF(K481:O481, "l")</f>
        <v>212</v>
      </c>
      <c r="AA481" s="23" t="str">
        <f>_xlfn.CONCAT(Y481,"-",Z481)</f>
        <v>023-212</v>
      </c>
      <c r="AB481" s="15" t="str">
        <f>_xlfn.CONCAT(AA481,"…",TEXT(U481,"+00;-00;+00;"))</f>
        <v>023-212…-09</v>
      </c>
      <c r="AC481" s="23" t="str">
        <f>_xlfn.CONCAT(TEXT(P481,"+00;-00;+00;"),"…",TEXT(Q481,"+00;-00;+00;"))</f>
        <v>-09…+00</v>
      </c>
      <c r="AD481" s="14" t="str">
        <f>IF(X481="","?","")</f>
        <v/>
      </c>
      <c r="AE481" s="15" t="str">
        <f>_xlfn.CONCAT(AA481,"…",TEXT(P481,"+00;-00;+00;"),"...",TEXT(Q481,"+00;-00;+00;"))</f>
        <v>023-212…-09...+00</v>
      </c>
      <c r="AF481" s="13" t="str">
        <f>_xlfn.CONCAT(R481,"…",TEXT(P481,"+00;-00;+00;"),"...",TEXT(Q481,"+00;-00;+00;"))</f>
        <v>DDLLL…-09...+00</v>
      </c>
    </row>
    <row r="482" spans="1:32" x14ac:dyDescent="0.25">
      <c r="A482" s="13" t="s">
        <v>901</v>
      </c>
      <c r="B482" s="13" t="s">
        <v>414</v>
      </c>
      <c r="C482" s="14">
        <v>1</v>
      </c>
      <c r="D482" s="13" t="s">
        <v>837</v>
      </c>
      <c r="E482" s="13" t="s">
        <v>909</v>
      </c>
      <c r="F482" s="13" t="s">
        <v>30</v>
      </c>
      <c r="G482" s="13" t="s">
        <v>31</v>
      </c>
      <c r="H482" s="13" t="s">
        <v>29</v>
      </c>
      <c r="I482" s="13" t="s">
        <v>31</v>
      </c>
      <c r="J482" s="13" t="s">
        <v>30</v>
      </c>
      <c r="K482" s="13" t="s">
        <v>30</v>
      </c>
      <c r="L482" s="13" t="s">
        <v>31</v>
      </c>
      <c r="M482" s="13" t="s">
        <v>31</v>
      </c>
      <c r="N482" s="13" t="s">
        <v>30</v>
      </c>
      <c r="O482" s="13" t="s">
        <v>30</v>
      </c>
      <c r="P482" s="16">
        <v>1</v>
      </c>
      <c r="Q482" s="16">
        <v>-2</v>
      </c>
      <c r="R482" s="13" t="str">
        <f>_xlfn.CONCAT(F482,G482,H482,I482,J482)</f>
        <v>WLDLW</v>
      </c>
      <c r="S482" s="13" t="str">
        <f>_xlfn.CONCAT(K482,L482,M482,N482,O482)</f>
        <v>WLLWW</v>
      </c>
      <c r="T482" s="13" t="str">
        <f>_xlfn.CONCAT(R482,"***",S482)</f>
        <v>WLDLW***WLLWW</v>
      </c>
      <c r="U482" s="21">
        <f>(P482-Q482)</f>
        <v>3</v>
      </c>
      <c r="V482" s="14">
        <v>1</v>
      </c>
      <c r="W482" s="14">
        <v>1</v>
      </c>
      <c r="X482" s="20" t="str">
        <f>IF(ISBLANK(V482),"",IF(V482&gt;W482,"1",IF(V482&lt;W482,"2",IF(V482=W482,"X"))))</f>
        <v>X</v>
      </c>
      <c r="Y482" s="23" t="str">
        <f>COUNTIF(F482:J482, "W")&amp;COUNTIF(F482:J482, "d")&amp;COUNTIF(F482:J482, "l")</f>
        <v>212</v>
      </c>
      <c r="Z482" s="13" t="str">
        <f>COUNTIF(K482:O482, "W")&amp;COUNTIF(K482:O482, "d")&amp;COUNTIF(K482:O482, "l")</f>
        <v>302</v>
      </c>
      <c r="AA482" s="23" t="str">
        <f>_xlfn.CONCAT(Y482,"-",Z482)</f>
        <v>212-302</v>
      </c>
      <c r="AB482" s="13" t="str">
        <f>_xlfn.CONCAT(AA482,"…",TEXT(U482,"+00;-00;+00;"))</f>
        <v>212-302…+03</v>
      </c>
      <c r="AC482" s="23" t="str">
        <f>_xlfn.CONCAT(TEXT(P482,"+00;-00;+00;"),"…",TEXT(Q482,"+00;-00;+00;"))</f>
        <v>+01…-02</v>
      </c>
      <c r="AD482" s="14" t="str">
        <f>IF(X482="","?","")</f>
        <v/>
      </c>
      <c r="AE482" s="15" t="str">
        <f>_xlfn.CONCAT(AA482,"…",TEXT(P482,"+00;-00;+00;"),"...",TEXT(Q482,"+00;-00;+00;"))</f>
        <v>212-302…+01...-02</v>
      </c>
      <c r="AF482" s="13" t="str">
        <f>_xlfn.CONCAT(R482,"…",TEXT(P482,"+00;-00;+00;"),"...",TEXT(Q482,"+00;-00;+00;"))</f>
        <v>WLDLW…+01...-02</v>
      </c>
    </row>
    <row r="483" spans="1:32" x14ac:dyDescent="0.25">
      <c r="A483" s="12" t="s">
        <v>901</v>
      </c>
      <c r="B483" s="13" t="s">
        <v>250</v>
      </c>
      <c r="C483" s="14">
        <v>2</v>
      </c>
      <c r="D483" s="13" t="s">
        <v>863</v>
      </c>
      <c r="E483" s="13" t="s">
        <v>864</v>
      </c>
      <c r="F483" s="15" t="s">
        <v>30</v>
      </c>
      <c r="G483" s="15" t="s">
        <v>30</v>
      </c>
      <c r="H483" s="15" t="s">
        <v>30</v>
      </c>
      <c r="I483" s="15" t="s">
        <v>31</v>
      </c>
      <c r="J483" s="15" t="s">
        <v>29</v>
      </c>
      <c r="K483" s="15" t="s">
        <v>30</v>
      </c>
      <c r="L483" s="15" t="s">
        <v>30</v>
      </c>
      <c r="M483" s="15" t="s">
        <v>30</v>
      </c>
      <c r="N483" s="15" t="s">
        <v>29</v>
      </c>
      <c r="O483" s="15" t="s">
        <v>29</v>
      </c>
      <c r="P483" s="18">
        <v>2</v>
      </c>
      <c r="Q483" s="18">
        <v>12</v>
      </c>
      <c r="R483" s="15" t="str">
        <f>_xlfn.CONCAT(F483,G483,H483,I483,J483)</f>
        <v>WWWLD</v>
      </c>
      <c r="S483" s="13" t="str">
        <f>_xlfn.CONCAT(K483,L483,M483,N483,O483)</f>
        <v>WWWDD</v>
      </c>
      <c r="T483" s="13" t="str">
        <f>_xlfn.CONCAT(R483,"***",S483)</f>
        <v>WWWLD***WWWDD</v>
      </c>
      <c r="U483" s="19">
        <f>(P483-Q483)</f>
        <v>-10</v>
      </c>
      <c r="V483" s="14">
        <v>2</v>
      </c>
      <c r="W483" s="14">
        <v>3</v>
      </c>
      <c r="X483" s="20" t="str">
        <f>IF(ISBLANK(V483),"",IF(V483&gt;W483,"1",IF(V483&lt;W483,"2",IF(V483=W483,"X"))))</f>
        <v>2</v>
      </c>
      <c r="Y483" s="23" t="str">
        <f>COUNTIF(F483:J483, "W")&amp;COUNTIF(F483:J483, "d")&amp;COUNTIF(F483:J483, "l")</f>
        <v>311</v>
      </c>
      <c r="Z483" s="13" t="str">
        <f>COUNTIF(K483:O483, "W")&amp;COUNTIF(K483:O483, "d")&amp;COUNTIF(K483:O483, "l")</f>
        <v>320</v>
      </c>
      <c r="AA483" s="23" t="str">
        <f>_xlfn.CONCAT(Y483,"-",Z483)</f>
        <v>311-320</v>
      </c>
      <c r="AB483" s="15" t="str">
        <f>_xlfn.CONCAT(AA483,"…",TEXT(U483,"+00;-00;+00;"))</f>
        <v>311-320…-10</v>
      </c>
      <c r="AC483" s="23" t="str">
        <f>_xlfn.CONCAT(TEXT(P483,"+00;-00;+00;"),"…",TEXT(Q483,"+00;-00;+00;"))</f>
        <v>+02…+12</v>
      </c>
      <c r="AD483" s="14" t="str">
        <f>IF(X483="","?","")</f>
        <v/>
      </c>
      <c r="AE483" s="15" t="str">
        <f>_xlfn.CONCAT(AA483,"…",TEXT(P483,"+00;-00;+00;"),"...",TEXT(Q483,"+00;-00;+00;"))</f>
        <v>311-320…+02...+12</v>
      </c>
      <c r="AF483" s="13" t="str">
        <f>_xlfn.CONCAT(R483,"…",TEXT(P483,"+00;-00;+00;"),"...",TEXT(Q483,"+00;-00;+00;"))</f>
        <v>WWWLD…+02...+12</v>
      </c>
    </row>
    <row r="484" spans="1:32" x14ac:dyDescent="0.25">
      <c r="A484" s="12" t="s">
        <v>961</v>
      </c>
      <c r="B484" s="13" t="s">
        <v>208</v>
      </c>
      <c r="C484" s="14">
        <v>1</v>
      </c>
      <c r="D484" s="13" t="s">
        <v>968</v>
      </c>
      <c r="E484" s="13" t="s">
        <v>969</v>
      </c>
      <c r="F484" s="15" t="s">
        <v>29</v>
      </c>
      <c r="G484" s="15" t="s">
        <v>31</v>
      </c>
      <c r="H484" s="15" t="s">
        <v>31</v>
      </c>
      <c r="I484" s="15" t="s">
        <v>31</v>
      </c>
      <c r="J484" s="15" t="s">
        <v>31</v>
      </c>
      <c r="K484" s="15" t="s">
        <v>30</v>
      </c>
      <c r="L484" s="15" t="s">
        <v>31</v>
      </c>
      <c r="M484" s="15" t="s">
        <v>30</v>
      </c>
      <c r="N484" s="15" t="s">
        <v>29</v>
      </c>
      <c r="O484" s="15" t="s">
        <v>30</v>
      </c>
      <c r="P484" s="18">
        <v>-15</v>
      </c>
      <c r="Q484" s="18">
        <v>-1</v>
      </c>
      <c r="R484" s="15" t="str">
        <f>_xlfn.CONCAT(F484,G484,H484,I484,J484)</f>
        <v>DLLLL</v>
      </c>
      <c r="S484" s="13" t="str">
        <f>_xlfn.CONCAT(K484,L484,M484,N484,O484)</f>
        <v>WLWDW</v>
      </c>
      <c r="T484" s="13" t="str">
        <f>_xlfn.CONCAT(R484,"***",S484)</f>
        <v>DLLLL***WLWDW</v>
      </c>
      <c r="U484" s="19">
        <f>(P484-Q484)</f>
        <v>-14</v>
      </c>
      <c r="V484" s="14">
        <v>3</v>
      </c>
      <c r="W484" s="14">
        <v>1</v>
      </c>
      <c r="X484" s="20" t="str">
        <f>IF(ISBLANK(V484),"",IF(V484&gt;W484,"1",IF(V484&lt;W484,"2",IF(V484=W484,"X"))))</f>
        <v>1</v>
      </c>
      <c r="Y484" s="23" t="str">
        <f>COUNTIF(F484:J484, "W")&amp;COUNTIF(F484:J484, "d")&amp;COUNTIF(F484:J484, "l")</f>
        <v>014</v>
      </c>
      <c r="Z484" s="13" t="str">
        <f>COUNTIF(K484:O484, "W")&amp;COUNTIF(K484:O484, "d")&amp;COUNTIF(K484:O484, "l")</f>
        <v>311</v>
      </c>
      <c r="AA484" s="23" t="str">
        <f>_xlfn.CONCAT(Y484,"-",Z484)</f>
        <v>014-311</v>
      </c>
      <c r="AB484" s="15" t="str">
        <f>_xlfn.CONCAT(AA484,"…",TEXT(U484,"+00;-00;+00;"))</f>
        <v>014-311…-14</v>
      </c>
      <c r="AC484" s="23" t="str">
        <f>_xlfn.CONCAT(TEXT(P484,"+00;-00;+00;"),"…",TEXT(Q484,"+00;-00;+00;"))</f>
        <v>-15…-01</v>
      </c>
      <c r="AD484" s="14" t="str">
        <f>IF(X484="","?","")</f>
        <v/>
      </c>
      <c r="AE484" s="15" t="str">
        <f>_xlfn.CONCAT(AA484,"…",TEXT(P484,"+00;-00;+00;"),"...",TEXT(Q484,"+00;-00;+00;"))</f>
        <v>014-311…-15...-01</v>
      </c>
      <c r="AF484" s="13" t="str">
        <f>_xlfn.CONCAT(R484,"…",TEXT(P484,"+00;-00;+00;"),"...",TEXT(Q484,"+00;-00;+00;"))</f>
        <v>DLLLL…-15...-01</v>
      </c>
    </row>
    <row r="485" spans="1:32" x14ac:dyDescent="0.25">
      <c r="A485" s="12" t="s">
        <v>961</v>
      </c>
      <c r="B485" s="13" t="s">
        <v>208</v>
      </c>
      <c r="C485" s="14">
        <v>1</v>
      </c>
      <c r="D485" s="13" t="s">
        <v>571</v>
      </c>
      <c r="E485" s="13" t="s">
        <v>966</v>
      </c>
      <c r="F485" s="15" t="s">
        <v>31</v>
      </c>
      <c r="G485" s="15" t="s">
        <v>29</v>
      </c>
      <c r="H485" s="15" t="s">
        <v>31</v>
      </c>
      <c r="I485" s="15" t="s">
        <v>30</v>
      </c>
      <c r="J485" s="15" t="s">
        <v>31</v>
      </c>
      <c r="K485" s="15" t="s">
        <v>31</v>
      </c>
      <c r="L485" s="15" t="s">
        <v>29</v>
      </c>
      <c r="M485" s="15" t="s">
        <v>29</v>
      </c>
      <c r="N485" s="15" t="s">
        <v>31</v>
      </c>
      <c r="O485" s="15" t="s">
        <v>31</v>
      </c>
      <c r="P485" s="18">
        <v>-10</v>
      </c>
      <c r="Q485" s="18">
        <v>-19</v>
      </c>
      <c r="R485" s="15" t="str">
        <f>_xlfn.CONCAT(F485,G485,H485,I485,J485)</f>
        <v>LDLWL</v>
      </c>
      <c r="S485" s="13" t="str">
        <f>_xlfn.CONCAT(K485,L485,M485,N485,O485)</f>
        <v>LDDLL</v>
      </c>
      <c r="T485" s="13" t="str">
        <f>_xlfn.CONCAT(R485,"***",S485)</f>
        <v>LDLWL***LDDLL</v>
      </c>
      <c r="U485" s="19">
        <f>(P485-Q485)</f>
        <v>9</v>
      </c>
      <c r="V485" s="14">
        <v>3</v>
      </c>
      <c r="W485" s="14">
        <v>2</v>
      </c>
      <c r="X485" s="20" t="str">
        <f>IF(ISBLANK(V485),"",IF(V485&gt;W485,"1",IF(V485&lt;W485,"2",IF(V485=W485,"X"))))</f>
        <v>1</v>
      </c>
      <c r="Y485" s="23" t="str">
        <f>COUNTIF(F485:J485, "W")&amp;COUNTIF(F485:J485, "d")&amp;COUNTIF(F485:J485, "l")</f>
        <v>113</v>
      </c>
      <c r="Z485" s="13" t="str">
        <f>COUNTIF(K485:O485, "W")&amp;COUNTIF(K485:O485, "d")&amp;COUNTIF(K485:O485, "l")</f>
        <v>023</v>
      </c>
      <c r="AA485" s="23" t="str">
        <f>_xlfn.CONCAT(Y485,"-",Z485)</f>
        <v>113-023</v>
      </c>
      <c r="AB485" s="15" t="str">
        <f>_xlfn.CONCAT(AA485,"…",TEXT(U485,"+00;-00;+00;"))</f>
        <v>113-023…+09</v>
      </c>
      <c r="AC485" s="23" t="str">
        <f>_xlfn.CONCAT(TEXT(P485,"+00;-00;+00;"),"…",TEXT(Q485,"+00;-00;+00;"))</f>
        <v>-10…-19</v>
      </c>
      <c r="AD485" s="14" t="str">
        <f>IF(X485="","?","")</f>
        <v/>
      </c>
      <c r="AE485" s="15" t="str">
        <f>_xlfn.CONCAT(AA485,"…",TEXT(P485,"+00;-00;+00;"),"...",TEXT(Q485,"+00;-00;+00;"))</f>
        <v>113-023…-10...-19</v>
      </c>
      <c r="AF485" s="13" t="str">
        <f>_xlfn.CONCAT(R485,"…",TEXT(P485,"+00;-00;+00;"),"...",TEXT(Q485,"+00;-00;+00;"))</f>
        <v>LDLWL…-10...-19</v>
      </c>
    </row>
    <row r="486" spans="1:32" x14ac:dyDescent="0.25">
      <c r="A486" s="12" t="s">
        <v>961</v>
      </c>
      <c r="B486" s="13" t="s">
        <v>208</v>
      </c>
      <c r="C486" s="14">
        <v>1</v>
      </c>
      <c r="D486" s="13" t="s">
        <v>219</v>
      </c>
      <c r="E486" s="13" t="s">
        <v>573</v>
      </c>
      <c r="F486" s="15" t="s">
        <v>31</v>
      </c>
      <c r="G486" s="15" t="s">
        <v>30</v>
      </c>
      <c r="H486" s="15" t="s">
        <v>31</v>
      </c>
      <c r="I486" s="15" t="s">
        <v>29</v>
      </c>
      <c r="J486" s="15" t="s">
        <v>31</v>
      </c>
      <c r="K486" s="15" t="s">
        <v>30</v>
      </c>
      <c r="L486" s="15" t="s">
        <v>29</v>
      </c>
      <c r="M486" s="15" t="s">
        <v>31</v>
      </c>
      <c r="N486" s="15" t="s">
        <v>29</v>
      </c>
      <c r="O486" s="15" t="s">
        <v>31</v>
      </c>
      <c r="P486" s="18">
        <v>-6</v>
      </c>
      <c r="Q486" s="18">
        <v>-7</v>
      </c>
      <c r="R486" s="15" t="str">
        <f>_xlfn.CONCAT(F486,G486,H486,I486,J486)</f>
        <v>LWLDL</v>
      </c>
      <c r="S486" s="13" t="str">
        <f>_xlfn.CONCAT(K486,L486,M486,N486,O486)</f>
        <v>WDLDL</v>
      </c>
      <c r="T486" s="13" t="str">
        <f>_xlfn.CONCAT(R486,"***",S486)</f>
        <v>LWLDL***WDLDL</v>
      </c>
      <c r="U486" s="19">
        <f>(P486-Q486)</f>
        <v>1</v>
      </c>
      <c r="V486" s="14">
        <v>0</v>
      </c>
      <c r="W486" s="14">
        <v>1</v>
      </c>
      <c r="X486" s="20" t="str">
        <f>IF(ISBLANK(V486),"",IF(V486&gt;W486,"1",IF(V486&lt;W486,"2",IF(V486=W486,"X"))))</f>
        <v>2</v>
      </c>
      <c r="Y486" s="23" t="str">
        <f>COUNTIF(F486:J486, "W")&amp;COUNTIF(F486:J486, "d")&amp;COUNTIF(F486:J486, "l")</f>
        <v>113</v>
      </c>
      <c r="Z486" s="13" t="str">
        <f>COUNTIF(K486:O486, "W")&amp;COUNTIF(K486:O486, "d")&amp;COUNTIF(K486:O486, "l")</f>
        <v>122</v>
      </c>
      <c r="AA486" s="23" t="str">
        <f>_xlfn.CONCAT(Y486,"-",Z486)</f>
        <v>113-122</v>
      </c>
      <c r="AB486" s="15" t="str">
        <f>_xlfn.CONCAT(AA486,"…",TEXT(U486,"+00;-00;+00;"))</f>
        <v>113-122…+01</v>
      </c>
      <c r="AC486" s="23" t="str">
        <f>_xlfn.CONCAT(TEXT(P486,"+00;-00;+00;"),"…",TEXT(Q486,"+00;-00;+00;"))</f>
        <v>-06…-07</v>
      </c>
      <c r="AD486" s="14" t="str">
        <f>IF(X486="","?","")</f>
        <v/>
      </c>
      <c r="AE486" s="15" t="str">
        <f>_xlfn.CONCAT(AA486,"…",TEXT(P486,"+00;-00;+00;"),"...",TEXT(Q486,"+00;-00;+00;"))</f>
        <v>113-122…-06...-07</v>
      </c>
      <c r="AF486" s="13" t="str">
        <f>_xlfn.CONCAT(R486,"…",TEXT(P486,"+00;-00;+00;"),"...",TEXT(Q486,"+00;-00;+00;"))</f>
        <v>LWLDL…-06...-07</v>
      </c>
    </row>
    <row r="487" spans="1:32" x14ac:dyDescent="0.25">
      <c r="A487" s="12" t="s">
        <v>961</v>
      </c>
      <c r="B487" s="13" t="s">
        <v>208</v>
      </c>
      <c r="C487" s="14">
        <v>1</v>
      </c>
      <c r="D487" s="13" t="s">
        <v>970</v>
      </c>
      <c r="E487" s="13" t="s">
        <v>967</v>
      </c>
      <c r="F487" s="15" t="s">
        <v>31</v>
      </c>
      <c r="G487" s="15" t="s">
        <v>31</v>
      </c>
      <c r="H487" s="15" t="s">
        <v>29</v>
      </c>
      <c r="I487" s="15" t="s">
        <v>29</v>
      </c>
      <c r="J487" s="15" t="s">
        <v>30</v>
      </c>
      <c r="K487" s="15" t="s">
        <v>30</v>
      </c>
      <c r="L487" s="15" t="s">
        <v>29</v>
      </c>
      <c r="M487" s="15" t="s">
        <v>29</v>
      </c>
      <c r="N487" s="15" t="s">
        <v>29</v>
      </c>
      <c r="O487" s="15" t="s">
        <v>30</v>
      </c>
      <c r="P487" s="18">
        <v>-9</v>
      </c>
      <c r="Q487" s="18">
        <v>-2</v>
      </c>
      <c r="R487" s="15" t="str">
        <f>_xlfn.CONCAT(F487,G487,H487,I487,J487)</f>
        <v>LLDDW</v>
      </c>
      <c r="S487" s="13" t="str">
        <f>_xlfn.CONCAT(K487,L487,M487,N487,O487)</f>
        <v>WDDDW</v>
      </c>
      <c r="T487" s="13" t="str">
        <f>_xlfn.CONCAT(R487,"***",S487)</f>
        <v>LLDDW***WDDDW</v>
      </c>
      <c r="U487" s="19">
        <f>(P487-Q487)</f>
        <v>-7</v>
      </c>
      <c r="V487" s="14">
        <v>2</v>
      </c>
      <c r="W487" s="14">
        <v>0</v>
      </c>
      <c r="X487" s="20" t="str">
        <f>IF(ISBLANK(V487),"",IF(V487&gt;W487,"1",IF(V487&lt;W487,"2",IF(V487=W487,"X"))))</f>
        <v>1</v>
      </c>
      <c r="Y487" s="23" t="str">
        <f>COUNTIF(F487:J487, "W")&amp;COUNTIF(F487:J487, "d")&amp;COUNTIF(F487:J487, "l")</f>
        <v>122</v>
      </c>
      <c r="Z487" s="13" t="str">
        <f>COUNTIF(K487:O487, "W")&amp;COUNTIF(K487:O487, "d")&amp;COUNTIF(K487:O487, "l")</f>
        <v>230</v>
      </c>
      <c r="AA487" s="23" t="str">
        <f>_xlfn.CONCAT(Y487,"-",Z487)</f>
        <v>122-230</v>
      </c>
      <c r="AB487" s="15" t="str">
        <f>_xlfn.CONCAT(AA487,"…",TEXT(U487,"+00;-00;+00;"))</f>
        <v>122-230…-07</v>
      </c>
      <c r="AC487" s="23" t="str">
        <f>_xlfn.CONCAT(TEXT(P487,"+00;-00;+00;"),"…",TEXT(Q487,"+00;-00;+00;"))</f>
        <v>-09…-02</v>
      </c>
      <c r="AD487" s="14" t="str">
        <f>IF(X487="","?","")</f>
        <v/>
      </c>
      <c r="AE487" s="15" t="str">
        <f>_xlfn.CONCAT(AA487,"…",TEXT(P487,"+00;-00;+00;"),"...",TEXT(Q487,"+00;-00;+00;"))</f>
        <v>122-230…-09...-02</v>
      </c>
      <c r="AF487" s="13" t="str">
        <f>_xlfn.CONCAT(R487,"…",TEXT(P487,"+00;-00;+00;"),"...",TEXT(Q487,"+00;-00;+00;"))</f>
        <v>LLDDW…-09...-02</v>
      </c>
    </row>
    <row r="488" spans="1:32" x14ac:dyDescent="0.25">
      <c r="A488" s="12" t="s">
        <v>961</v>
      </c>
      <c r="B488" s="13" t="s">
        <v>208</v>
      </c>
      <c r="C488" s="14">
        <v>1</v>
      </c>
      <c r="D488" s="13" t="s">
        <v>964</v>
      </c>
      <c r="E488" s="13" t="s">
        <v>965</v>
      </c>
      <c r="F488" s="15" t="s">
        <v>31</v>
      </c>
      <c r="G488" s="15" t="s">
        <v>31</v>
      </c>
      <c r="H488" s="15" t="s">
        <v>29</v>
      </c>
      <c r="I488" s="15" t="s">
        <v>30</v>
      </c>
      <c r="J488" s="15" t="s">
        <v>29</v>
      </c>
      <c r="K488" s="15" t="s">
        <v>30</v>
      </c>
      <c r="L488" s="15" t="s">
        <v>30</v>
      </c>
      <c r="M488" s="15" t="s">
        <v>30</v>
      </c>
      <c r="N488" s="15" t="s">
        <v>30</v>
      </c>
      <c r="O488" s="15" t="s">
        <v>30</v>
      </c>
      <c r="P488" s="18">
        <v>4</v>
      </c>
      <c r="Q488" s="18">
        <v>34</v>
      </c>
      <c r="R488" s="15" t="str">
        <f>_xlfn.CONCAT(F488,G488,H488,I488,J488)</f>
        <v>LLDWD</v>
      </c>
      <c r="S488" s="13" t="str">
        <f>_xlfn.CONCAT(K488,L488,M488,N488,O488)</f>
        <v>WWWWW</v>
      </c>
      <c r="T488" s="13" t="str">
        <f>_xlfn.CONCAT(R488,"***",S488)</f>
        <v>LLDWD***WWWWW</v>
      </c>
      <c r="U488" s="19">
        <f>(P488-Q488)</f>
        <v>-30</v>
      </c>
      <c r="V488" s="14">
        <v>5</v>
      </c>
      <c r="W488" s="14">
        <v>1</v>
      </c>
      <c r="X488" s="20" t="str">
        <f>IF(ISBLANK(V488),"",IF(V488&gt;W488,"1",IF(V488&lt;W488,"2",IF(V488=W488,"X"))))</f>
        <v>1</v>
      </c>
      <c r="Y488" s="23" t="str">
        <f>COUNTIF(F488:J488, "W")&amp;COUNTIF(F488:J488, "d")&amp;COUNTIF(F488:J488, "l")</f>
        <v>122</v>
      </c>
      <c r="Z488" s="13" t="str">
        <f>COUNTIF(K488:O488, "W")&amp;COUNTIF(K488:O488, "d")&amp;COUNTIF(K488:O488, "l")</f>
        <v>500</v>
      </c>
      <c r="AA488" s="23" t="str">
        <f>_xlfn.CONCAT(Y488,"-",Z488)</f>
        <v>122-500</v>
      </c>
      <c r="AB488" s="15" t="str">
        <f>_xlfn.CONCAT(AA488,"…",TEXT(U488,"+00;-00;+00;"))</f>
        <v>122-500…-30</v>
      </c>
      <c r="AC488" s="23" t="str">
        <f>_xlfn.CONCAT(TEXT(P488,"+00;-00;+00;"),"…",TEXT(Q488,"+00;-00;+00;"))</f>
        <v>+04…+34</v>
      </c>
      <c r="AD488" s="14" t="str">
        <f>IF(X488="","?","")</f>
        <v/>
      </c>
      <c r="AE488" s="15" t="str">
        <f>_xlfn.CONCAT(AA488,"…",TEXT(P488,"+00;-00;+00;"),"...",TEXT(Q488,"+00;-00;+00;"))</f>
        <v>122-500…+04...+34</v>
      </c>
      <c r="AF488" s="13" t="str">
        <f>_xlfn.CONCAT(R488,"…",TEXT(P488,"+00;-00;+00;"),"...",TEXT(Q488,"+00;-00;+00;"))</f>
        <v>LLDWD…+04...+34</v>
      </c>
    </row>
    <row r="489" spans="1:32" x14ac:dyDescent="0.25">
      <c r="A489" s="13" t="s">
        <v>869</v>
      </c>
      <c r="B489" s="13" t="s">
        <v>7</v>
      </c>
      <c r="C489" s="14">
        <v>1</v>
      </c>
      <c r="D489" s="13" t="s">
        <v>515</v>
      </c>
      <c r="E489" s="13" t="s">
        <v>885</v>
      </c>
      <c r="F489" s="13" t="s">
        <v>31</v>
      </c>
      <c r="G489" s="13" t="s">
        <v>31</v>
      </c>
      <c r="H489" s="13" t="s">
        <v>31</v>
      </c>
      <c r="I489" s="13" t="s">
        <v>29</v>
      </c>
      <c r="J489" s="13" t="s">
        <v>31</v>
      </c>
      <c r="K489" s="13" t="s">
        <v>29</v>
      </c>
      <c r="L489" s="13" t="s">
        <v>30</v>
      </c>
      <c r="M489" s="13" t="s">
        <v>30</v>
      </c>
      <c r="N489" s="13" t="s">
        <v>30</v>
      </c>
      <c r="O489" s="13" t="s">
        <v>30</v>
      </c>
      <c r="P489" s="16">
        <v>-11</v>
      </c>
      <c r="Q489" s="16">
        <v>10</v>
      </c>
      <c r="R489" s="13" t="str">
        <f>_xlfn.CONCAT(F489,G489,H489,I489,J489)</f>
        <v>LLLDL</v>
      </c>
      <c r="S489" s="13" t="str">
        <f>_xlfn.CONCAT(K489,L489,M489,N489,O489)</f>
        <v>DWWWW</v>
      </c>
      <c r="T489" s="13" t="str">
        <f>_xlfn.CONCAT(R489,"***",S489)</f>
        <v>LLLDL***DWWWW</v>
      </c>
      <c r="U489" s="21">
        <f>(P489-Q489)</f>
        <v>-21</v>
      </c>
      <c r="V489" s="14">
        <v>1</v>
      </c>
      <c r="W489" s="14">
        <v>2</v>
      </c>
      <c r="X489" s="20" t="str">
        <f>IF(ISBLANK(V489),"",IF(V489&gt;W489,"1",IF(V489&lt;W489,"2",IF(V489=W489,"X"))))</f>
        <v>2</v>
      </c>
      <c r="Y489" s="23" t="str">
        <f>COUNTIF(F489:J489, "W")&amp;COUNTIF(F489:J489, "d")&amp;COUNTIF(F489:J489, "l")</f>
        <v>014</v>
      </c>
      <c r="Z489" s="13" t="str">
        <f>COUNTIF(K489:O489, "W")&amp;COUNTIF(K489:O489, "d")&amp;COUNTIF(K489:O489, "l")</f>
        <v>410</v>
      </c>
      <c r="AA489" s="23" t="str">
        <f>_xlfn.CONCAT(Y489,"-",Z489)</f>
        <v>014-410</v>
      </c>
      <c r="AB489" s="13" t="str">
        <f>_xlfn.CONCAT(AA489,"…",TEXT(U489,"+00;-00;+00;"))</f>
        <v>014-410…-21</v>
      </c>
      <c r="AC489" s="23" t="str">
        <f>_xlfn.CONCAT(TEXT(P489,"+00;-00;+00;"),"…",TEXT(Q489,"+00;-00;+00;"))</f>
        <v>-11…+10</v>
      </c>
      <c r="AD489" s="14" t="str">
        <f>IF(X489="","?","")</f>
        <v/>
      </c>
      <c r="AE489" s="15" t="str">
        <f>_xlfn.CONCAT(AA489,"…",TEXT(P489,"+00;-00;+00;"),"...",TEXT(Q489,"+00;-00;+00;"))</f>
        <v>014-410…-11...+10</v>
      </c>
      <c r="AF489" s="13" t="str">
        <f>_xlfn.CONCAT(R489,"…",TEXT(P489,"+00;-00;+00;"),"...",TEXT(Q489,"+00;-00;+00;"))</f>
        <v>LLLDL…-11...+10</v>
      </c>
    </row>
    <row r="490" spans="1:32" x14ac:dyDescent="0.25">
      <c r="A490" s="13" t="s">
        <v>869</v>
      </c>
      <c r="B490" s="13" t="s">
        <v>7</v>
      </c>
      <c r="C490" s="14">
        <v>1</v>
      </c>
      <c r="D490" s="13" t="s">
        <v>521</v>
      </c>
      <c r="E490" s="13" t="s">
        <v>886</v>
      </c>
      <c r="F490" s="13" t="s">
        <v>29</v>
      </c>
      <c r="G490" s="13" t="s">
        <v>31</v>
      </c>
      <c r="H490" s="13" t="s">
        <v>31</v>
      </c>
      <c r="I490" s="13" t="s">
        <v>29</v>
      </c>
      <c r="J490" s="13" t="s">
        <v>31</v>
      </c>
      <c r="K490" s="13" t="s">
        <v>31</v>
      </c>
      <c r="L490" s="13" t="s">
        <v>31</v>
      </c>
      <c r="M490" s="13" t="s">
        <v>29</v>
      </c>
      <c r="N490" s="13" t="s">
        <v>31</v>
      </c>
      <c r="O490" s="13" t="s">
        <v>31</v>
      </c>
      <c r="P490" s="16">
        <v>-17</v>
      </c>
      <c r="Q490" s="16">
        <v>-13</v>
      </c>
      <c r="R490" s="13" t="str">
        <f>_xlfn.CONCAT(F490,G490,H490,I490,J490)</f>
        <v>DLLDL</v>
      </c>
      <c r="S490" s="13" t="str">
        <f>_xlfn.CONCAT(K490,L490,M490,N490,O490)</f>
        <v>LLDLL</v>
      </c>
      <c r="T490" s="13" t="str">
        <f>_xlfn.CONCAT(R490,"***",S490)</f>
        <v>DLLDL***LLDLL</v>
      </c>
      <c r="U490" s="21">
        <f>(P490-Q490)</f>
        <v>-4</v>
      </c>
      <c r="V490" s="14">
        <v>0</v>
      </c>
      <c r="W490" s="14">
        <v>1</v>
      </c>
      <c r="X490" s="20" t="str">
        <f>IF(ISBLANK(V490),"",IF(V490&gt;W490,"1",IF(V490&lt;W490,"2",IF(V490=W490,"X"))))</f>
        <v>2</v>
      </c>
      <c r="Y490" s="23" t="str">
        <f>COUNTIF(F490:J490, "W")&amp;COUNTIF(F490:J490, "d")&amp;COUNTIF(F490:J490, "l")</f>
        <v>023</v>
      </c>
      <c r="Z490" s="13" t="str">
        <f>COUNTIF(K490:O490, "W")&amp;COUNTIF(K490:O490, "d")&amp;COUNTIF(K490:O490, "l")</f>
        <v>014</v>
      </c>
      <c r="AA490" s="23" t="str">
        <f>_xlfn.CONCAT(Y490,"-",Z490)</f>
        <v>023-014</v>
      </c>
      <c r="AB490" s="13" t="str">
        <f>_xlfn.CONCAT(AA490,"…",TEXT(U490,"+00;-00;+00;"))</f>
        <v>023-014…-04</v>
      </c>
      <c r="AC490" s="23" t="str">
        <f>_xlfn.CONCAT(TEXT(P490,"+00;-00;+00;"),"…",TEXT(Q490,"+00;-00;+00;"))</f>
        <v>-17…-13</v>
      </c>
      <c r="AD490" s="14" t="str">
        <f>IF(X490="","?","")</f>
        <v/>
      </c>
      <c r="AE490" s="15" t="str">
        <f>_xlfn.CONCAT(AA490,"…",TEXT(P490,"+00;-00;+00;"),"...",TEXT(Q490,"+00;-00;+00;"))</f>
        <v>023-014…-17...-13</v>
      </c>
      <c r="AF490" s="13" t="str">
        <f>_xlfn.CONCAT(R490,"…",TEXT(P490,"+00;-00;+00;"),"...",TEXT(Q490,"+00;-00;+00;"))</f>
        <v>DLLDL…-17...-13</v>
      </c>
    </row>
    <row r="491" spans="1:32" x14ac:dyDescent="0.25">
      <c r="A491" s="13" t="s">
        <v>869</v>
      </c>
      <c r="B491" s="13" t="s">
        <v>7</v>
      </c>
      <c r="C491" s="14" t="s">
        <v>32</v>
      </c>
      <c r="D491" s="13" t="s">
        <v>53</v>
      </c>
      <c r="E491" s="13" t="s">
        <v>38</v>
      </c>
      <c r="F491" s="13" t="s">
        <v>31</v>
      </c>
      <c r="G491" s="13" t="s">
        <v>31</v>
      </c>
      <c r="H491" s="13" t="s">
        <v>31</v>
      </c>
      <c r="I491" s="13" t="s">
        <v>29</v>
      </c>
      <c r="J491" s="13" t="s">
        <v>29</v>
      </c>
      <c r="K491" s="13" t="s">
        <v>30</v>
      </c>
      <c r="L491" s="13" t="s">
        <v>29</v>
      </c>
      <c r="M491" s="13" t="s">
        <v>31</v>
      </c>
      <c r="N491" s="13" t="s">
        <v>31</v>
      </c>
      <c r="O491" s="13" t="s">
        <v>31</v>
      </c>
      <c r="P491" s="16">
        <v>-8</v>
      </c>
      <c r="Q491" s="16">
        <v>-19</v>
      </c>
      <c r="R491" s="13" t="str">
        <f>_xlfn.CONCAT(F491,G491,H491,I491,J491)</f>
        <v>LLLDD</v>
      </c>
      <c r="S491" s="13" t="str">
        <f>_xlfn.CONCAT(K491,L491,M491,N491,O491)</f>
        <v>WDLLL</v>
      </c>
      <c r="T491" s="13" t="str">
        <f>_xlfn.CONCAT(R491,"***",S491)</f>
        <v>LLLDD***WDLLL</v>
      </c>
      <c r="U491" s="21">
        <f>(P491-Q491)</f>
        <v>11</v>
      </c>
      <c r="V491" s="14">
        <v>0</v>
      </c>
      <c r="W491" s="14">
        <v>1</v>
      </c>
      <c r="X491" s="20" t="str">
        <f>IF(ISBLANK(V491),"",IF(V491&gt;W491,"1",IF(V491&lt;W491,"2",IF(V491=W491,"X"))))</f>
        <v>2</v>
      </c>
      <c r="Y491" s="23" t="str">
        <f>COUNTIF(F491:J491, "W")&amp;COUNTIF(F491:J491, "d")&amp;COUNTIF(F491:J491, "l")</f>
        <v>023</v>
      </c>
      <c r="Z491" s="13" t="str">
        <f>COUNTIF(K491:O491, "W")&amp;COUNTIF(K491:O491, "d")&amp;COUNTIF(K491:O491, "l")</f>
        <v>113</v>
      </c>
      <c r="AA491" s="23" t="str">
        <f>_xlfn.CONCAT(Y491,"-",Z491)</f>
        <v>023-113</v>
      </c>
      <c r="AB491" s="13" t="str">
        <f>_xlfn.CONCAT(AA491,"…",TEXT(U491,"+00;-00;+00;"))</f>
        <v>023-113…+11</v>
      </c>
      <c r="AC491" s="23" t="str">
        <f>_xlfn.CONCAT(TEXT(P491,"+00;-00;+00;"),"…",TEXT(Q491,"+00;-00;+00;"))</f>
        <v>-08…-19</v>
      </c>
      <c r="AD491" s="14" t="str">
        <f>IF(X491="","?","")</f>
        <v/>
      </c>
      <c r="AE491" s="15" t="str">
        <f>_xlfn.CONCAT(AA491,"…",TEXT(P491,"+00;-00;+00;"),"...",TEXT(Q491,"+00;-00;+00;"))</f>
        <v>023-113…-08...-19</v>
      </c>
      <c r="AF491" s="13" t="str">
        <f>_xlfn.CONCAT(R491,"…",TEXT(P491,"+00;-00;+00;"),"...",TEXT(Q491,"+00;-00;+00;"))</f>
        <v>LLLDD…-08...-19</v>
      </c>
    </row>
    <row r="492" spans="1:32" x14ac:dyDescent="0.25">
      <c r="A492" s="13" t="s">
        <v>869</v>
      </c>
      <c r="B492" s="13" t="s">
        <v>7</v>
      </c>
      <c r="C492" s="14">
        <v>1</v>
      </c>
      <c r="D492" s="13" t="s">
        <v>889</v>
      </c>
      <c r="E492" s="13" t="s">
        <v>522</v>
      </c>
      <c r="F492" s="13" t="s">
        <v>31</v>
      </c>
      <c r="G492" s="13" t="s">
        <v>31</v>
      </c>
      <c r="H492" s="13" t="s">
        <v>31</v>
      </c>
      <c r="I492" s="13" t="s">
        <v>29</v>
      </c>
      <c r="J492" s="13" t="s">
        <v>29</v>
      </c>
      <c r="K492" s="13" t="s">
        <v>29</v>
      </c>
      <c r="L492" s="13" t="s">
        <v>30</v>
      </c>
      <c r="M492" s="13" t="s">
        <v>31</v>
      </c>
      <c r="N492" s="13" t="s">
        <v>30</v>
      </c>
      <c r="O492" s="13" t="s">
        <v>31</v>
      </c>
      <c r="P492" s="16">
        <v>-4</v>
      </c>
      <c r="Q492" s="16">
        <v>-15</v>
      </c>
      <c r="R492" s="13" t="str">
        <f>_xlfn.CONCAT(F492,G492,H492,I492,J492)</f>
        <v>LLLDD</v>
      </c>
      <c r="S492" s="13" t="str">
        <f>_xlfn.CONCAT(K492,L492,M492,N492,O492)</f>
        <v>DWLWL</v>
      </c>
      <c r="T492" s="13" t="str">
        <f>_xlfn.CONCAT(R492,"***",S492)</f>
        <v>LLLDD***DWLWL</v>
      </c>
      <c r="U492" s="21">
        <f>(P492-Q492)</f>
        <v>11</v>
      </c>
      <c r="V492" s="14">
        <v>0</v>
      </c>
      <c r="W492" s="14">
        <v>1</v>
      </c>
      <c r="X492" s="20" t="str">
        <f>IF(ISBLANK(V492),"",IF(V492&gt;W492,"1",IF(V492&lt;W492,"2",IF(V492=W492,"X"))))</f>
        <v>2</v>
      </c>
      <c r="Y492" s="23" t="str">
        <f>COUNTIF(F492:J492, "W")&amp;COUNTIF(F492:J492, "d")&amp;COUNTIF(F492:J492, "l")</f>
        <v>023</v>
      </c>
      <c r="Z492" s="13" t="str">
        <f>COUNTIF(K492:O492, "W")&amp;COUNTIF(K492:O492, "d")&amp;COUNTIF(K492:O492, "l")</f>
        <v>212</v>
      </c>
      <c r="AA492" s="23" t="str">
        <f>_xlfn.CONCAT(Y492,"-",Z492)</f>
        <v>023-212</v>
      </c>
      <c r="AB492" s="13" t="str">
        <f>_xlfn.CONCAT(AA492,"…",TEXT(U492,"+00;-00;+00;"))</f>
        <v>023-212…+11</v>
      </c>
      <c r="AC492" s="23" t="str">
        <f>_xlfn.CONCAT(TEXT(P492,"+00;-00;+00;"),"…",TEXT(Q492,"+00;-00;+00;"))</f>
        <v>-04…-15</v>
      </c>
      <c r="AD492" s="14" t="str">
        <f>IF(X492="","?","")</f>
        <v/>
      </c>
      <c r="AE492" s="15" t="str">
        <f>_xlfn.CONCAT(AA492,"…",TEXT(P492,"+00;-00;+00;"),"...",TEXT(Q492,"+00;-00;+00;"))</f>
        <v>023-212…-04...-15</v>
      </c>
      <c r="AF492" s="13" t="str">
        <f>_xlfn.CONCAT(R492,"…",TEXT(P492,"+00;-00;+00;"),"...",TEXT(Q492,"+00;-00;+00;"))</f>
        <v>LLLDD…-04...-15</v>
      </c>
    </row>
    <row r="493" spans="1:32" x14ac:dyDescent="0.25">
      <c r="A493" s="13" t="s">
        <v>869</v>
      </c>
      <c r="B493" s="13" t="s">
        <v>7</v>
      </c>
      <c r="C493" s="14" t="s">
        <v>32</v>
      </c>
      <c r="D493" s="13" t="s">
        <v>492</v>
      </c>
      <c r="E493" s="13" t="s">
        <v>874</v>
      </c>
      <c r="F493" s="13" t="s">
        <v>29</v>
      </c>
      <c r="G493" s="13" t="s">
        <v>31</v>
      </c>
      <c r="H493" s="13" t="s">
        <v>29</v>
      </c>
      <c r="I493" s="13" t="s">
        <v>31</v>
      </c>
      <c r="J493" s="13" t="s">
        <v>29</v>
      </c>
      <c r="K493" s="13" t="s">
        <v>29</v>
      </c>
      <c r="L493" s="13" t="s">
        <v>31</v>
      </c>
      <c r="M493" s="13" t="s">
        <v>29</v>
      </c>
      <c r="N493" s="13" t="s">
        <v>31</v>
      </c>
      <c r="O493" s="13" t="s">
        <v>29</v>
      </c>
      <c r="P493" s="13">
        <v>-20</v>
      </c>
      <c r="Q493" s="16">
        <v>-1</v>
      </c>
      <c r="R493" s="13" t="str">
        <f>_xlfn.CONCAT(F493,G493,H493,I493,J493)</f>
        <v>DLDLD</v>
      </c>
      <c r="S493" s="13" t="str">
        <f>_xlfn.CONCAT(K493,L493,M493,N493,O493)</f>
        <v>DLDLD</v>
      </c>
      <c r="T493" s="13" t="str">
        <f>_xlfn.CONCAT(R493,"***",S493)</f>
        <v>DLDLD***DLDLD</v>
      </c>
      <c r="U493" s="21">
        <f>(P493-Q493)</f>
        <v>-19</v>
      </c>
      <c r="V493" s="14">
        <v>1</v>
      </c>
      <c r="W493" s="14">
        <v>2</v>
      </c>
      <c r="X493" s="20" t="str">
        <f>IF(ISBLANK(V493),"",IF(V493&gt;W493,"1",IF(V493&lt;W493,"2",IF(V493=W493,"X"))))</f>
        <v>2</v>
      </c>
      <c r="Y493" s="23" t="str">
        <f>COUNTIF(F493:J493, "W")&amp;COUNTIF(F493:J493, "d")&amp;COUNTIF(F493:J493, "l")</f>
        <v>032</v>
      </c>
      <c r="Z493" s="13" t="str">
        <f>COUNTIF(K493:O493, "W")&amp;COUNTIF(K493:O493, "d")&amp;COUNTIF(K493:O493, "l")</f>
        <v>032</v>
      </c>
      <c r="AA493" s="23" t="str">
        <f>_xlfn.CONCAT(Y493,"-",Z493)</f>
        <v>032-032</v>
      </c>
      <c r="AB493" s="13" t="str">
        <f>_xlfn.CONCAT(AA493,"…",TEXT(U493,"+00;-00;+00;"))</f>
        <v>032-032…-19</v>
      </c>
      <c r="AC493" s="23" t="str">
        <f>_xlfn.CONCAT(TEXT(P493,"+00;-00;+00;"),"…",TEXT(Q493,"+00;-00;+00;"))</f>
        <v>-20…-01</v>
      </c>
      <c r="AD493" s="14" t="str">
        <f>IF(X493="","?","")</f>
        <v/>
      </c>
      <c r="AE493" s="15" t="str">
        <f>_xlfn.CONCAT(AA493,"…",TEXT(P493,"+00;-00;+00;"),"...",TEXT(Q493,"+00;-00;+00;"))</f>
        <v>032-032…-20...-01</v>
      </c>
      <c r="AF493" s="13" t="str">
        <f>_xlfn.CONCAT(R493,"…",TEXT(P493,"+00;-00;+00;"),"...",TEXT(Q493,"+00;-00;+00;"))</f>
        <v>DLDLD…-20...-01</v>
      </c>
    </row>
    <row r="494" spans="1:32" x14ac:dyDescent="0.25">
      <c r="A494" s="13" t="s">
        <v>869</v>
      </c>
      <c r="B494" s="13" t="s">
        <v>7</v>
      </c>
      <c r="C494" s="14">
        <v>1</v>
      </c>
      <c r="D494" s="13" t="s">
        <v>514</v>
      </c>
      <c r="E494" s="13" t="s">
        <v>526</v>
      </c>
      <c r="F494" s="13" t="s">
        <v>29</v>
      </c>
      <c r="G494" s="13" t="s">
        <v>29</v>
      </c>
      <c r="H494" s="13" t="s">
        <v>31</v>
      </c>
      <c r="I494" s="13" t="s">
        <v>31</v>
      </c>
      <c r="J494" s="13" t="s">
        <v>29</v>
      </c>
      <c r="K494" s="13" t="s">
        <v>30</v>
      </c>
      <c r="L494" s="13" t="s">
        <v>30</v>
      </c>
      <c r="M494" s="13" t="s">
        <v>30</v>
      </c>
      <c r="N494" s="13" t="s">
        <v>30</v>
      </c>
      <c r="O494" s="13" t="s">
        <v>31</v>
      </c>
      <c r="P494" s="16">
        <v>-6</v>
      </c>
      <c r="Q494" s="16">
        <v>15</v>
      </c>
      <c r="R494" s="13" t="str">
        <f>_xlfn.CONCAT(F494,G494,H494,I494,J494)</f>
        <v>DDLLD</v>
      </c>
      <c r="S494" s="13" t="str">
        <f>_xlfn.CONCAT(K494,L494,M494,N494,O494)</f>
        <v>WWWWL</v>
      </c>
      <c r="T494" s="13" t="str">
        <f>_xlfn.CONCAT(R494,"***",S494)</f>
        <v>DDLLD***WWWWL</v>
      </c>
      <c r="U494" s="21">
        <f>(P494-Q494)</f>
        <v>-21</v>
      </c>
      <c r="V494" s="14">
        <v>0</v>
      </c>
      <c r="W494" s="14">
        <v>3</v>
      </c>
      <c r="X494" s="20" t="str">
        <f>IF(ISBLANK(V494),"",IF(V494&gt;W494,"1",IF(V494&lt;W494,"2",IF(V494=W494,"X"))))</f>
        <v>2</v>
      </c>
      <c r="Y494" s="23" t="str">
        <f>COUNTIF(F494:J494, "W")&amp;COUNTIF(F494:J494, "d")&amp;COUNTIF(F494:J494, "l")</f>
        <v>032</v>
      </c>
      <c r="Z494" s="13" t="str">
        <f>COUNTIF(K494:O494, "W")&amp;COUNTIF(K494:O494, "d")&amp;COUNTIF(K494:O494, "l")</f>
        <v>401</v>
      </c>
      <c r="AA494" s="23" t="str">
        <f>_xlfn.CONCAT(Y494,"-",Z494)</f>
        <v>032-401</v>
      </c>
      <c r="AB494" s="13" t="str">
        <f>_xlfn.CONCAT(AA494,"…",TEXT(U494,"+00;-00;+00;"))</f>
        <v>032-401…-21</v>
      </c>
      <c r="AC494" s="23" t="str">
        <f>_xlfn.CONCAT(TEXT(P494,"+00;-00;+00;"),"…",TEXT(Q494,"+00;-00;+00;"))</f>
        <v>-06…+15</v>
      </c>
      <c r="AD494" s="14" t="str">
        <f>IF(X494="","?","")</f>
        <v/>
      </c>
      <c r="AE494" s="15" t="str">
        <f>_xlfn.CONCAT(AA494,"…",TEXT(P494,"+00;-00;+00;"),"...",TEXT(Q494,"+00;-00;+00;"))</f>
        <v>032-401…-06...+15</v>
      </c>
      <c r="AF494" s="13" t="str">
        <f>_xlfn.CONCAT(R494,"…",TEXT(P494,"+00;-00;+00;"),"...",TEXT(Q494,"+00;-00;+00;"))</f>
        <v>DDLLD…-06...+15</v>
      </c>
    </row>
    <row r="495" spans="1:32" x14ac:dyDescent="0.25">
      <c r="A495" s="13" t="s">
        <v>869</v>
      </c>
      <c r="B495" s="13" t="s">
        <v>7</v>
      </c>
      <c r="C495" s="14">
        <v>2</v>
      </c>
      <c r="D495" s="13" t="s">
        <v>533</v>
      </c>
      <c r="E495" s="13" t="s">
        <v>537</v>
      </c>
      <c r="F495" s="13" t="s">
        <v>31</v>
      </c>
      <c r="G495" s="13" t="s">
        <v>31</v>
      </c>
      <c r="H495" s="13" t="s">
        <v>30</v>
      </c>
      <c r="I495" s="13" t="s">
        <v>31</v>
      </c>
      <c r="J495" s="13" t="s">
        <v>31</v>
      </c>
      <c r="K495" s="13" t="s">
        <v>30</v>
      </c>
      <c r="L495" s="13" t="s">
        <v>31</v>
      </c>
      <c r="M495" s="13" t="s">
        <v>31</v>
      </c>
      <c r="N495" s="13" t="s">
        <v>30</v>
      </c>
      <c r="O495" s="13" t="s">
        <v>31</v>
      </c>
      <c r="P495" s="16">
        <v>1</v>
      </c>
      <c r="Q495" s="16">
        <v>-6</v>
      </c>
      <c r="R495" s="13" t="str">
        <f>_xlfn.CONCAT(F495,G495,H495,I495,J495)</f>
        <v>LLWLL</v>
      </c>
      <c r="S495" s="13" t="str">
        <f>_xlfn.CONCAT(K495,L495,M495,N495,O495)</f>
        <v>WLLWL</v>
      </c>
      <c r="T495" s="13" t="str">
        <f>_xlfn.CONCAT(R495,"***",S495)</f>
        <v>LLWLL***WLLWL</v>
      </c>
      <c r="U495" s="21">
        <f>(P495-Q495)</f>
        <v>7</v>
      </c>
      <c r="V495" s="14">
        <v>0</v>
      </c>
      <c r="W495" s="14">
        <v>0</v>
      </c>
      <c r="X495" s="20" t="str">
        <f>IF(ISBLANK(V495),"",IF(V495&gt;W495,"1",IF(V495&lt;W495,"2",IF(V495=W495,"X"))))</f>
        <v>X</v>
      </c>
      <c r="Y495" s="23" t="str">
        <f>COUNTIF(F495:J495, "W")&amp;COUNTIF(F495:J495, "d")&amp;COUNTIF(F495:J495, "l")</f>
        <v>104</v>
      </c>
      <c r="Z495" s="13" t="str">
        <f>COUNTIF(K495:O495, "W")&amp;COUNTIF(K495:O495, "d")&amp;COUNTIF(K495:O495, "l")</f>
        <v>203</v>
      </c>
      <c r="AA495" s="23" t="str">
        <f>_xlfn.CONCAT(Y495,"-",Z495)</f>
        <v>104-203</v>
      </c>
      <c r="AB495" s="13" t="str">
        <f>_xlfn.CONCAT(AA495,"…",TEXT(U495,"+00;-00;+00;"))</f>
        <v>104-203…+07</v>
      </c>
      <c r="AC495" s="23" t="str">
        <f>_xlfn.CONCAT(TEXT(P495,"+00;-00;+00;"),"…",TEXT(Q495,"+00;-00;+00;"))</f>
        <v>+01…-06</v>
      </c>
      <c r="AD495" s="14" t="str">
        <f>IF(X495="","?","")</f>
        <v/>
      </c>
      <c r="AE495" s="15" t="str">
        <f>_xlfn.CONCAT(AA495,"…",TEXT(P495,"+00;-00;+00;"),"...",TEXT(Q495,"+00;-00;+00;"))</f>
        <v>104-203…+01...-06</v>
      </c>
      <c r="AF495" s="13" t="str">
        <f>_xlfn.CONCAT(R495,"…",TEXT(P495,"+00;-00;+00;"),"...",TEXT(Q495,"+00;-00;+00;"))</f>
        <v>LLWLL…+01...-06</v>
      </c>
    </row>
    <row r="496" spans="1:32" x14ac:dyDescent="0.25">
      <c r="A496" s="13" t="s">
        <v>869</v>
      </c>
      <c r="B496" s="13" t="s">
        <v>7</v>
      </c>
      <c r="C496" s="14">
        <v>2</v>
      </c>
      <c r="D496" s="13" t="s">
        <v>549</v>
      </c>
      <c r="E496" s="13" t="s">
        <v>553</v>
      </c>
      <c r="F496" s="13" t="s">
        <v>31</v>
      </c>
      <c r="G496" s="13" t="s">
        <v>31</v>
      </c>
      <c r="H496" s="13" t="s">
        <v>31</v>
      </c>
      <c r="I496" s="13" t="s">
        <v>31</v>
      </c>
      <c r="J496" s="13" t="s">
        <v>30</v>
      </c>
      <c r="K496" s="13" t="s">
        <v>29</v>
      </c>
      <c r="L496" s="13" t="s">
        <v>31</v>
      </c>
      <c r="M496" s="13" t="s">
        <v>30</v>
      </c>
      <c r="N496" s="13" t="s">
        <v>30</v>
      </c>
      <c r="O496" s="13" t="s">
        <v>30</v>
      </c>
      <c r="P496" s="16">
        <v>-2</v>
      </c>
      <c r="Q496" s="16">
        <v>20</v>
      </c>
      <c r="R496" s="13" t="str">
        <f>_xlfn.CONCAT(F496,G496,H496,I496,J496)</f>
        <v>LLLLW</v>
      </c>
      <c r="S496" s="13" t="str">
        <f>_xlfn.CONCAT(K496,L496,M496,N496,O496)</f>
        <v>DLWWW</v>
      </c>
      <c r="T496" s="13" t="str">
        <f>_xlfn.CONCAT(R496,"***",S496)</f>
        <v>LLLLW***DLWWW</v>
      </c>
      <c r="U496" s="21">
        <f>(P496-Q496)</f>
        <v>-22</v>
      </c>
      <c r="V496" s="14">
        <v>1</v>
      </c>
      <c r="W496" s="14">
        <v>1</v>
      </c>
      <c r="X496" s="20" t="str">
        <f>IF(ISBLANK(V496),"",IF(V496&gt;W496,"1",IF(V496&lt;W496,"2",IF(V496=W496,"X"))))</f>
        <v>X</v>
      </c>
      <c r="Y496" s="23" t="str">
        <f>COUNTIF(F496:J496, "W")&amp;COUNTIF(F496:J496, "d")&amp;COUNTIF(F496:J496, "l")</f>
        <v>104</v>
      </c>
      <c r="Z496" s="13" t="str">
        <f>COUNTIF(K496:O496, "W")&amp;COUNTIF(K496:O496, "d")&amp;COUNTIF(K496:O496, "l")</f>
        <v>311</v>
      </c>
      <c r="AA496" s="23" t="str">
        <f>_xlfn.CONCAT(Y496,"-",Z496)</f>
        <v>104-311</v>
      </c>
      <c r="AB496" s="13" t="str">
        <f>_xlfn.CONCAT(AA496,"…",TEXT(U496,"+00;-00;+00;"))</f>
        <v>104-311…-22</v>
      </c>
      <c r="AC496" s="23" t="str">
        <f>_xlfn.CONCAT(TEXT(P496,"+00;-00;+00;"),"…",TEXT(Q496,"+00;-00;+00;"))</f>
        <v>-02…+20</v>
      </c>
      <c r="AD496" s="14" t="str">
        <f>IF(X496="","?","")</f>
        <v/>
      </c>
      <c r="AE496" s="15" t="str">
        <f>_xlfn.CONCAT(AA496,"…",TEXT(P496,"+00;-00;+00;"),"...",TEXT(Q496,"+00;-00;+00;"))</f>
        <v>104-311…-02...+20</v>
      </c>
      <c r="AF496" s="13" t="str">
        <f>_xlfn.CONCAT(R496,"…",TEXT(P496,"+00;-00;+00;"),"...",TEXT(Q496,"+00;-00;+00;"))</f>
        <v>LLLLW…-02...+20</v>
      </c>
    </row>
    <row r="497" spans="1:32" x14ac:dyDescent="0.25">
      <c r="A497" s="13" t="s">
        <v>869</v>
      </c>
      <c r="B497" s="13" t="s">
        <v>7</v>
      </c>
      <c r="C497" s="14" t="s">
        <v>32</v>
      </c>
      <c r="D497" s="13" t="s">
        <v>489</v>
      </c>
      <c r="E497" s="13" t="s">
        <v>507</v>
      </c>
      <c r="F497" s="13" t="s">
        <v>31</v>
      </c>
      <c r="G497" s="13" t="s">
        <v>31</v>
      </c>
      <c r="H497" s="13" t="s">
        <v>30</v>
      </c>
      <c r="I497" s="13" t="s">
        <v>31</v>
      </c>
      <c r="J497" s="13" t="s">
        <v>29</v>
      </c>
      <c r="K497" s="13" t="s">
        <v>29</v>
      </c>
      <c r="L497" s="13" t="s">
        <v>31</v>
      </c>
      <c r="M497" s="13" t="s">
        <v>31</v>
      </c>
      <c r="N497" s="13" t="s">
        <v>30</v>
      </c>
      <c r="O497" s="13" t="s">
        <v>31</v>
      </c>
      <c r="P497" s="16">
        <v>4</v>
      </c>
      <c r="Q497" s="16">
        <v>-5</v>
      </c>
      <c r="R497" s="13" t="str">
        <f>_xlfn.CONCAT(F497,G497,H497,I497,J497)</f>
        <v>LLWLD</v>
      </c>
      <c r="S497" s="13" t="str">
        <f>_xlfn.CONCAT(K497,L497,M497,N497,O497)</f>
        <v>DLLWL</v>
      </c>
      <c r="T497" s="13" t="str">
        <f>_xlfn.CONCAT(R497,"***",S497)</f>
        <v>LLWLD***DLLWL</v>
      </c>
      <c r="U497" s="21">
        <f>(P497-Q497)</f>
        <v>9</v>
      </c>
      <c r="V497" s="14">
        <v>1</v>
      </c>
      <c r="W497" s="14">
        <v>0</v>
      </c>
      <c r="X497" s="20" t="str">
        <f>IF(ISBLANK(V497),"",IF(V497&gt;W497,"1",IF(V497&lt;W497,"2",IF(V497=W497,"X"))))</f>
        <v>1</v>
      </c>
      <c r="Y497" s="23" t="str">
        <f>COUNTIF(F497:J497, "W")&amp;COUNTIF(F497:J497, "d")&amp;COUNTIF(F497:J497, "l")</f>
        <v>113</v>
      </c>
      <c r="Z497" s="13" t="str">
        <f>COUNTIF(K497:O497, "W")&amp;COUNTIF(K497:O497, "d")&amp;COUNTIF(K497:O497, "l")</f>
        <v>113</v>
      </c>
      <c r="AA497" s="23" t="str">
        <f>_xlfn.CONCAT(Y497,"-",Z497)</f>
        <v>113-113</v>
      </c>
      <c r="AB497" s="13" t="str">
        <f>_xlfn.CONCAT(AA497,"…",TEXT(U497,"+00;-00;+00;"))</f>
        <v>113-113…+09</v>
      </c>
      <c r="AC497" s="23" t="str">
        <f>_xlfn.CONCAT(TEXT(P497,"+00;-00;+00;"),"…",TEXT(Q497,"+00;-00;+00;"))</f>
        <v>+04…-05</v>
      </c>
      <c r="AD497" s="14" t="str">
        <f>IF(X497="","?","")</f>
        <v/>
      </c>
      <c r="AE497" s="15" t="str">
        <f>_xlfn.CONCAT(AA497,"…",TEXT(P497,"+00;-00;+00;"),"...",TEXT(Q497,"+00;-00;+00;"))</f>
        <v>113-113…+04...-05</v>
      </c>
      <c r="AF497" s="13" t="str">
        <f>_xlfn.CONCAT(R497,"…",TEXT(P497,"+00;-00;+00;"),"...",TEXT(Q497,"+00;-00;+00;"))</f>
        <v>LLWLD…+04...-05</v>
      </c>
    </row>
    <row r="498" spans="1:32" x14ac:dyDescent="0.25">
      <c r="A498" s="13" t="s">
        <v>869</v>
      </c>
      <c r="B498" s="13" t="s">
        <v>7</v>
      </c>
      <c r="C498" s="14">
        <v>2</v>
      </c>
      <c r="D498" s="13" t="s">
        <v>891</v>
      </c>
      <c r="E498" s="13" t="s">
        <v>552</v>
      </c>
      <c r="F498" s="13" t="s">
        <v>31</v>
      </c>
      <c r="G498" s="13" t="s">
        <v>31</v>
      </c>
      <c r="H498" s="13" t="s">
        <v>31</v>
      </c>
      <c r="I498" s="13" t="s">
        <v>29</v>
      </c>
      <c r="J498" s="13" t="s">
        <v>30</v>
      </c>
      <c r="K498" s="13" t="s">
        <v>31</v>
      </c>
      <c r="L498" s="13" t="s">
        <v>30</v>
      </c>
      <c r="M498" s="13" t="s">
        <v>31</v>
      </c>
      <c r="N498" s="13" t="s">
        <v>30</v>
      </c>
      <c r="O498" s="13" t="s">
        <v>31</v>
      </c>
      <c r="P498" s="16">
        <v>-12</v>
      </c>
      <c r="Q498" s="16">
        <v>-3</v>
      </c>
      <c r="R498" s="13" t="str">
        <f>_xlfn.CONCAT(F498,G498,H498,I498,J498)</f>
        <v>LLLDW</v>
      </c>
      <c r="S498" s="13" t="str">
        <f>_xlfn.CONCAT(K498,L498,M498,N498,O498)</f>
        <v>LWLWL</v>
      </c>
      <c r="T498" s="13" t="str">
        <f>_xlfn.CONCAT(R498,"***",S498)</f>
        <v>LLLDW***LWLWL</v>
      </c>
      <c r="U498" s="21">
        <f>(P498-Q498)</f>
        <v>-9</v>
      </c>
      <c r="V498" s="14">
        <v>1</v>
      </c>
      <c r="W498" s="14">
        <v>2</v>
      </c>
      <c r="X498" s="20" t="str">
        <f>IF(ISBLANK(V498),"",IF(V498&gt;W498,"1",IF(V498&lt;W498,"2",IF(V498=W498,"X"))))</f>
        <v>2</v>
      </c>
      <c r="Y498" s="23" t="str">
        <f>COUNTIF(F498:J498, "W")&amp;COUNTIF(F498:J498, "d")&amp;COUNTIF(F498:J498, "l")</f>
        <v>113</v>
      </c>
      <c r="Z498" s="13" t="str">
        <f>COUNTIF(K498:O498, "W")&amp;COUNTIF(K498:O498, "d")&amp;COUNTIF(K498:O498, "l")</f>
        <v>203</v>
      </c>
      <c r="AA498" s="23" t="str">
        <f>_xlfn.CONCAT(Y498,"-",Z498)</f>
        <v>113-203</v>
      </c>
      <c r="AB498" s="13" t="str">
        <f>_xlfn.CONCAT(AA498,"…",TEXT(U498,"+00;-00;+00;"))</f>
        <v>113-203…-09</v>
      </c>
      <c r="AC498" s="23" t="str">
        <f>_xlfn.CONCAT(TEXT(P498,"+00;-00;+00;"),"…",TEXT(Q498,"+00;-00;+00;"))</f>
        <v>-12…-03</v>
      </c>
      <c r="AD498" s="14" t="str">
        <f>IF(X498="","?","")</f>
        <v/>
      </c>
      <c r="AE498" s="15" t="str">
        <f>_xlfn.CONCAT(AA498,"…",TEXT(P498,"+00;-00;+00;"),"...",TEXT(Q498,"+00;-00;+00;"))</f>
        <v>113-203…-12...-03</v>
      </c>
      <c r="AF498" s="13" t="str">
        <f>_xlfn.CONCAT(R498,"…",TEXT(P498,"+00;-00;+00;"),"...",TEXT(Q498,"+00;-00;+00;"))</f>
        <v>LLLDW…-12...-03</v>
      </c>
    </row>
    <row r="499" spans="1:32" x14ac:dyDescent="0.25">
      <c r="A499" s="12" t="s">
        <v>869</v>
      </c>
      <c r="B499" s="13" t="s">
        <v>7</v>
      </c>
      <c r="C499" s="14" t="s">
        <v>8</v>
      </c>
      <c r="D499" s="13" t="s">
        <v>14</v>
      </c>
      <c r="E499" s="13" t="s">
        <v>946</v>
      </c>
      <c r="F499" s="15" t="s">
        <v>31</v>
      </c>
      <c r="G499" s="15" t="s">
        <v>31</v>
      </c>
      <c r="H499" s="15" t="s">
        <v>31</v>
      </c>
      <c r="I499" s="15" t="s">
        <v>29</v>
      </c>
      <c r="J499" s="15" t="s">
        <v>30</v>
      </c>
      <c r="K499" s="15" t="s">
        <v>31</v>
      </c>
      <c r="L499" s="15" t="s">
        <v>30</v>
      </c>
      <c r="M499" s="15" t="s">
        <v>31</v>
      </c>
      <c r="N499" s="15" t="s">
        <v>31</v>
      </c>
      <c r="O499" s="15" t="s">
        <v>30</v>
      </c>
      <c r="P499" s="18">
        <v>-30</v>
      </c>
      <c r="Q499" s="18">
        <v>2</v>
      </c>
      <c r="R499" s="15" t="str">
        <f>_xlfn.CONCAT(F499,G499,H499,I499,J499)</f>
        <v>LLLDW</v>
      </c>
      <c r="S499" s="13" t="str">
        <f>_xlfn.CONCAT(K499,L499,M499,N499,O499)</f>
        <v>LWLLW</v>
      </c>
      <c r="T499" s="13" t="str">
        <f>_xlfn.CONCAT(R499,"***",S499)</f>
        <v>LLLDW***LWLLW</v>
      </c>
      <c r="U499" s="19">
        <f>(P499-Q499)</f>
        <v>-32</v>
      </c>
      <c r="V499" s="14">
        <v>1</v>
      </c>
      <c r="W499" s="14">
        <v>0</v>
      </c>
      <c r="X499" s="20" t="str">
        <f>IF(ISBLANK(V499),"",IF(V499&gt;W499,"1",IF(V499&lt;W499,"2",IF(V499=W499,"X"))))</f>
        <v>1</v>
      </c>
      <c r="Y499" s="23" t="str">
        <f>COUNTIF(F499:J499, "W")&amp;COUNTIF(F499:J499, "d")&amp;COUNTIF(F499:J499, "l")</f>
        <v>113</v>
      </c>
      <c r="Z499" s="13" t="str">
        <f>COUNTIF(K499:O499, "W")&amp;COUNTIF(K499:O499, "d")&amp;COUNTIF(K499:O499, "l")</f>
        <v>203</v>
      </c>
      <c r="AA499" s="23" t="str">
        <f>_xlfn.CONCAT(Y499,"-",Z499)</f>
        <v>113-203</v>
      </c>
      <c r="AB499" s="15" t="str">
        <f>_xlfn.CONCAT(AA499,"…",TEXT(U499,"+00;-00;+00;"))</f>
        <v>113-203…-32</v>
      </c>
      <c r="AC499" s="23" t="str">
        <f>_xlfn.CONCAT(TEXT(P499,"+00;-00;+00;"),"…",TEXT(Q499,"+00;-00;+00;"))</f>
        <v>-30…+02</v>
      </c>
      <c r="AD499" s="14" t="str">
        <f>IF(X499="","?","")</f>
        <v/>
      </c>
      <c r="AE499" s="15" t="str">
        <f>_xlfn.CONCAT(AA499,"…",TEXT(P499,"+00;-00;+00;"),"...",TEXT(Q499,"+00;-00;+00;"))</f>
        <v>113-203…-30...+02</v>
      </c>
      <c r="AF499" s="13" t="str">
        <f>_xlfn.CONCAT(R499,"…",TEXT(P499,"+00;-00;+00;"),"...",TEXT(Q499,"+00;-00;+00;"))</f>
        <v>LLLDW…-30...+02</v>
      </c>
    </row>
    <row r="500" spans="1:32" x14ac:dyDescent="0.25">
      <c r="A500" s="13" t="s">
        <v>869</v>
      </c>
      <c r="B500" s="13" t="s">
        <v>7</v>
      </c>
      <c r="C500" s="14" t="s">
        <v>32</v>
      </c>
      <c r="D500" s="13" t="s">
        <v>872</v>
      </c>
      <c r="E500" s="13" t="s">
        <v>503</v>
      </c>
      <c r="F500" s="13" t="s">
        <v>29</v>
      </c>
      <c r="G500" s="13" t="s">
        <v>30</v>
      </c>
      <c r="H500" s="13" t="s">
        <v>29</v>
      </c>
      <c r="I500" s="13" t="s">
        <v>31</v>
      </c>
      <c r="J500" s="13" t="s">
        <v>29</v>
      </c>
      <c r="K500" s="13" t="s">
        <v>31</v>
      </c>
      <c r="L500" s="13" t="s">
        <v>31</v>
      </c>
      <c r="M500" s="13" t="s">
        <v>30</v>
      </c>
      <c r="N500" s="13" t="s">
        <v>29</v>
      </c>
      <c r="O500" s="13" t="s">
        <v>30</v>
      </c>
      <c r="P500" s="13">
        <v>-13</v>
      </c>
      <c r="Q500" s="16">
        <v>-1</v>
      </c>
      <c r="R500" s="13" t="str">
        <f>_xlfn.CONCAT(F500,G500,H500,I500,J500)</f>
        <v>DWDLD</v>
      </c>
      <c r="S500" s="13" t="str">
        <f>_xlfn.CONCAT(K500,L500,M500,N500,O500)</f>
        <v>LLWDW</v>
      </c>
      <c r="T500" s="13" t="str">
        <f>_xlfn.CONCAT(R500,"***",S500)</f>
        <v>DWDLD***LLWDW</v>
      </c>
      <c r="U500" s="21">
        <f>(P500-Q500)</f>
        <v>-12</v>
      </c>
      <c r="V500" s="14">
        <v>1</v>
      </c>
      <c r="W500" s="14">
        <v>1</v>
      </c>
      <c r="X500" s="20" t="str">
        <f>IF(ISBLANK(V500),"",IF(V500&gt;W500,"1",IF(V500&lt;W500,"2",IF(V500=W500,"X"))))</f>
        <v>X</v>
      </c>
      <c r="Y500" s="23" t="str">
        <f>COUNTIF(F500:J500, "W")&amp;COUNTIF(F500:J500, "d")&amp;COUNTIF(F500:J500, "l")</f>
        <v>131</v>
      </c>
      <c r="Z500" s="13" t="str">
        <f>COUNTIF(K500:O500, "W")&amp;COUNTIF(K500:O500, "d")&amp;COUNTIF(K500:O500, "l")</f>
        <v>212</v>
      </c>
      <c r="AA500" s="23" t="str">
        <f>_xlfn.CONCAT(Y500,"-",Z500)</f>
        <v>131-212</v>
      </c>
      <c r="AB500" s="13" t="str">
        <f>_xlfn.CONCAT(AA500,"…",TEXT(U500,"+00;-00;+00;"))</f>
        <v>131-212…-12</v>
      </c>
      <c r="AC500" s="23" t="str">
        <f>_xlfn.CONCAT(TEXT(P500,"+00;-00;+00;"),"…",TEXT(Q500,"+00;-00;+00;"))</f>
        <v>-13…-01</v>
      </c>
      <c r="AD500" s="14" t="str">
        <f>IF(X500="","?","")</f>
        <v/>
      </c>
      <c r="AE500" s="15" t="str">
        <f>_xlfn.CONCAT(AA500,"…",TEXT(P500,"+00;-00;+00;"),"...",TEXT(Q500,"+00;-00;+00;"))</f>
        <v>131-212…-13...-01</v>
      </c>
      <c r="AF500" s="13" t="str">
        <f>_xlfn.CONCAT(R500,"…",TEXT(P500,"+00;-00;+00;"),"...",TEXT(Q500,"+00;-00;+00;"))</f>
        <v>DWDLD…-13...-01</v>
      </c>
    </row>
    <row r="501" spans="1:32" x14ac:dyDescent="0.25">
      <c r="A501" s="13" t="s">
        <v>869</v>
      </c>
      <c r="B501" s="13" t="s">
        <v>7</v>
      </c>
      <c r="C501" s="14">
        <v>2</v>
      </c>
      <c r="D501" s="13" t="s">
        <v>548</v>
      </c>
      <c r="E501" s="13" t="s">
        <v>556</v>
      </c>
      <c r="F501" s="13" t="s">
        <v>29</v>
      </c>
      <c r="G501" s="13" t="s">
        <v>29</v>
      </c>
      <c r="H501" s="13" t="s">
        <v>29</v>
      </c>
      <c r="I501" s="13" t="s">
        <v>30</v>
      </c>
      <c r="J501" s="13" t="s">
        <v>31</v>
      </c>
      <c r="K501" s="13" t="s">
        <v>29</v>
      </c>
      <c r="L501" s="13" t="s">
        <v>30</v>
      </c>
      <c r="M501" s="13" t="s">
        <v>30</v>
      </c>
      <c r="N501" s="13" t="s">
        <v>30</v>
      </c>
      <c r="O501" s="13" t="s">
        <v>31</v>
      </c>
      <c r="P501" s="16">
        <v>-5</v>
      </c>
      <c r="Q501" s="16">
        <v>12</v>
      </c>
      <c r="R501" s="13" t="str">
        <f>_xlfn.CONCAT(F501,G501,H501,I501,J501)</f>
        <v>DDDWL</v>
      </c>
      <c r="S501" s="13" t="str">
        <f>_xlfn.CONCAT(K501,L501,M501,N501,O501)</f>
        <v>DWWWL</v>
      </c>
      <c r="T501" s="13" t="str">
        <f>_xlfn.CONCAT(R501,"***",S501)</f>
        <v>DDDWL***DWWWL</v>
      </c>
      <c r="U501" s="21">
        <f>(P501-Q501)</f>
        <v>-17</v>
      </c>
      <c r="V501" s="14">
        <v>2</v>
      </c>
      <c r="W501" s="14">
        <v>1</v>
      </c>
      <c r="X501" s="20" t="str">
        <f>IF(ISBLANK(V501),"",IF(V501&gt;W501,"1",IF(V501&lt;W501,"2",IF(V501=W501,"X"))))</f>
        <v>1</v>
      </c>
      <c r="Y501" s="23" t="str">
        <f>COUNTIF(F501:J501, "W")&amp;COUNTIF(F501:J501, "d")&amp;COUNTIF(F501:J501, "l")</f>
        <v>131</v>
      </c>
      <c r="Z501" s="13" t="str">
        <f>COUNTIF(K501:O501, "W")&amp;COUNTIF(K501:O501, "d")&amp;COUNTIF(K501:O501, "l")</f>
        <v>311</v>
      </c>
      <c r="AA501" s="23" t="str">
        <f>_xlfn.CONCAT(Y501,"-",Z501)</f>
        <v>131-311</v>
      </c>
      <c r="AB501" s="13" t="str">
        <f>_xlfn.CONCAT(AA501,"…",TEXT(U501,"+00;-00;+00;"))</f>
        <v>131-311…-17</v>
      </c>
      <c r="AC501" s="23" t="str">
        <f>_xlfn.CONCAT(TEXT(P501,"+00;-00;+00;"),"…",TEXT(Q501,"+00;-00;+00;"))</f>
        <v>-05…+12</v>
      </c>
      <c r="AD501" s="14" t="str">
        <f>IF(X501="","?","")</f>
        <v/>
      </c>
      <c r="AE501" s="15" t="str">
        <f>_xlfn.CONCAT(AA501,"…",TEXT(P501,"+00;-00;+00;"),"...",TEXT(Q501,"+00;-00;+00;"))</f>
        <v>131-311…-05...+12</v>
      </c>
      <c r="AF501" s="13" t="str">
        <f>_xlfn.CONCAT(R501,"…",TEXT(P501,"+00;-00;+00;"),"...",TEXT(Q501,"+00;-00;+00;"))</f>
        <v>DDDWL…-05...+12</v>
      </c>
    </row>
    <row r="502" spans="1:32" x14ac:dyDescent="0.25">
      <c r="A502" s="13" t="s">
        <v>869</v>
      </c>
      <c r="B502" s="13" t="s">
        <v>7</v>
      </c>
      <c r="C502" s="14">
        <v>2</v>
      </c>
      <c r="D502" s="13" t="s">
        <v>551</v>
      </c>
      <c r="E502" s="13" t="s">
        <v>536</v>
      </c>
      <c r="F502" s="13" t="s">
        <v>30</v>
      </c>
      <c r="G502" s="13" t="s">
        <v>31</v>
      </c>
      <c r="H502" s="13" t="s">
        <v>30</v>
      </c>
      <c r="I502" s="13" t="s">
        <v>31</v>
      </c>
      <c r="J502" s="13" t="s">
        <v>31</v>
      </c>
      <c r="K502" s="13" t="s">
        <v>31</v>
      </c>
      <c r="L502" s="13" t="s">
        <v>29</v>
      </c>
      <c r="M502" s="13" t="s">
        <v>31</v>
      </c>
      <c r="N502" s="13" t="s">
        <v>31</v>
      </c>
      <c r="O502" s="13" t="s">
        <v>29</v>
      </c>
      <c r="P502" s="16">
        <v>6</v>
      </c>
      <c r="Q502" s="16">
        <v>-7</v>
      </c>
      <c r="R502" s="13" t="str">
        <f>_xlfn.CONCAT(F502,G502,H502,I502,J502)</f>
        <v>WLWLL</v>
      </c>
      <c r="S502" s="13" t="str">
        <f>_xlfn.CONCAT(K502,L502,M502,N502,O502)</f>
        <v>LDLLD</v>
      </c>
      <c r="T502" s="13" t="str">
        <f>_xlfn.CONCAT(R502,"***",S502)</f>
        <v>WLWLL***LDLLD</v>
      </c>
      <c r="U502" s="21">
        <f>(P502-Q502)</f>
        <v>13</v>
      </c>
      <c r="V502" s="14">
        <v>1</v>
      </c>
      <c r="W502" s="14">
        <v>2</v>
      </c>
      <c r="X502" s="20" t="str">
        <f>IF(ISBLANK(V502),"",IF(V502&gt;W502,"1",IF(V502&lt;W502,"2",IF(V502=W502,"X"))))</f>
        <v>2</v>
      </c>
      <c r="Y502" s="23" t="str">
        <f>COUNTIF(F502:J502, "W")&amp;COUNTIF(F502:J502, "d")&amp;COUNTIF(F502:J502, "l")</f>
        <v>203</v>
      </c>
      <c r="Z502" s="13" t="str">
        <f>COUNTIF(K502:O502, "W")&amp;COUNTIF(K502:O502, "d")&amp;COUNTIF(K502:O502, "l")</f>
        <v>023</v>
      </c>
      <c r="AA502" s="23" t="str">
        <f>_xlfn.CONCAT(Y502,"-",Z502)</f>
        <v>203-023</v>
      </c>
      <c r="AB502" s="13" t="str">
        <f>_xlfn.CONCAT(AA502,"…",TEXT(U502,"+00;-00;+00;"))</f>
        <v>203-023…+13</v>
      </c>
      <c r="AC502" s="23" t="str">
        <f>_xlfn.CONCAT(TEXT(P502,"+00;-00;+00;"),"…",TEXT(Q502,"+00;-00;+00;"))</f>
        <v>+06…-07</v>
      </c>
      <c r="AD502" s="14" t="str">
        <f>IF(X502="","?","")</f>
        <v/>
      </c>
      <c r="AE502" s="15" t="str">
        <f>_xlfn.CONCAT(AA502,"…",TEXT(P502,"+00;-00;+00;"),"...",TEXT(Q502,"+00;-00;+00;"))</f>
        <v>203-023…+06...-07</v>
      </c>
      <c r="AF502" s="13" t="str">
        <f>_xlfn.CONCAT(R502,"…",TEXT(P502,"+00;-00;+00;"),"...",TEXT(Q502,"+00;-00;+00;"))</f>
        <v>WLWLL…+06...-07</v>
      </c>
    </row>
    <row r="503" spans="1:32" x14ac:dyDescent="0.25">
      <c r="A503" s="12" t="s">
        <v>869</v>
      </c>
      <c r="B503" s="13" t="s">
        <v>7</v>
      </c>
      <c r="C503" s="14" t="s">
        <v>8</v>
      </c>
      <c r="D503" s="13" t="s">
        <v>608</v>
      </c>
      <c r="E503" s="13" t="s">
        <v>612</v>
      </c>
      <c r="F503" s="15" t="s">
        <v>30</v>
      </c>
      <c r="G503" s="15" t="s">
        <v>31</v>
      </c>
      <c r="H503" s="15" t="s">
        <v>31</v>
      </c>
      <c r="I503" s="15" t="s">
        <v>30</v>
      </c>
      <c r="J503" s="15" t="s">
        <v>31</v>
      </c>
      <c r="K503" s="15" t="s">
        <v>31</v>
      </c>
      <c r="L503" s="15" t="s">
        <v>31</v>
      </c>
      <c r="M503" s="15" t="s">
        <v>31</v>
      </c>
      <c r="N503" s="15" t="s">
        <v>31</v>
      </c>
      <c r="O503" s="15" t="s">
        <v>30</v>
      </c>
      <c r="P503" s="18">
        <v>-5</v>
      </c>
      <c r="Q503" s="18">
        <v>-11</v>
      </c>
      <c r="R503" s="15" t="str">
        <f>_xlfn.CONCAT(F503,G503,H503,I503,J503)</f>
        <v>WLLWL</v>
      </c>
      <c r="S503" s="13" t="str">
        <f>_xlfn.CONCAT(K503,L503,M503,N503,O503)</f>
        <v>LLLLW</v>
      </c>
      <c r="T503" s="13" t="str">
        <f>_xlfn.CONCAT(R503,"***",S503)</f>
        <v>WLLWL***LLLLW</v>
      </c>
      <c r="U503" s="19">
        <f>(P503-Q503)</f>
        <v>6</v>
      </c>
      <c r="V503" s="14">
        <v>1</v>
      </c>
      <c r="W503" s="14">
        <v>1</v>
      </c>
      <c r="X503" s="20" t="str">
        <f>IF(ISBLANK(V503),"",IF(V503&gt;W503,"1",IF(V503&lt;W503,"2",IF(V503=W503,"X"))))</f>
        <v>X</v>
      </c>
      <c r="Y503" s="23" t="str">
        <f>COUNTIF(F503:J503, "W")&amp;COUNTIF(F503:J503, "d")&amp;COUNTIF(F503:J503, "l")</f>
        <v>203</v>
      </c>
      <c r="Z503" s="13" t="str">
        <f>COUNTIF(K503:O503, "W")&amp;COUNTIF(K503:O503, "d")&amp;COUNTIF(K503:O503, "l")</f>
        <v>104</v>
      </c>
      <c r="AA503" s="23" t="str">
        <f>_xlfn.CONCAT(Y503,"-",Z503)</f>
        <v>203-104</v>
      </c>
      <c r="AB503" s="15" t="str">
        <f>_xlfn.CONCAT(AA503,"…",TEXT(U503,"+00;-00;+00;"))</f>
        <v>203-104…+06</v>
      </c>
      <c r="AC503" s="23" t="str">
        <f>_xlfn.CONCAT(TEXT(P503,"+00;-00;+00;"),"…",TEXT(Q503,"+00;-00;+00;"))</f>
        <v>-05…-11</v>
      </c>
      <c r="AD503" s="14" t="str">
        <f>IF(X503="","?","")</f>
        <v/>
      </c>
      <c r="AE503" s="15" t="str">
        <f>_xlfn.CONCAT(AA503,"…",TEXT(P503,"+00;-00;+00;"),"...",TEXT(Q503,"+00;-00;+00;"))</f>
        <v>203-104…-05...-11</v>
      </c>
      <c r="AF503" s="13" t="str">
        <f>_xlfn.CONCAT(R503,"…",TEXT(P503,"+00;-00;+00;"),"...",TEXT(Q503,"+00;-00;+00;"))</f>
        <v>WLLWL…-05...-11</v>
      </c>
    </row>
    <row r="504" spans="1:32" x14ac:dyDescent="0.25">
      <c r="A504" s="13" t="s">
        <v>869</v>
      </c>
      <c r="B504" s="13" t="s">
        <v>7</v>
      </c>
      <c r="C504" s="14">
        <v>2</v>
      </c>
      <c r="D504" s="13" t="s">
        <v>890</v>
      </c>
      <c r="E504" s="13" t="s">
        <v>534</v>
      </c>
      <c r="F504" s="13" t="s">
        <v>31</v>
      </c>
      <c r="G504" s="13" t="s">
        <v>30</v>
      </c>
      <c r="H504" s="13" t="s">
        <v>30</v>
      </c>
      <c r="I504" s="13" t="s">
        <v>31</v>
      </c>
      <c r="J504" s="13" t="s">
        <v>31</v>
      </c>
      <c r="K504" s="13" t="s">
        <v>30</v>
      </c>
      <c r="L504" s="13" t="s">
        <v>30</v>
      </c>
      <c r="M504" s="13" t="s">
        <v>29</v>
      </c>
      <c r="N504" s="13" t="s">
        <v>31</v>
      </c>
      <c r="O504" s="13" t="s">
        <v>31</v>
      </c>
      <c r="P504" s="16">
        <v>7</v>
      </c>
      <c r="Q504" s="16">
        <v>7</v>
      </c>
      <c r="R504" s="13" t="str">
        <f>_xlfn.CONCAT(F504,G504,H504,I504,J504)</f>
        <v>LWWLL</v>
      </c>
      <c r="S504" s="13" t="str">
        <f>_xlfn.CONCAT(K504,L504,M504,N504,O504)</f>
        <v>WWDLL</v>
      </c>
      <c r="T504" s="13" t="str">
        <f>_xlfn.CONCAT(R504,"***",S504)</f>
        <v>LWWLL***WWDLL</v>
      </c>
      <c r="U504" s="21">
        <f>(P504-Q504)</f>
        <v>0</v>
      </c>
      <c r="V504" s="14">
        <v>4</v>
      </c>
      <c r="W504" s="14">
        <v>0</v>
      </c>
      <c r="X504" s="20" t="str">
        <f>IF(ISBLANK(V504),"",IF(V504&gt;W504,"1",IF(V504&lt;W504,"2",IF(V504=W504,"X"))))</f>
        <v>1</v>
      </c>
      <c r="Y504" s="23" t="str">
        <f>COUNTIF(F504:J504, "W")&amp;COUNTIF(F504:J504, "d")&amp;COUNTIF(F504:J504, "l")</f>
        <v>203</v>
      </c>
      <c r="Z504" s="13" t="str">
        <f>COUNTIF(K504:O504, "W")&amp;COUNTIF(K504:O504, "d")&amp;COUNTIF(K504:O504, "l")</f>
        <v>212</v>
      </c>
      <c r="AA504" s="23" t="str">
        <f>_xlfn.CONCAT(Y504,"-",Z504)</f>
        <v>203-212</v>
      </c>
      <c r="AB504" s="13" t="str">
        <f>_xlfn.CONCAT(AA504,"…",TEXT(U504,"+00;-00;+00;"))</f>
        <v>203-212…+00</v>
      </c>
      <c r="AC504" s="23" t="str">
        <f>_xlfn.CONCAT(TEXT(P504,"+00;-00;+00;"),"…",TEXT(Q504,"+00;-00;+00;"))</f>
        <v>+07…+07</v>
      </c>
      <c r="AD504" s="14" t="str">
        <f>IF(X504="","?","")</f>
        <v/>
      </c>
      <c r="AE504" s="15" t="str">
        <f>_xlfn.CONCAT(AA504,"…",TEXT(P504,"+00;-00;+00;"),"...",TEXT(Q504,"+00;-00;+00;"))</f>
        <v>203-212…+07...+07</v>
      </c>
      <c r="AF504" s="13" t="str">
        <f>_xlfn.CONCAT(R504,"…",TEXT(P504,"+00;-00;+00;"),"...",TEXT(Q504,"+00;-00;+00;"))</f>
        <v>LWWLL…+07...+07</v>
      </c>
    </row>
    <row r="505" spans="1:32" x14ac:dyDescent="0.25">
      <c r="A505" s="13" t="s">
        <v>869</v>
      </c>
      <c r="B505" s="13" t="s">
        <v>7</v>
      </c>
      <c r="C505" s="14">
        <v>1</v>
      </c>
      <c r="D505" s="13" t="s">
        <v>884</v>
      </c>
      <c r="E505" s="13" t="s">
        <v>532</v>
      </c>
      <c r="F505" s="13" t="s">
        <v>31</v>
      </c>
      <c r="G505" s="13" t="s">
        <v>30</v>
      </c>
      <c r="H505" s="13" t="s">
        <v>30</v>
      </c>
      <c r="I505" s="13" t="s">
        <v>31</v>
      </c>
      <c r="J505" s="13" t="s">
        <v>29</v>
      </c>
      <c r="K505" s="13" t="s">
        <v>31</v>
      </c>
      <c r="L505" s="13" t="s">
        <v>29</v>
      </c>
      <c r="M505" s="13" t="s">
        <v>31</v>
      </c>
      <c r="N505" s="13" t="s">
        <v>31</v>
      </c>
      <c r="O505" s="13" t="s">
        <v>30</v>
      </c>
      <c r="P505" s="16">
        <v>8</v>
      </c>
      <c r="Q505" s="16">
        <v>-11</v>
      </c>
      <c r="R505" s="13" t="str">
        <f>_xlfn.CONCAT(F505,G505,H505,I505,J505)</f>
        <v>LWWLD</v>
      </c>
      <c r="S505" s="13" t="str">
        <f>_xlfn.CONCAT(K505,L505,M505,N505,O505)</f>
        <v>LDLLW</v>
      </c>
      <c r="T505" s="13" t="str">
        <f>_xlfn.CONCAT(R505,"***",S505)</f>
        <v>LWWLD***LDLLW</v>
      </c>
      <c r="U505" s="21">
        <f>(P505-Q505)</f>
        <v>19</v>
      </c>
      <c r="V505" s="14">
        <v>3</v>
      </c>
      <c r="W505" s="14">
        <v>0</v>
      </c>
      <c r="X505" s="20" t="str">
        <f>IF(ISBLANK(V505),"",IF(V505&gt;W505,"1",IF(V505&lt;W505,"2",IF(V505=W505,"X"))))</f>
        <v>1</v>
      </c>
      <c r="Y505" s="23" t="str">
        <f>COUNTIF(F505:J505, "W")&amp;COUNTIF(F505:J505, "d")&amp;COUNTIF(F505:J505, "l")</f>
        <v>212</v>
      </c>
      <c r="Z505" s="13" t="str">
        <f>COUNTIF(K505:O505, "W")&amp;COUNTIF(K505:O505, "d")&amp;COUNTIF(K505:O505, "l")</f>
        <v>113</v>
      </c>
      <c r="AA505" s="23" t="str">
        <f>_xlfn.CONCAT(Y505,"-",Z505)</f>
        <v>212-113</v>
      </c>
      <c r="AB505" s="13" t="str">
        <f>_xlfn.CONCAT(AA505,"…",TEXT(U505,"+00;-00;+00;"))</f>
        <v>212-113…+19</v>
      </c>
      <c r="AC505" s="23" t="str">
        <f>_xlfn.CONCAT(TEXT(P505,"+00;-00;+00;"),"…",TEXT(Q505,"+00;-00;+00;"))</f>
        <v>+08…-11</v>
      </c>
      <c r="AD505" s="14" t="str">
        <f>IF(X505="","?","")</f>
        <v/>
      </c>
      <c r="AE505" s="15" t="str">
        <f>_xlfn.CONCAT(AA505,"…",TEXT(P505,"+00;-00;+00;"),"...",TEXT(Q505,"+00;-00;+00;"))</f>
        <v>212-113…+08...-11</v>
      </c>
      <c r="AF505" s="13" t="str">
        <f>_xlfn.CONCAT(R505,"…",TEXT(P505,"+00;-00;+00;"),"...",TEXT(Q505,"+00;-00;+00;"))</f>
        <v>LWWLD…+08...-11</v>
      </c>
    </row>
    <row r="506" spans="1:32" x14ac:dyDescent="0.25">
      <c r="A506" s="13" t="s">
        <v>869</v>
      </c>
      <c r="B506" s="13" t="s">
        <v>7</v>
      </c>
      <c r="C506" s="14" t="s">
        <v>32</v>
      </c>
      <c r="D506" s="13" t="s">
        <v>873</v>
      </c>
      <c r="E506" s="13" t="s">
        <v>491</v>
      </c>
      <c r="F506" s="13" t="s">
        <v>30</v>
      </c>
      <c r="G506" s="13" t="s">
        <v>29</v>
      </c>
      <c r="H506" s="13" t="s">
        <v>30</v>
      </c>
      <c r="I506" s="13" t="s">
        <v>31</v>
      </c>
      <c r="J506" s="13" t="s">
        <v>31</v>
      </c>
      <c r="K506" s="13" t="s">
        <v>30</v>
      </c>
      <c r="L506" s="13" t="s">
        <v>31</v>
      </c>
      <c r="M506" s="13" t="s">
        <v>30</v>
      </c>
      <c r="N506" s="13" t="s">
        <v>31</v>
      </c>
      <c r="O506" s="13" t="s">
        <v>29</v>
      </c>
      <c r="P506" s="16">
        <v>22</v>
      </c>
      <c r="Q506" s="16">
        <v>2</v>
      </c>
      <c r="R506" s="13" t="str">
        <f>_xlfn.CONCAT(F506,G506,H506,I506,J506)</f>
        <v>WDWLL</v>
      </c>
      <c r="S506" s="13" t="str">
        <f>_xlfn.CONCAT(K506,L506,M506,N506,O506)</f>
        <v>WLWLD</v>
      </c>
      <c r="T506" s="13" t="str">
        <f>_xlfn.CONCAT(R506,"***",S506)</f>
        <v>WDWLL***WLWLD</v>
      </c>
      <c r="U506" s="21">
        <f>(P506-Q506)</f>
        <v>20</v>
      </c>
      <c r="V506" s="14">
        <v>4</v>
      </c>
      <c r="W506" s="14">
        <v>0</v>
      </c>
      <c r="X506" s="20" t="str">
        <f>IF(ISBLANK(V506),"",IF(V506&gt;W506,"1",IF(V506&lt;W506,"2",IF(V506=W506,"X"))))</f>
        <v>1</v>
      </c>
      <c r="Y506" s="23" t="str">
        <f>COUNTIF(F506:J506, "W")&amp;COUNTIF(F506:J506, "d")&amp;COUNTIF(F506:J506, "l")</f>
        <v>212</v>
      </c>
      <c r="Z506" s="13" t="str">
        <f>COUNTIF(K506:O506, "W")&amp;COUNTIF(K506:O506, "d")&amp;COUNTIF(K506:O506, "l")</f>
        <v>212</v>
      </c>
      <c r="AA506" s="23" t="str">
        <f>_xlfn.CONCAT(Y506,"-",Z506)</f>
        <v>212-212</v>
      </c>
      <c r="AB506" s="13" t="str">
        <f>_xlfn.CONCAT(AA506,"…",TEXT(U506,"+00;-00;+00;"))</f>
        <v>212-212…+20</v>
      </c>
      <c r="AC506" s="23" t="str">
        <f>_xlfn.CONCAT(TEXT(P506,"+00;-00;+00;"),"…",TEXT(Q506,"+00;-00;+00;"))</f>
        <v>+22…+02</v>
      </c>
      <c r="AD506" s="14" t="str">
        <f>IF(X506="","?","")</f>
        <v/>
      </c>
      <c r="AE506" s="15" t="str">
        <f>_xlfn.CONCAT(AA506,"…",TEXT(P506,"+00;-00;+00;"),"...",TEXT(Q506,"+00;-00;+00;"))</f>
        <v>212-212…+22...+02</v>
      </c>
      <c r="AF506" s="13" t="str">
        <f>_xlfn.CONCAT(R506,"…",TEXT(P506,"+00;-00;+00;"),"...",TEXT(Q506,"+00;-00;+00;"))</f>
        <v>WDWLL…+22...+02</v>
      </c>
    </row>
    <row r="507" spans="1:32" x14ac:dyDescent="0.25">
      <c r="A507" s="13" t="s">
        <v>869</v>
      </c>
      <c r="B507" s="13" t="s">
        <v>7</v>
      </c>
      <c r="C507" s="14">
        <v>1</v>
      </c>
      <c r="D507" s="13" t="s">
        <v>531</v>
      </c>
      <c r="E507" s="13" t="s">
        <v>509</v>
      </c>
      <c r="F507" s="13" t="s">
        <v>30</v>
      </c>
      <c r="G507" s="13" t="s">
        <v>30</v>
      </c>
      <c r="H507" s="13" t="s">
        <v>31</v>
      </c>
      <c r="I507" s="13" t="s">
        <v>29</v>
      </c>
      <c r="J507" s="13" t="s">
        <v>31</v>
      </c>
      <c r="K507" s="13" t="s">
        <v>30</v>
      </c>
      <c r="L507" s="13" t="s">
        <v>29</v>
      </c>
      <c r="M507" s="13" t="s">
        <v>31</v>
      </c>
      <c r="N507" s="13" t="s">
        <v>29</v>
      </c>
      <c r="O507" s="13" t="s">
        <v>30</v>
      </c>
      <c r="P507" s="16">
        <v>-8</v>
      </c>
      <c r="Q507" s="16">
        <v>14</v>
      </c>
      <c r="R507" s="13" t="str">
        <f>_xlfn.CONCAT(F507,G507,H507,I507,J507)</f>
        <v>WWLDL</v>
      </c>
      <c r="S507" s="13" t="str">
        <f>_xlfn.CONCAT(K507,L507,M507,N507,O507)</f>
        <v>WDLDW</v>
      </c>
      <c r="T507" s="13" t="str">
        <f>_xlfn.CONCAT(R507,"***",S507)</f>
        <v>WWLDL***WDLDW</v>
      </c>
      <c r="U507" s="21">
        <f>(P507-Q507)</f>
        <v>-22</v>
      </c>
      <c r="V507" s="14">
        <v>1</v>
      </c>
      <c r="W507" s="14">
        <v>3</v>
      </c>
      <c r="X507" s="20" t="str">
        <f>IF(ISBLANK(V507),"",IF(V507&gt;W507,"1",IF(V507&lt;W507,"2",IF(V507=W507,"X"))))</f>
        <v>2</v>
      </c>
      <c r="Y507" s="23" t="str">
        <f>COUNTIF(F507:J507, "W")&amp;COUNTIF(F507:J507, "d")&amp;COUNTIF(F507:J507, "l")</f>
        <v>212</v>
      </c>
      <c r="Z507" s="13" t="str">
        <f>COUNTIF(K507:O507, "W")&amp;COUNTIF(K507:O507, "d")&amp;COUNTIF(K507:O507, "l")</f>
        <v>221</v>
      </c>
      <c r="AA507" s="23" t="str">
        <f>_xlfn.CONCAT(Y507,"-",Z507)</f>
        <v>212-221</v>
      </c>
      <c r="AB507" s="13" t="str">
        <f>_xlfn.CONCAT(AA507,"…",TEXT(U507,"+00;-00;+00;"))</f>
        <v>212-221…-22</v>
      </c>
      <c r="AC507" s="23" t="str">
        <f>_xlfn.CONCAT(TEXT(P507,"+00;-00;+00;"),"…",TEXT(Q507,"+00;-00;+00;"))</f>
        <v>-08…+14</v>
      </c>
      <c r="AD507" s="14" t="str">
        <f>IF(X507="","?","")</f>
        <v/>
      </c>
      <c r="AE507" s="15" t="str">
        <f>_xlfn.CONCAT(AA507,"…",TEXT(P507,"+00;-00;+00;"),"...",TEXT(Q507,"+00;-00;+00;"))</f>
        <v>212-221…-08...+14</v>
      </c>
      <c r="AF507" s="13" t="str">
        <f>_xlfn.CONCAT(R507,"…",TEXT(P507,"+00;-00;+00;"),"...",TEXT(Q507,"+00;-00;+00;"))</f>
        <v>WWLDL…-08...+14</v>
      </c>
    </row>
    <row r="508" spans="1:32" x14ac:dyDescent="0.25">
      <c r="A508" s="13" t="s">
        <v>869</v>
      </c>
      <c r="B508" s="13" t="s">
        <v>7</v>
      </c>
      <c r="C508" s="14" t="s">
        <v>32</v>
      </c>
      <c r="D508" s="13" t="s">
        <v>659</v>
      </c>
      <c r="E508" s="13" t="s">
        <v>506</v>
      </c>
      <c r="F508" s="13" t="s">
        <v>31</v>
      </c>
      <c r="G508" s="13" t="s">
        <v>30</v>
      </c>
      <c r="H508" s="13" t="s">
        <v>31</v>
      </c>
      <c r="I508" s="13" t="s">
        <v>30</v>
      </c>
      <c r="J508" s="13" t="s">
        <v>29</v>
      </c>
      <c r="K508" s="13" t="s">
        <v>30</v>
      </c>
      <c r="L508" s="13" t="s">
        <v>30</v>
      </c>
      <c r="M508" s="13" t="s">
        <v>31</v>
      </c>
      <c r="N508" s="13" t="s">
        <v>30</v>
      </c>
      <c r="O508" s="13" t="s">
        <v>29</v>
      </c>
      <c r="P508" s="16">
        <v>2</v>
      </c>
      <c r="Q508" s="16">
        <v>16</v>
      </c>
      <c r="R508" s="13" t="str">
        <f>_xlfn.CONCAT(F508,G508,H508,I508,J508)</f>
        <v>LWLWD</v>
      </c>
      <c r="S508" s="13" t="str">
        <f>_xlfn.CONCAT(K508,L508,M508,N508,O508)</f>
        <v>WWLWD</v>
      </c>
      <c r="T508" s="13" t="str">
        <f>_xlfn.CONCAT(R508,"***",S508)</f>
        <v>LWLWD***WWLWD</v>
      </c>
      <c r="U508" s="21">
        <f>(P508-Q508)</f>
        <v>-14</v>
      </c>
      <c r="V508" s="14">
        <v>0</v>
      </c>
      <c r="W508" s="14">
        <v>2</v>
      </c>
      <c r="X508" s="20" t="str">
        <f>IF(ISBLANK(V508),"",IF(V508&gt;W508,"1",IF(V508&lt;W508,"2",IF(V508=W508,"X"))))</f>
        <v>2</v>
      </c>
      <c r="Y508" s="23" t="str">
        <f>COUNTIF(F508:J508, "W")&amp;COUNTIF(F508:J508, "d")&amp;COUNTIF(F508:J508, "l")</f>
        <v>212</v>
      </c>
      <c r="Z508" s="13" t="str">
        <f>COUNTIF(K508:O508, "W")&amp;COUNTIF(K508:O508, "d")&amp;COUNTIF(K508:O508, "l")</f>
        <v>311</v>
      </c>
      <c r="AA508" s="23" t="str">
        <f>_xlfn.CONCAT(Y508,"-",Z508)</f>
        <v>212-311</v>
      </c>
      <c r="AB508" s="13" t="str">
        <f>_xlfn.CONCAT(AA508,"…",TEXT(U508,"+00;-00;+00;"))</f>
        <v>212-311…-14</v>
      </c>
      <c r="AC508" s="23" t="str">
        <f>_xlfn.CONCAT(TEXT(P508,"+00;-00;+00;"),"…",TEXT(Q508,"+00;-00;+00;"))</f>
        <v>+02…+16</v>
      </c>
      <c r="AD508" s="14" t="str">
        <f>IF(X508="","?","")</f>
        <v/>
      </c>
      <c r="AE508" s="15" t="str">
        <f>_xlfn.CONCAT(AA508,"…",TEXT(P508,"+00;-00;+00;"),"...",TEXT(Q508,"+00;-00;+00;"))</f>
        <v>212-311…+02...+16</v>
      </c>
      <c r="AF508" s="13" t="str">
        <f>_xlfn.CONCAT(R508,"…",TEXT(P508,"+00;-00;+00;"),"...",TEXT(Q508,"+00;-00;+00;"))</f>
        <v>LWLWD…+02...+16</v>
      </c>
    </row>
    <row r="509" spans="1:32" x14ac:dyDescent="0.25">
      <c r="A509" s="12" t="s">
        <v>869</v>
      </c>
      <c r="B509" s="13" t="s">
        <v>318</v>
      </c>
      <c r="C509" s="14">
        <v>1</v>
      </c>
      <c r="D509" s="13" t="s">
        <v>975</v>
      </c>
      <c r="E509" s="13" t="s">
        <v>759</v>
      </c>
      <c r="F509" s="15" t="s">
        <v>31</v>
      </c>
      <c r="G509" s="15" t="s">
        <v>30</v>
      </c>
      <c r="H509" s="15" t="s">
        <v>29</v>
      </c>
      <c r="I509" s="15" t="s">
        <v>31</v>
      </c>
      <c r="J509" s="15" t="s">
        <v>30</v>
      </c>
      <c r="K509" s="15" t="s">
        <v>30</v>
      </c>
      <c r="L509" s="15" t="s">
        <v>29</v>
      </c>
      <c r="M509" s="15" t="s">
        <v>30</v>
      </c>
      <c r="N509" s="15" t="s">
        <v>30</v>
      </c>
      <c r="O509" s="15" t="s">
        <v>31</v>
      </c>
      <c r="P509" s="18">
        <v>3</v>
      </c>
      <c r="Q509" s="18">
        <v>18</v>
      </c>
      <c r="R509" s="15" t="str">
        <f>_xlfn.CONCAT(F509,G509,H509,I509,J509)</f>
        <v>LWDLW</v>
      </c>
      <c r="S509" s="13" t="str">
        <f>_xlfn.CONCAT(K509,L509,M509,N509,O509)</f>
        <v>WDWWL</v>
      </c>
      <c r="T509" s="13" t="str">
        <f>_xlfn.CONCAT(R509,"***",S509)</f>
        <v>LWDLW***WDWWL</v>
      </c>
      <c r="U509" s="19">
        <f>(P509-Q509)</f>
        <v>-15</v>
      </c>
      <c r="V509" s="14">
        <v>1</v>
      </c>
      <c r="W509" s="14">
        <v>3</v>
      </c>
      <c r="X509" s="20" t="str">
        <f>IF(ISBLANK(V509),"",IF(V509&gt;W509,"1",IF(V509&lt;W509,"2",IF(V509=W509,"X"))))</f>
        <v>2</v>
      </c>
      <c r="Y509" s="23" t="str">
        <f>COUNTIF(F509:J509, "W")&amp;COUNTIF(F509:J509, "d")&amp;COUNTIF(F509:J509, "l")</f>
        <v>212</v>
      </c>
      <c r="Z509" s="13" t="str">
        <f>COUNTIF(K509:O509, "W")&amp;COUNTIF(K509:O509, "d")&amp;COUNTIF(K509:O509, "l")</f>
        <v>311</v>
      </c>
      <c r="AA509" s="23" t="str">
        <f>_xlfn.CONCAT(Y509,"-",Z509)</f>
        <v>212-311</v>
      </c>
      <c r="AB509" s="15" t="str">
        <f>_xlfn.CONCAT(AA509,"…",TEXT(U509,"+00;-00;+00;"))</f>
        <v>212-311…-15</v>
      </c>
      <c r="AC509" s="23" t="str">
        <f>_xlfn.CONCAT(TEXT(P509,"+00;-00;+00;"),"…",TEXT(Q509,"+00;-00;+00;"))</f>
        <v>+03…+18</v>
      </c>
      <c r="AD509" s="14" t="str">
        <f>IF(X509="","?","")</f>
        <v/>
      </c>
      <c r="AE509" s="15" t="str">
        <f>_xlfn.CONCAT(AA509,"…",TEXT(P509,"+00;-00;+00;"),"...",TEXT(Q509,"+00;-00;+00;"))</f>
        <v>212-311…+03...+18</v>
      </c>
      <c r="AF509" s="13" t="str">
        <f>_xlfn.CONCAT(R509,"…",TEXT(P509,"+00;-00;+00;"),"...",TEXT(Q509,"+00;-00;+00;"))</f>
        <v>LWDLW…+03...+18</v>
      </c>
    </row>
    <row r="510" spans="1:32" x14ac:dyDescent="0.25">
      <c r="A510" s="12" t="s">
        <v>869</v>
      </c>
      <c r="B510" s="13" t="s">
        <v>7</v>
      </c>
      <c r="C510" s="14" t="s">
        <v>8</v>
      </c>
      <c r="D510" s="13" t="s">
        <v>618</v>
      </c>
      <c r="E510" s="13" t="s">
        <v>610</v>
      </c>
      <c r="F510" s="15" t="s">
        <v>30</v>
      </c>
      <c r="G510" s="15" t="s">
        <v>31</v>
      </c>
      <c r="H510" s="15" t="s">
        <v>30</v>
      </c>
      <c r="I510" s="15" t="s">
        <v>29</v>
      </c>
      <c r="J510" s="15" t="s">
        <v>29</v>
      </c>
      <c r="K510" s="15" t="s">
        <v>31</v>
      </c>
      <c r="L510" s="15" t="s">
        <v>30</v>
      </c>
      <c r="M510" s="15" t="s">
        <v>31</v>
      </c>
      <c r="N510" s="15" t="s">
        <v>31</v>
      </c>
      <c r="O510" s="15" t="s">
        <v>31</v>
      </c>
      <c r="P510" s="18">
        <v>5</v>
      </c>
      <c r="Q510" s="18">
        <v>-18</v>
      </c>
      <c r="R510" s="15" t="str">
        <f>_xlfn.CONCAT(F510,G510,H510,I510,J510)</f>
        <v>WLWDD</v>
      </c>
      <c r="S510" s="13" t="str">
        <f>_xlfn.CONCAT(K510,L510,M510,N510,O510)</f>
        <v>LWLLL</v>
      </c>
      <c r="T510" s="13" t="str">
        <f>_xlfn.CONCAT(R510,"***",S510)</f>
        <v>WLWDD***LWLLL</v>
      </c>
      <c r="U510" s="19">
        <f>(P510-Q510)</f>
        <v>23</v>
      </c>
      <c r="V510" s="14">
        <v>1</v>
      </c>
      <c r="W510" s="14">
        <v>1</v>
      </c>
      <c r="X510" s="20" t="str">
        <f>IF(ISBLANK(V510),"",IF(V510&gt;W510,"1",IF(V510&lt;W510,"2",IF(V510=W510,"X"))))</f>
        <v>X</v>
      </c>
      <c r="Y510" s="23" t="str">
        <f>COUNTIF(F510:J510, "W")&amp;COUNTIF(F510:J510, "d")&amp;COUNTIF(F510:J510, "l")</f>
        <v>221</v>
      </c>
      <c r="Z510" s="13" t="str">
        <f>COUNTIF(K510:O510, "W")&amp;COUNTIF(K510:O510, "d")&amp;COUNTIF(K510:O510, "l")</f>
        <v>104</v>
      </c>
      <c r="AA510" s="23" t="str">
        <f>_xlfn.CONCAT(Y510,"-",Z510)</f>
        <v>221-104</v>
      </c>
      <c r="AB510" s="15" t="str">
        <f>_xlfn.CONCAT(AA510,"…",TEXT(U510,"+00;-00;+00;"))</f>
        <v>221-104…+23</v>
      </c>
      <c r="AC510" s="23" t="str">
        <f>_xlfn.CONCAT(TEXT(P510,"+00;-00;+00;"),"…",TEXT(Q510,"+00;-00;+00;"))</f>
        <v>+05…-18</v>
      </c>
      <c r="AD510" s="14" t="str">
        <f>IF(X510="","?","")</f>
        <v/>
      </c>
      <c r="AE510" s="15" t="str">
        <f>_xlfn.CONCAT(AA510,"…",TEXT(P510,"+00;-00;+00;"),"...",TEXT(Q510,"+00;-00;+00;"))</f>
        <v>221-104…+05...-18</v>
      </c>
      <c r="AF510" s="13" t="str">
        <f>_xlfn.CONCAT(R510,"…",TEXT(P510,"+00;-00;+00;"),"...",TEXT(Q510,"+00;-00;+00;"))</f>
        <v>WLWDD…+05...-18</v>
      </c>
    </row>
    <row r="511" spans="1:32" x14ac:dyDescent="0.25">
      <c r="A511" s="13" t="s">
        <v>869</v>
      </c>
      <c r="B511" s="13" t="s">
        <v>7</v>
      </c>
      <c r="C511" s="14">
        <v>1</v>
      </c>
      <c r="D511" s="13" t="s">
        <v>519</v>
      </c>
      <c r="E511" s="13" t="s">
        <v>1070</v>
      </c>
      <c r="F511" s="13" t="s">
        <v>30</v>
      </c>
      <c r="G511" s="13" t="s">
        <v>29</v>
      </c>
      <c r="H511" s="13" t="s">
        <v>29</v>
      </c>
      <c r="I511" s="13" t="s">
        <v>30</v>
      </c>
      <c r="J511" s="13" t="s">
        <v>31</v>
      </c>
      <c r="K511" s="13" t="s">
        <v>31</v>
      </c>
      <c r="L511" s="13" t="s">
        <v>31</v>
      </c>
      <c r="M511" s="13" t="s">
        <v>31</v>
      </c>
      <c r="N511" s="13" t="s">
        <v>29</v>
      </c>
      <c r="O511" s="13" t="s">
        <v>30</v>
      </c>
      <c r="P511" s="16">
        <v>5</v>
      </c>
      <c r="Q511" s="16">
        <v>-11</v>
      </c>
      <c r="R511" s="13" t="str">
        <f>_xlfn.CONCAT(F511,G511,H511,I511,J511)</f>
        <v>WDDWL</v>
      </c>
      <c r="S511" s="13" t="str">
        <f>_xlfn.CONCAT(K511,L511,M511,N511,O511)</f>
        <v>LLLDW</v>
      </c>
      <c r="T511" s="13" t="str">
        <f>_xlfn.CONCAT(R511,"***",S511)</f>
        <v>WDDWL***LLLDW</v>
      </c>
      <c r="U511" s="21">
        <f>(P511-Q511)</f>
        <v>16</v>
      </c>
      <c r="V511" s="14">
        <v>2</v>
      </c>
      <c r="W511" s="14">
        <v>2</v>
      </c>
      <c r="X511" s="20" t="str">
        <f>IF(ISBLANK(V511),"",IF(V511&gt;W511,"1",IF(V511&lt;W511,"2",IF(V511=W511,"X"))))</f>
        <v>X</v>
      </c>
      <c r="Y511" s="23" t="str">
        <f>COUNTIF(F511:J511, "W")&amp;COUNTIF(F511:J511, "d")&amp;COUNTIF(F511:J511, "l")</f>
        <v>221</v>
      </c>
      <c r="Z511" s="13" t="str">
        <f>COUNTIF(K511:O511, "W")&amp;COUNTIF(K511:O511, "d")&amp;COUNTIF(K511:O511, "l")</f>
        <v>113</v>
      </c>
      <c r="AA511" s="23" t="str">
        <f>_xlfn.CONCAT(Y511,"-",Z511)</f>
        <v>221-113</v>
      </c>
      <c r="AB511" s="13" t="str">
        <f>_xlfn.CONCAT(AA511,"…",TEXT(U511,"+00;-00;+00;"))</f>
        <v>221-113…+16</v>
      </c>
      <c r="AC511" s="23" t="str">
        <f>_xlfn.CONCAT(TEXT(P511,"+00;-00;+00;"),"…",TEXT(Q511,"+00;-00;+00;"))</f>
        <v>+05…-11</v>
      </c>
      <c r="AD511" s="14" t="str">
        <f>IF(X511="","?","")</f>
        <v/>
      </c>
      <c r="AE511" s="15" t="str">
        <f>_xlfn.CONCAT(AA511,"…",TEXT(P511,"+00;-00;+00;"),"...",TEXT(Q511,"+00;-00;+00;"))</f>
        <v>221-113…+05...-11</v>
      </c>
      <c r="AF511" s="13" t="str">
        <f>_xlfn.CONCAT(R511,"…",TEXT(P511,"+00;-00;+00;"),"...",TEXT(Q511,"+00;-00;+00;"))</f>
        <v>WDDWL…+05...-11</v>
      </c>
    </row>
    <row r="512" spans="1:32" x14ac:dyDescent="0.25">
      <c r="A512" s="13" t="s">
        <v>869</v>
      </c>
      <c r="B512" s="13" t="s">
        <v>7</v>
      </c>
      <c r="C512" s="14">
        <v>1</v>
      </c>
      <c r="D512" s="13" t="s">
        <v>513</v>
      </c>
      <c r="E512" s="13" t="s">
        <v>520</v>
      </c>
      <c r="F512" s="13" t="s">
        <v>29</v>
      </c>
      <c r="G512" s="13" t="s">
        <v>31</v>
      </c>
      <c r="H512" s="13" t="s">
        <v>30</v>
      </c>
      <c r="I512" s="13" t="s">
        <v>29</v>
      </c>
      <c r="J512" s="13" t="s">
        <v>30</v>
      </c>
      <c r="K512" s="13" t="s">
        <v>31</v>
      </c>
      <c r="L512" s="13" t="s">
        <v>30</v>
      </c>
      <c r="M512" s="13" t="s">
        <v>29</v>
      </c>
      <c r="N512" s="13" t="s">
        <v>30</v>
      </c>
      <c r="O512" s="13" t="s">
        <v>31</v>
      </c>
      <c r="P512" s="16">
        <v>1</v>
      </c>
      <c r="Q512" s="16">
        <v>-17</v>
      </c>
      <c r="R512" s="13" t="str">
        <f>_xlfn.CONCAT(F512,G512,H512,I512,J512)</f>
        <v>DLWDW</v>
      </c>
      <c r="S512" s="13" t="str">
        <f>_xlfn.CONCAT(K512,L512,M512,N512,O512)</f>
        <v>LWDWL</v>
      </c>
      <c r="T512" s="13" t="str">
        <f>_xlfn.CONCAT(R512,"***",S512)</f>
        <v>DLWDW***LWDWL</v>
      </c>
      <c r="U512" s="21">
        <f>(P512-Q512)</f>
        <v>18</v>
      </c>
      <c r="V512" s="14">
        <v>1</v>
      </c>
      <c r="W512" s="14">
        <v>1</v>
      </c>
      <c r="X512" s="20" t="str">
        <f>IF(ISBLANK(V512),"",IF(V512&gt;W512,"1",IF(V512&lt;W512,"2",IF(V512=W512,"X"))))</f>
        <v>X</v>
      </c>
      <c r="Y512" s="23" t="str">
        <f>COUNTIF(F512:J512, "W")&amp;COUNTIF(F512:J512, "d")&amp;COUNTIF(F512:J512, "l")</f>
        <v>221</v>
      </c>
      <c r="Z512" s="13" t="str">
        <f>COUNTIF(K512:O512, "W")&amp;COUNTIF(K512:O512, "d")&amp;COUNTIF(K512:O512, "l")</f>
        <v>212</v>
      </c>
      <c r="AA512" s="23" t="str">
        <f>_xlfn.CONCAT(Y512,"-",Z512)</f>
        <v>221-212</v>
      </c>
      <c r="AB512" s="13" t="str">
        <f>_xlfn.CONCAT(AA512,"…",TEXT(U512,"+00;-00;+00;"))</f>
        <v>221-212…+18</v>
      </c>
      <c r="AC512" s="23" t="str">
        <f>_xlfn.CONCAT(TEXT(P512,"+00;-00;+00;"),"…",TEXT(Q512,"+00;-00;+00;"))</f>
        <v>+01…-17</v>
      </c>
      <c r="AD512" s="14" t="str">
        <f>IF(X512="","?","")</f>
        <v/>
      </c>
      <c r="AE512" s="15" t="str">
        <f>_xlfn.CONCAT(AA512,"…",TEXT(P512,"+00;-00;+00;"),"...",TEXT(Q512,"+00;-00;+00;"))</f>
        <v>221-212…+01...-17</v>
      </c>
      <c r="AF512" s="13" t="str">
        <f>_xlfn.CONCAT(R512,"…",TEXT(P512,"+00;-00;+00;"),"...",TEXT(Q512,"+00;-00;+00;"))</f>
        <v>DLWDW…+01...-17</v>
      </c>
    </row>
    <row r="513" spans="1:32" x14ac:dyDescent="0.25">
      <c r="A513" s="13" t="s">
        <v>869</v>
      </c>
      <c r="B513" s="13" t="s">
        <v>7</v>
      </c>
      <c r="C513" s="14" t="s">
        <v>32</v>
      </c>
      <c r="D513" s="13" t="s">
        <v>48</v>
      </c>
      <c r="E513" s="13" t="s">
        <v>56</v>
      </c>
      <c r="F513" s="13" t="s">
        <v>30</v>
      </c>
      <c r="G513" s="13" t="s">
        <v>30</v>
      </c>
      <c r="H513" s="13" t="s">
        <v>31</v>
      </c>
      <c r="I513" s="13" t="s">
        <v>29</v>
      </c>
      <c r="J513" s="13" t="s">
        <v>29</v>
      </c>
      <c r="K513" s="13" t="s">
        <v>31</v>
      </c>
      <c r="L513" s="13" t="s">
        <v>30</v>
      </c>
      <c r="M513" s="13" t="s">
        <v>29</v>
      </c>
      <c r="N513" s="13" t="s">
        <v>30</v>
      </c>
      <c r="O513" s="13" t="s">
        <v>31</v>
      </c>
      <c r="P513" s="13">
        <v>-13</v>
      </c>
      <c r="Q513" s="16">
        <v>5</v>
      </c>
      <c r="R513" s="13" t="str">
        <f>_xlfn.CONCAT(F513,G513,H513,I513,J513)</f>
        <v>WWLDD</v>
      </c>
      <c r="S513" s="13" t="str">
        <f>_xlfn.CONCAT(K513,L513,M513,N513,O513)</f>
        <v>LWDWL</v>
      </c>
      <c r="T513" s="13" t="str">
        <f>_xlfn.CONCAT(R513,"***",S513)</f>
        <v>WWLDD***LWDWL</v>
      </c>
      <c r="U513" s="21">
        <f>(P513-Q513)</f>
        <v>-18</v>
      </c>
      <c r="V513" s="14">
        <v>2</v>
      </c>
      <c r="W513" s="14">
        <v>0</v>
      </c>
      <c r="X513" s="20" t="str">
        <f>IF(ISBLANK(V513),"",IF(V513&gt;W513,"1",IF(V513&lt;W513,"2",IF(V513=W513,"X"))))</f>
        <v>1</v>
      </c>
      <c r="Y513" s="23" t="str">
        <f>COUNTIF(F513:J513, "W")&amp;COUNTIF(F513:J513, "d")&amp;COUNTIF(F513:J513, "l")</f>
        <v>221</v>
      </c>
      <c r="Z513" s="13" t="str">
        <f>COUNTIF(K513:O513, "W")&amp;COUNTIF(K513:O513, "d")&amp;COUNTIF(K513:O513, "l")</f>
        <v>212</v>
      </c>
      <c r="AA513" s="23" t="str">
        <f>_xlfn.CONCAT(Y513,"-",Z513)</f>
        <v>221-212</v>
      </c>
      <c r="AB513" s="13" t="str">
        <f>_xlfn.CONCAT(AA513,"…",TEXT(U513,"+00;-00;+00;"))</f>
        <v>221-212…-18</v>
      </c>
      <c r="AC513" s="23" t="str">
        <f>_xlfn.CONCAT(TEXT(P513,"+00;-00;+00;"),"…",TEXT(Q513,"+00;-00;+00;"))</f>
        <v>-13…+05</v>
      </c>
      <c r="AD513" s="14" t="str">
        <f>IF(X513="","?","")</f>
        <v/>
      </c>
      <c r="AE513" s="15" t="str">
        <f>_xlfn.CONCAT(AA513,"…",TEXT(P513,"+00;-00;+00;"),"...",TEXT(Q513,"+00;-00;+00;"))</f>
        <v>221-212…-13...+05</v>
      </c>
      <c r="AF513" s="13" t="str">
        <f>_xlfn.CONCAT(R513,"…",TEXT(P513,"+00;-00;+00;"),"...",TEXT(Q513,"+00;-00;+00;"))</f>
        <v>WWLDD…-13...+05</v>
      </c>
    </row>
    <row r="514" spans="1:32" x14ac:dyDescent="0.25">
      <c r="A514" s="13" t="s">
        <v>869</v>
      </c>
      <c r="B514" s="13" t="s">
        <v>7</v>
      </c>
      <c r="C514" s="14">
        <v>1</v>
      </c>
      <c r="D514" s="13" t="s">
        <v>529</v>
      </c>
      <c r="E514" s="13" t="s">
        <v>518</v>
      </c>
      <c r="F514" s="13" t="s">
        <v>30</v>
      </c>
      <c r="G514" s="13" t="s">
        <v>29</v>
      </c>
      <c r="H514" s="13" t="s">
        <v>29</v>
      </c>
      <c r="I514" s="13" t="s">
        <v>30</v>
      </c>
      <c r="J514" s="13" t="s">
        <v>31</v>
      </c>
      <c r="K514" s="13" t="s">
        <v>30</v>
      </c>
      <c r="L514" s="13" t="s">
        <v>29</v>
      </c>
      <c r="M514" s="13" t="s">
        <v>30</v>
      </c>
      <c r="N514" s="13" t="s">
        <v>31</v>
      </c>
      <c r="O514" s="13" t="s">
        <v>29</v>
      </c>
      <c r="P514" s="16">
        <v>7</v>
      </c>
      <c r="Q514" s="16">
        <v>6</v>
      </c>
      <c r="R514" s="13" t="str">
        <f>_xlfn.CONCAT(F514,G514,H514,I514,J514)</f>
        <v>WDDWL</v>
      </c>
      <c r="S514" s="13" t="str">
        <f>_xlfn.CONCAT(K514,L514,M514,N514,O514)</f>
        <v>WDWLD</v>
      </c>
      <c r="T514" s="13" t="str">
        <f>_xlfn.CONCAT(R514,"***",S514)</f>
        <v>WDDWL***WDWLD</v>
      </c>
      <c r="U514" s="21">
        <f>(P514-Q514)</f>
        <v>1</v>
      </c>
      <c r="V514" s="14">
        <v>0</v>
      </c>
      <c r="W514" s="14">
        <v>0</v>
      </c>
      <c r="X514" s="20" t="str">
        <f>IF(ISBLANK(V514),"",IF(V514&gt;W514,"1",IF(V514&lt;W514,"2",IF(V514=W514,"X"))))</f>
        <v>X</v>
      </c>
      <c r="Y514" s="23" t="str">
        <f>COUNTIF(F514:J514, "W")&amp;COUNTIF(F514:J514, "d")&amp;COUNTIF(F514:J514, "l")</f>
        <v>221</v>
      </c>
      <c r="Z514" s="13" t="str">
        <f>COUNTIF(K514:O514, "W")&amp;COUNTIF(K514:O514, "d")&amp;COUNTIF(K514:O514, "l")</f>
        <v>221</v>
      </c>
      <c r="AA514" s="23" t="str">
        <f>_xlfn.CONCAT(Y514,"-",Z514)</f>
        <v>221-221</v>
      </c>
      <c r="AB514" s="13" t="str">
        <f>_xlfn.CONCAT(AA514,"…",TEXT(U514,"+00;-00;+00;"))</f>
        <v>221-221…+01</v>
      </c>
      <c r="AC514" s="23" t="str">
        <f>_xlfn.CONCAT(TEXT(P514,"+00;-00;+00;"),"…",TEXT(Q514,"+00;-00;+00;"))</f>
        <v>+07…+06</v>
      </c>
      <c r="AD514" s="14" t="str">
        <f>IF(X514="","?","")</f>
        <v/>
      </c>
      <c r="AE514" s="15" t="str">
        <f>_xlfn.CONCAT(AA514,"…",TEXT(P514,"+00;-00;+00;"),"...",TEXT(Q514,"+00;-00;+00;"))</f>
        <v>221-221…+07...+06</v>
      </c>
      <c r="AF514" s="13" t="str">
        <f>_xlfn.CONCAT(R514,"…",TEXT(P514,"+00;-00;+00;"),"...",TEXT(Q514,"+00;-00;+00;"))</f>
        <v>WDDWL…+07...+06</v>
      </c>
    </row>
    <row r="515" spans="1:32" x14ac:dyDescent="0.25">
      <c r="A515" s="13" t="s">
        <v>869</v>
      </c>
      <c r="B515" s="13" t="s">
        <v>7</v>
      </c>
      <c r="C515" s="14">
        <v>2</v>
      </c>
      <c r="D515" s="13" t="s">
        <v>892</v>
      </c>
      <c r="E515" s="13" t="s">
        <v>550</v>
      </c>
      <c r="F515" s="13" t="s">
        <v>29</v>
      </c>
      <c r="G515" s="13" t="s">
        <v>30</v>
      </c>
      <c r="H515" s="13" t="s">
        <v>29</v>
      </c>
      <c r="I515" s="13" t="s">
        <v>30</v>
      </c>
      <c r="J515" s="13" t="s">
        <v>31</v>
      </c>
      <c r="K515" s="13" t="s">
        <v>30</v>
      </c>
      <c r="L515" s="13" t="s">
        <v>30</v>
      </c>
      <c r="M515" s="13" t="s">
        <v>31</v>
      </c>
      <c r="N515" s="13" t="s">
        <v>29</v>
      </c>
      <c r="O515" s="13" t="s">
        <v>30</v>
      </c>
      <c r="P515" s="16">
        <v>-6</v>
      </c>
      <c r="Q515" s="16">
        <v>-6</v>
      </c>
      <c r="R515" s="13" t="str">
        <f>_xlfn.CONCAT(F515,G515,H515,I515,J515)</f>
        <v>DWDWL</v>
      </c>
      <c r="S515" s="13" t="str">
        <f>_xlfn.CONCAT(K515,L515,M515,N515,O515)</f>
        <v>WWLDW</v>
      </c>
      <c r="T515" s="13" t="str">
        <f>_xlfn.CONCAT(R515,"***",S515)</f>
        <v>DWDWL***WWLDW</v>
      </c>
      <c r="U515" s="21">
        <f>(P515-Q515)</f>
        <v>0</v>
      </c>
      <c r="V515" s="14">
        <v>2</v>
      </c>
      <c r="W515" s="14">
        <v>1</v>
      </c>
      <c r="X515" s="20" t="str">
        <f>IF(ISBLANK(V515),"",IF(V515&gt;W515,"1",IF(V515&lt;W515,"2",IF(V515=W515,"X"))))</f>
        <v>1</v>
      </c>
      <c r="Y515" s="23" t="str">
        <f>COUNTIF(F515:J515, "W")&amp;COUNTIF(F515:J515, "d")&amp;COUNTIF(F515:J515, "l")</f>
        <v>221</v>
      </c>
      <c r="Z515" s="13" t="str">
        <f>COUNTIF(K515:O515, "W")&amp;COUNTIF(K515:O515, "d")&amp;COUNTIF(K515:O515, "l")</f>
        <v>311</v>
      </c>
      <c r="AA515" s="23" t="str">
        <f>_xlfn.CONCAT(Y515,"-",Z515)</f>
        <v>221-311</v>
      </c>
      <c r="AB515" s="13" t="str">
        <f>_xlfn.CONCAT(AA515,"…",TEXT(U515,"+00;-00;+00;"))</f>
        <v>221-311…+00</v>
      </c>
      <c r="AC515" s="23" t="str">
        <f>_xlfn.CONCAT(TEXT(P515,"+00;-00;+00;"),"…",TEXT(Q515,"+00;-00;+00;"))</f>
        <v>-06…-06</v>
      </c>
      <c r="AD515" s="14" t="str">
        <f>IF(X515="","?","")</f>
        <v/>
      </c>
      <c r="AE515" s="15" t="str">
        <f>_xlfn.CONCAT(AA515,"…",TEXT(P515,"+00;-00;+00;"),"...",TEXT(Q515,"+00;-00;+00;"))</f>
        <v>221-311…-06...-06</v>
      </c>
      <c r="AF515" s="13" t="str">
        <f>_xlfn.CONCAT(R515,"…",TEXT(P515,"+00;-00;+00;"),"...",TEXT(Q515,"+00;-00;+00;"))</f>
        <v>DWDWL…-06...-06</v>
      </c>
    </row>
    <row r="516" spans="1:32" x14ac:dyDescent="0.25">
      <c r="A516" s="13" t="s">
        <v>869</v>
      </c>
      <c r="B516" s="13" t="s">
        <v>7</v>
      </c>
      <c r="C516" s="14">
        <v>1</v>
      </c>
      <c r="D516" s="13" t="s">
        <v>887</v>
      </c>
      <c r="E516" s="13" t="s">
        <v>888</v>
      </c>
      <c r="F516" s="13" t="s">
        <v>31</v>
      </c>
      <c r="G516" s="13" t="s">
        <v>30</v>
      </c>
      <c r="H516" s="13" t="s">
        <v>30</v>
      </c>
      <c r="I516" s="13" t="s">
        <v>30</v>
      </c>
      <c r="J516" s="13" t="s">
        <v>31</v>
      </c>
      <c r="K516" s="13" t="s">
        <v>31</v>
      </c>
      <c r="L516" s="13" t="s">
        <v>31</v>
      </c>
      <c r="M516" s="13" t="s">
        <v>30</v>
      </c>
      <c r="N516" s="13" t="s">
        <v>29</v>
      </c>
      <c r="O516" s="13" t="s">
        <v>29</v>
      </c>
      <c r="P516" s="16">
        <v>-5</v>
      </c>
      <c r="Q516" s="16">
        <v>-13</v>
      </c>
      <c r="R516" s="13" t="str">
        <f>_xlfn.CONCAT(F516,G516,H516,I516,J516)</f>
        <v>LWWWL</v>
      </c>
      <c r="S516" s="13" t="str">
        <f>_xlfn.CONCAT(K516,L516,M516,N516,O516)</f>
        <v>LLWDD</v>
      </c>
      <c r="T516" s="13" t="str">
        <f>_xlfn.CONCAT(R516,"***",S516)</f>
        <v>LWWWL***LLWDD</v>
      </c>
      <c r="U516" s="21">
        <f>(P516-Q516)</f>
        <v>8</v>
      </c>
      <c r="V516" s="14">
        <v>3</v>
      </c>
      <c r="W516" s="14">
        <v>0</v>
      </c>
      <c r="X516" s="20" t="str">
        <f>IF(ISBLANK(V516),"",IF(V516&gt;W516,"1",IF(V516&lt;W516,"2",IF(V516=W516,"X"))))</f>
        <v>1</v>
      </c>
      <c r="Y516" s="23" t="str">
        <f>COUNTIF(F516:J516, "W")&amp;COUNTIF(F516:J516, "d")&amp;COUNTIF(F516:J516, "l")</f>
        <v>302</v>
      </c>
      <c r="Z516" s="13" t="str">
        <f>COUNTIF(K516:O516, "W")&amp;COUNTIF(K516:O516, "d")&amp;COUNTIF(K516:O516, "l")</f>
        <v>122</v>
      </c>
      <c r="AA516" s="23" t="str">
        <f>_xlfn.CONCAT(Y516,"-",Z516)</f>
        <v>302-122</v>
      </c>
      <c r="AB516" s="13" t="str">
        <f>_xlfn.CONCAT(AA516,"…",TEXT(U516,"+00;-00;+00;"))</f>
        <v>302-122…+08</v>
      </c>
      <c r="AC516" s="23" t="str">
        <f>_xlfn.CONCAT(TEXT(P516,"+00;-00;+00;"),"…",TEXT(Q516,"+00;-00;+00;"))</f>
        <v>-05…-13</v>
      </c>
      <c r="AD516" s="14" t="str">
        <f>IF(X516="","?","")</f>
        <v/>
      </c>
      <c r="AE516" s="15" t="str">
        <f>_xlfn.CONCAT(AA516,"…",TEXT(P516,"+00;-00;+00;"),"...",TEXT(Q516,"+00;-00;+00;"))</f>
        <v>302-122…-05...-13</v>
      </c>
      <c r="AF516" s="13" t="str">
        <f>_xlfn.CONCAT(R516,"…",TEXT(P516,"+00;-00;+00;"),"...",TEXT(Q516,"+00;-00;+00;"))</f>
        <v>LWWWL…-05...-13</v>
      </c>
    </row>
    <row r="517" spans="1:32" x14ac:dyDescent="0.25">
      <c r="A517" s="13" t="s">
        <v>869</v>
      </c>
      <c r="B517" s="13" t="s">
        <v>7</v>
      </c>
      <c r="C517" s="14" t="s">
        <v>32</v>
      </c>
      <c r="D517" s="13" t="s">
        <v>496</v>
      </c>
      <c r="E517" s="13" t="s">
        <v>494</v>
      </c>
      <c r="F517" s="13" t="s">
        <v>30</v>
      </c>
      <c r="G517" s="13" t="s">
        <v>31</v>
      </c>
      <c r="H517" s="13" t="s">
        <v>30</v>
      </c>
      <c r="I517" s="13" t="s">
        <v>30</v>
      </c>
      <c r="J517" s="13" t="s">
        <v>31</v>
      </c>
      <c r="K517" s="13" t="s">
        <v>31</v>
      </c>
      <c r="L517" s="13" t="s">
        <v>31</v>
      </c>
      <c r="M517" s="13" t="s">
        <v>31</v>
      </c>
      <c r="N517" s="13" t="s">
        <v>30</v>
      </c>
      <c r="O517" s="13" t="s">
        <v>30</v>
      </c>
      <c r="P517" s="16">
        <v>-2</v>
      </c>
      <c r="Q517" s="16">
        <v>-8</v>
      </c>
      <c r="R517" s="13" t="str">
        <f>_xlfn.CONCAT(F517,G517,H517,I517,J517)</f>
        <v>WLWWL</v>
      </c>
      <c r="S517" s="13" t="str">
        <f>_xlfn.CONCAT(K517,L517,M517,N517,O517)</f>
        <v>LLLWW</v>
      </c>
      <c r="T517" s="13" t="str">
        <f>_xlfn.CONCAT(R517,"***",S517)</f>
        <v>WLWWL***LLLWW</v>
      </c>
      <c r="U517" s="21">
        <f>(P517-Q517)</f>
        <v>6</v>
      </c>
      <c r="V517" s="14">
        <v>0</v>
      </c>
      <c r="W517" s="14">
        <v>0</v>
      </c>
      <c r="X517" s="20" t="str">
        <f>IF(ISBLANK(V517),"",IF(V517&gt;W517,"1",IF(V517&lt;W517,"2",IF(V517=W517,"X"))))</f>
        <v>X</v>
      </c>
      <c r="Y517" s="23" t="str">
        <f>COUNTIF(F517:J517, "W")&amp;COUNTIF(F517:J517, "d")&amp;COUNTIF(F517:J517, "l")</f>
        <v>302</v>
      </c>
      <c r="Z517" s="13" t="str">
        <f>COUNTIF(K517:O517, "W")&amp;COUNTIF(K517:O517, "d")&amp;COUNTIF(K517:O517, "l")</f>
        <v>203</v>
      </c>
      <c r="AA517" s="23" t="str">
        <f>_xlfn.CONCAT(Y517,"-",Z517)</f>
        <v>302-203</v>
      </c>
      <c r="AB517" s="13" t="str">
        <f>_xlfn.CONCAT(AA517,"…",TEXT(U517,"+00;-00;+00;"))</f>
        <v>302-203…+06</v>
      </c>
      <c r="AC517" s="23" t="str">
        <f>_xlfn.CONCAT(TEXT(P517,"+00;-00;+00;"),"…",TEXT(Q517,"+00;-00;+00;"))</f>
        <v>-02…-08</v>
      </c>
      <c r="AD517" s="14" t="str">
        <f>IF(X517="","?","")</f>
        <v/>
      </c>
      <c r="AE517" s="15" t="str">
        <f>_xlfn.CONCAT(AA517,"…",TEXT(P517,"+00;-00;+00;"),"...",TEXT(Q517,"+00;-00;+00;"))</f>
        <v>302-203…-02...-08</v>
      </c>
      <c r="AF517" s="13" t="str">
        <f>_xlfn.CONCAT(R517,"…",TEXT(P517,"+00;-00;+00;"),"...",TEXT(Q517,"+00;-00;+00;"))</f>
        <v>WLWWL…-02...-08</v>
      </c>
    </row>
    <row r="518" spans="1:32" x14ac:dyDescent="0.25">
      <c r="A518" s="13" t="s">
        <v>869</v>
      </c>
      <c r="B518" s="13" t="s">
        <v>7</v>
      </c>
      <c r="C518" s="14">
        <v>1</v>
      </c>
      <c r="D518" s="13" t="s">
        <v>528</v>
      </c>
      <c r="E518" s="13" t="s">
        <v>523</v>
      </c>
      <c r="F518" s="13" t="s">
        <v>29</v>
      </c>
      <c r="G518" s="13" t="s">
        <v>30</v>
      </c>
      <c r="H518" s="13" t="s">
        <v>30</v>
      </c>
      <c r="I518" s="13" t="s">
        <v>31</v>
      </c>
      <c r="J518" s="13" t="s">
        <v>30</v>
      </c>
      <c r="K518" s="13" t="s">
        <v>29</v>
      </c>
      <c r="L518" s="13" t="s">
        <v>31</v>
      </c>
      <c r="M518" s="13" t="s">
        <v>30</v>
      </c>
      <c r="N518" s="13" t="s">
        <v>30</v>
      </c>
      <c r="O518" s="13" t="s">
        <v>29</v>
      </c>
      <c r="P518" s="16">
        <v>17</v>
      </c>
      <c r="Q518" s="16">
        <v>13</v>
      </c>
      <c r="R518" s="13" t="str">
        <f>_xlfn.CONCAT(F518,G518,H518,I518,J518)</f>
        <v>DWWLW</v>
      </c>
      <c r="S518" s="13" t="str">
        <f>_xlfn.CONCAT(K518,L518,M518,N518,O518)</f>
        <v>DLWWD</v>
      </c>
      <c r="T518" s="13" t="str">
        <f>_xlfn.CONCAT(R518,"***",S518)</f>
        <v>DWWLW***DLWWD</v>
      </c>
      <c r="U518" s="21">
        <f>(P518-Q518)</f>
        <v>4</v>
      </c>
      <c r="V518" s="14">
        <v>3</v>
      </c>
      <c r="W518" s="14">
        <v>0</v>
      </c>
      <c r="X518" s="20" t="str">
        <f>IF(ISBLANK(V518),"",IF(V518&gt;W518,"1",IF(V518&lt;W518,"2",IF(V518=W518,"X"))))</f>
        <v>1</v>
      </c>
      <c r="Y518" s="23" t="str">
        <f>COUNTIF(F518:J518, "W")&amp;COUNTIF(F518:J518, "d")&amp;COUNTIF(F518:J518, "l")</f>
        <v>311</v>
      </c>
      <c r="Z518" s="13" t="str">
        <f>COUNTIF(K518:O518, "W")&amp;COUNTIF(K518:O518, "d")&amp;COUNTIF(K518:O518, "l")</f>
        <v>221</v>
      </c>
      <c r="AA518" s="23" t="str">
        <f>_xlfn.CONCAT(Y518,"-",Z518)</f>
        <v>311-221</v>
      </c>
      <c r="AB518" s="13" t="str">
        <f>_xlfn.CONCAT(AA518,"…",TEXT(U518,"+00;-00;+00;"))</f>
        <v>311-221…+04</v>
      </c>
      <c r="AC518" s="23" t="str">
        <f>_xlfn.CONCAT(TEXT(P518,"+00;-00;+00;"),"…",TEXT(Q518,"+00;-00;+00;"))</f>
        <v>+17…+13</v>
      </c>
      <c r="AD518" s="14" t="str">
        <f>IF(X518="","?","")</f>
        <v/>
      </c>
      <c r="AE518" s="15" t="str">
        <f>_xlfn.CONCAT(AA518,"…",TEXT(P518,"+00;-00;+00;"),"...",TEXT(Q518,"+00;-00;+00;"))</f>
        <v>311-221…+17...+13</v>
      </c>
      <c r="AF518" s="13" t="str">
        <f>_xlfn.CONCAT(R518,"…",TEXT(P518,"+00;-00;+00;"),"...",TEXT(Q518,"+00;-00;+00;"))</f>
        <v>DWWLW…+17...+13</v>
      </c>
    </row>
    <row r="519" spans="1:32" x14ac:dyDescent="0.25">
      <c r="A519" s="13" t="s">
        <v>869</v>
      </c>
      <c r="B519" s="13" t="s">
        <v>7</v>
      </c>
      <c r="C519" s="14" t="s">
        <v>32</v>
      </c>
      <c r="D519" s="13" t="s">
        <v>657</v>
      </c>
      <c r="E519" s="13" t="s">
        <v>660</v>
      </c>
      <c r="F519" s="13" t="s">
        <v>30</v>
      </c>
      <c r="G519" s="13" t="s">
        <v>30</v>
      </c>
      <c r="H519" s="13" t="s">
        <v>31</v>
      </c>
      <c r="I519" s="13" t="s">
        <v>30</v>
      </c>
      <c r="J519" s="13" t="s">
        <v>29</v>
      </c>
      <c r="K519" s="13" t="s">
        <v>30</v>
      </c>
      <c r="L519" s="13" t="s">
        <v>30</v>
      </c>
      <c r="M519" s="13" t="s">
        <v>29</v>
      </c>
      <c r="N519" s="13" t="s">
        <v>30</v>
      </c>
      <c r="O519" s="13" t="s">
        <v>30</v>
      </c>
      <c r="P519" s="16">
        <v>5</v>
      </c>
      <c r="Q519" s="16">
        <v>4</v>
      </c>
      <c r="R519" s="13" t="str">
        <f>_xlfn.CONCAT(F519,G519,H519,I519,J519)</f>
        <v>WWLWD</v>
      </c>
      <c r="S519" s="13" t="str">
        <f>_xlfn.CONCAT(K519,L519,M519,N519,O519)</f>
        <v>WWDWW</v>
      </c>
      <c r="T519" s="13" t="str">
        <f>_xlfn.CONCAT(R519,"***",S519)</f>
        <v>WWLWD***WWDWW</v>
      </c>
      <c r="U519" s="21">
        <f>(P519-Q519)</f>
        <v>1</v>
      </c>
      <c r="V519" s="14">
        <v>1</v>
      </c>
      <c r="W519" s="14">
        <v>1</v>
      </c>
      <c r="X519" s="20" t="str">
        <f>IF(ISBLANK(V519),"",IF(V519&gt;W519,"1",IF(V519&lt;W519,"2",IF(V519=W519,"X"))))</f>
        <v>X</v>
      </c>
      <c r="Y519" s="23" t="str">
        <f>COUNTIF(F519:J519, "W")&amp;COUNTIF(F519:J519, "d")&amp;COUNTIF(F519:J519, "l")</f>
        <v>311</v>
      </c>
      <c r="Z519" s="13" t="str">
        <f>COUNTIF(K519:O519, "W")&amp;COUNTIF(K519:O519, "d")&amp;COUNTIF(K519:O519, "l")</f>
        <v>410</v>
      </c>
      <c r="AA519" s="23" t="str">
        <f>_xlfn.CONCAT(Y519,"-",Z519)</f>
        <v>311-410</v>
      </c>
      <c r="AB519" s="13" t="str">
        <f>_xlfn.CONCAT(AA519,"…",TEXT(U519,"+00;-00;+00;"))</f>
        <v>311-410…+01</v>
      </c>
      <c r="AC519" s="23" t="str">
        <f>_xlfn.CONCAT(TEXT(P519,"+00;-00;+00;"),"…",TEXT(Q519,"+00;-00;+00;"))</f>
        <v>+05…+04</v>
      </c>
      <c r="AD519" s="14" t="str">
        <f>IF(X519="","?","")</f>
        <v/>
      </c>
      <c r="AE519" s="15" t="str">
        <f>_xlfn.CONCAT(AA519,"…",TEXT(P519,"+00;-00;+00;"),"...",TEXT(Q519,"+00;-00;+00;"))</f>
        <v>311-410…+05...+04</v>
      </c>
      <c r="AF519" s="13" t="str">
        <f>_xlfn.CONCAT(R519,"…",TEXT(P519,"+00;-00;+00;"),"...",TEXT(Q519,"+00;-00;+00;"))</f>
        <v>WWLWD…+05...+04</v>
      </c>
    </row>
    <row r="520" spans="1:32" x14ac:dyDescent="0.25">
      <c r="A520" s="12" t="s">
        <v>869</v>
      </c>
      <c r="B520" s="13" t="s">
        <v>7</v>
      </c>
      <c r="C520" s="14" t="s">
        <v>8</v>
      </c>
      <c r="D520" s="13" t="s">
        <v>614</v>
      </c>
      <c r="E520" s="13" t="s">
        <v>947</v>
      </c>
      <c r="F520" s="15" t="s">
        <v>30</v>
      </c>
      <c r="G520" s="15" t="s">
        <v>31</v>
      </c>
      <c r="H520" s="15" t="s">
        <v>30</v>
      </c>
      <c r="I520" s="15" t="s">
        <v>30</v>
      </c>
      <c r="J520" s="15" t="s">
        <v>30</v>
      </c>
      <c r="K520" s="15" t="s">
        <v>30</v>
      </c>
      <c r="L520" s="15" t="s">
        <v>29</v>
      </c>
      <c r="M520" s="15" t="s">
        <v>30</v>
      </c>
      <c r="N520" s="15" t="s">
        <v>30</v>
      </c>
      <c r="O520" s="15" t="s">
        <v>31</v>
      </c>
      <c r="P520" s="18">
        <v>0</v>
      </c>
      <c r="Q520" s="18">
        <v>-12</v>
      </c>
      <c r="R520" s="15" t="str">
        <f>_xlfn.CONCAT(F520,G520,H520,I520,J520)</f>
        <v>WLWWW</v>
      </c>
      <c r="S520" s="13" t="str">
        <f>_xlfn.CONCAT(K520,L520,M520,N520,O520)</f>
        <v>WDWWL</v>
      </c>
      <c r="T520" s="13" t="str">
        <f>_xlfn.CONCAT(R520,"***",S520)</f>
        <v>WLWWW***WDWWL</v>
      </c>
      <c r="U520" s="19">
        <f>(P520-Q520)</f>
        <v>12</v>
      </c>
      <c r="V520" s="14">
        <v>0</v>
      </c>
      <c r="W520" s="14">
        <v>3</v>
      </c>
      <c r="X520" s="20" t="str">
        <f>IF(ISBLANK(V520),"",IF(V520&gt;W520,"1",IF(V520&lt;W520,"2",IF(V520=W520,"X"))))</f>
        <v>2</v>
      </c>
      <c r="Y520" s="23" t="str">
        <f>COUNTIF(F520:J520, "W")&amp;COUNTIF(F520:J520, "d")&amp;COUNTIF(F520:J520, "l")</f>
        <v>401</v>
      </c>
      <c r="Z520" s="13" t="str">
        <f>COUNTIF(K520:O520, "W")&amp;COUNTIF(K520:O520, "d")&amp;COUNTIF(K520:O520, "l")</f>
        <v>311</v>
      </c>
      <c r="AA520" s="23" t="str">
        <f>_xlfn.CONCAT(Y520,"-",Z520)</f>
        <v>401-311</v>
      </c>
      <c r="AB520" s="15" t="str">
        <f>_xlfn.CONCAT(AA520,"…",TEXT(U520,"+00;-00;+00;"))</f>
        <v>401-311…+12</v>
      </c>
      <c r="AC520" s="23" t="str">
        <f>_xlfn.CONCAT(TEXT(P520,"+00;-00;+00;"),"…",TEXT(Q520,"+00;-00;+00;"))</f>
        <v>+00…-12</v>
      </c>
      <c r="AD520" s="14" t="str">
        <f>IF(X520="","?","")</f>
        <v/>
      </c>
      <c r="AE520" s="15" t="str">
        <f>_xlfn.CONCAT(AA520,"…",TEXT(P520,"+00;-00;+00;"),"...",TEXT(Q520,"+00;-00;+00;"))</f>
        <v>401-311…+00...-12</v>
      </c>
      <c r="AF520" s="13" t="str">
        <f>_xlfn.CONCAT(R520,"…",TEXT(P520,"+00;-00;+00;"),"...",TEXT(Q520,"+00;-00;+00;"))</f>
        <v>WLWWW…+00...-12</v>
      </c>
    </row>
    <row r="521" spans="1:32" x14ac:dyDescent="0.25">
      <c r="A521" s="13" t="s">
        <v>915</v>
      </c>
      <c r="B521" s="13" t="s">
        <v>117</v>
      </c>
      <c r="C521" s="14" t="s">
        <v>33</v>
      </c>
      <c r="D521" s="13" t="s">
        <v>666</v>
      </c>
      <c r="E521" s="13" t="s">
        <v>161</v>
      </c>
      <c r="F521" s="13" t="s">
        <v>30</v>
      </c>
      <c r="G521" s="13" t="s">
        <v>30</v>
      </c>
      <c r="H521" s="13" t="s">
        <v>31</v>
      </c>
      <c r="I521" s="13" t="s">
        <v>31</v>
      </c>
      <c r="J521" s="13" t="s">
        <v>31</v>
      </c>
      <c r="K521" s="13" t="s">
        <v>29</v>
      </c>
      <c r="L521" s="13" t="s">
        <v>29</v>
      </c>
      <c r="M521" s="13" t="s">
        <v>30</v>
      </c>
      <c r="N521" s="13" t="s">
        <v>29</v>
      </c>
      <c r="O521" s="13" t="s">
        <v>31</v>
      </c>
      <c r="P521" s="16">
        <v>5</v>
      </c>
      <c r="Q521" s="16">
        <v>-1</v>
      </c>
      <c r="R521" s="13" t="str">
        <f>_xlfn.CONCAT(F521,G521,H521,I521,J521)</f>
        <v>WWLLL</v>
      </c>
      <c r="S521" s="13" t="str">
        <f>_xlfn.CONCAT(K521,L521,M521,N521,O521)</f>
        <v>DDWDL</v>
      </c>
      <c r="T521" s="13" t="str">
        <f>_xlfn.CONCAT(R521,"***",S521)</f>
        <v>WWLLL***DDWDL</v>
      </c>
      <c r="U521" s="21">
        <f>(P521-Q521)</f>
        <v>6</v>
      </c>
      <c r="V521" s="14">
        <v>2</v>
      </c>
      <c r="W521" s="14">
        <v>0</v>
      </c>
      <c r="X521" s="20" t="str">
        <f>IF(ISBLANK(V521),"",IF(V521&gt;W521,"1",IF(V521&lt;W521,"2",IF(V521=W521,"X"))))</f>
        <v>1</v>
      </c>
      <c r="Y521" s="23" t="str">
        <f>COUNTIF(F521:J521, "W")&amp;COUNTIF(F521:J521, "d")&amp;COUNTIF(F521:J521, "l")</f>
        <v>203</v>
      </c>
      <c r="Z521" s="13" t="str">
        <f>COUNTIF(K521:O521, "W")&amp;COUNTIF(K521:O521, "d")&amp;COUNTIF(K521:O521, "l")</f>
        <v>131</v>
      </c>
      <c r="AA521" s="23" t="str">
        <f>_xlfn.CONCAT(Y521,"-",Z521)</f>
        <v>203-131</v>
      </c>
      <c r="AB521" s="13" t="str">
        <f>_xlfn.CONCAT(AA521,"…",TEXT(U521,"+00;-00;+00;"))</f>
        <v>203-131…+06</v>
      </c>
      <c r="AC521" s="23" t="str">
        <f>_xlfn.CONCAT(TEXT(P521,"+00;-00;+00;"),"…",TEXT(Q521,"+00;-00;+00;"))</f>
        <v>+05…-01</v>
      </c>
      <c r="AD521" s="14" t="str">
        <f>IF(X521="","?","")</f>
        <v/>
      </c>
      <c r="AE521" s="15" t="str">
        <f>_xlfn.CONCAT(AA521,"…",TEXT(P521,"+00;-00;+00;"),"...",TEXT(Q521,"+00;-00;+00;"))</f>
        <v>203-131…+05...-01</v>
      </c>
      <c r="AF521" s="13" t="str">
        <f>_xlfn.CONCAT(R521,"…",TEXT(P521,"+00;-00;+00;"),"...",TEXT(Q521,"+00;-00;+00;"))</f>
        <v>WWLLL…+05...-01</v>
      </c>
    </row>
    <row r="522" spans="1:32" x14ac:dyDescent="0.25">
      <c r="A522" s="12" t="s">
        <v>915</v>
      </c>
      <c r="B522" s="13" t="s">
        <v>59</v>
      </c>
      <c r="C522" s="14">
        <v>2</v>
      </c>
      <c r="D522" s="13" t="s">
        <v>1014</v>
      </c>
      <c r="E522" s="13" t="s">
        <v>1015</v>
      </c>
      <c r="F522" s="15" t="s">
        <v>31</v>
      </c>
      <c r="G522" s="15" t="s">
        <v>30</v>
      </c>
      <c r="H522" s="15" t="s">
        <v>29</v>
      </c>
      <c r="I522" s="15" t="s">
        <v>30</v>
      </c>
      <c r="J522" s="15" t="s">
        <v>30</v>
      </c>
      <c r="K522" s="15" t="s">
        <v>31</v>
      </c>
      <c r="L522" s="15" t="s">
        <v>31</v>
      </c>
      <c r="M522" s="15" t="s">
        <v>30</v>
      </c>
      <c r="N522" s="15" t="s">
        <v>29</v>
      </c>
      <c r="O522" s="15" t="s">
        <v>31</v>
      </c>
      <c r="P522" s="18">
        <v>3</v>
      </c>
      <c r="Q522" s="18">
        <v>-11</v>
      </c>
      <c r="R522" s="15" t="str">
        <f>_xlfn.CONCAT(F522,G522,H522,I522,J522)</f>
        <v>LWDWW</v>
      </c>
      <c r="S522" s="13" t="str">
        <f>_xlfn.CONCAT(K522,L522,M522,N522,O522)</f>
        <v>LLWDL</v>
      </c>
      <c r="T522" s="13" t="str">
        <f>_xlfn.CONCAT(R522,"***",S522)</f>
        <v>LWDWW***LLWDL</v>
      </c>
      <c r="U522" s="19">
        <f>(P522-Q522)</f>
        <v>14</v>
      </c>
      <c r="V522" s="14">
        <v>2</v>
      </c>
      <c r="W522" s="14">
        <v>1</v>
      </c>
      <c r="X522" s="20" t="str">
        <f>IF(ISBLANK(V522),"",IF(V522&gt;W522,"1",IF(V522&lt;W522,"2",IF(V522=W522,"X"))))</f>
        <v>1</v>
      </c>
      <c r="Y522" s="23" t="str">
        <f>COUNTIF(F522:J522, "W")&amp;COUNTIF(F522:J522, "d")&amp;COUNTIF(F522:J522, "l")</f>
        <v>311</v>
      </c>
      <c r="Z522" s="13" t="str">
        <f>COUNTIF(K522:O522, "W")&amp;COUNTIF(K522:O522, "d")&amp;COUNTIF(K522:O522, "l")</f>
        <v>113</v>
      </c>
      <c r="AA522" s="23" t="str">
        <f>_xlfn.CONCAT(Y522,"-",Z522)</f>
        <v>311-113</v>
      </c>
      <c r="AB522" s="15" t="str">
        <f>_xlfn.CONCAT(AA522,"…",TEXT(U522,"+00;-00;+00;"))</f>
        <v>311-113…+14</v>
      </c>
      <c r="AC522" s="23" t="str">
        <f>_xlfn.CONCAT(TEXT(P522,"+00;-00;+00;"),"…",TEXT(Q522,"+00;-00;+00;"))</f>
        <v>+03…-11</v>
      </c>
      <c r="AD522" s="14" t="str">
        <f>IF(X522="","?","")</f>
        <v/>
      </c>
      <c r="AE522" s="15" t="str">
        <f>_xlfn.CONCAT(AA522,"…",TEXT(P522,"+00;-00;+00;"),"...",TEXT(Q522,"+00;-00;+00;"))</f>
        <v>311-113…+03...-11</v>
      </c>
      <c r="AF522" s="13" t="str">
        <f>_xlfn.CONCAT(R522,"…",TEXT(P522,"+00;-00;+00;"),"...",TEXT(Q522,"+00;-00;+00;"))</f>
        <v>LWDWW…+03...-11</v>
      </c>
    </row>
    <row r="523" spans="1:32" x14ac:dyDescent="0.25">
      <c r="A523" s="12" t="s">
        <v>915</v>
      </c>
      <c r="B523" s="13" t="s">
        <v>59</v>
      </c>
      <c r="C523" s="14">
        <v>1</v>
      </c>
      <c r="D523" s="13" t="s">
        <v>85</v>
      </c>
      <c r="E523" s="13" t="s">
        <v>82</v>
      </c>
      <c r="F523" s="15" t="s">
        <v>29</v>
      </c>
      <c r="G523" s="15" t="s">
        <v>30</v>
      </c>
      <c r="H523" s="15" t="s">
        <v>29</v>
      </c>
      <c r="I523" s="15" t="s">
        <v>30</v>
      </c>
      <c r="J523" s="15" t="s">
        <v>30</v>
      </c>
      <c r="K523" s="15" t="s">
        <v>30</v>
      </c>
      <c r="L523" s="15" t="s">
        <v>30</v>
      </c>
      <c r="M523" s="15" t="s">
        <v>30</v>
      </c>
      <c r="N523" s="15" t="s">
        <v>29</v>
      </c>
      <c r="O523" s="15" t="s">
        <v>30</v>
      </c>
      <c r="P523" s="18">
        <v>2</v>
      </c>
      <c r="Q523" s="18">
        <v>24</v>
      </c>
      <c r="R523" s="15" t="str">
        <f>_xlfn.CONCAT(F523,G523,H523,I523,J523)</f>
        <v>DWDWW</v>
      </c>
      <c r="S523" s="13" t="str">
        <f>_xlfn.CONCAT(K523,L523,M523,N523,O523)</f>
        <v>WWWDW</v>
      </c>
      <c r="T523" s="13" t="str">
        <f>_xlfn.CONCAT(R523,"***",S523)</f>
        <v>DWDWW***WWWDW</v>
      </c>
      <c r="U523" s="19">
        <f>(P523-Q523)</f>
        <v>-22</v>
      </c>
      <c r="V523" s="14">
        <v>1</v>
      </c>
      <c r="W523" s="14">
        <v>1</v>
      </c>
      <c r="X523" s="20" t="str">
        <f>IF(ISBLANK(V523),"",IF(V523&gt;W523,"1",IF(V523&lt;W523,"2",IF(V523=W523,"X"))))</f>
        <v>X</v>
      </c>
      <c r="Y523" s="23" t="str">
        <f>COUNTIF(F523:J523, "W")&amp;COUNTIF(F523:J523, "d")&amp;COUNTIF(F523:J523, "l")</f>
        <v>320</v>
      </c>
      <c r="Z523" s="13" t="str">
        <f>COUNTIF(K523:O523, "W")&amp;COUNTIF(K523:O523, "d")&amp;COUNTIF(K523:O523, "l")</f>
        <v>410</v>
      </c>
      <c r="AA523" s="23" t="str">
        <f>_xlfn.CONCAT(Y523,"-",Z523)</f>
        <v>320-410</v>
      </c>
      <c r="AB523" s="15" t="str">
        <f>_xlfn.CONCAT(AA523,"…",TEXT(U523,"+00;-00;+00;"))</f>
        <v>320-410…-22</v>
      </c>
      <c r="AC523" s="23" t="str">
        <f>_xlfn.CONCAT(TEXT(P523,"+00;-00;+00;"),"…",TEXT(Q523,"+00;-00;+00;"))</f>
        <v>+02…+24</v>
      </c>
      <c r="AD523" s="14" t="str">
        <f>IF(X523="","?","")</f>
        <v/>
      </c>
      <c r="AE523" s="15" t="str">
        <f>_xlfn.CONCAT(AA523,"…",TEXT(P523,"+00;-00;+00;"),"...",TEXT(Q523,"+00;-00;+00;"))</f>
        <v>320-410…+02...+24</v>
      </c>
      <c r="AF523" s="13" t="str">
        <f>_xlfn.CONCAT(R523,"…",TEXT(P523,"+00;-00;+00;"),"...",TEXT(Q523,"+00;-00;+00;"))</f>
        <v>DWDWW…+02...+24</v>
      </c>
    </row>
    <row r="524" spans="1:32" x14ac:dyDescent="0.25">
      <c r="A524" s="12" t="s">
        <v>983</v>
      </c>
      <c r="B524" s="13" t="s">
        <v>250</v>
      </c>
      <c r="C524" s="14">
        <v>1</v>
      </c>
      <c r="D524" s="13" t="s">
        <v>991</v>
      </c>
      <c r="E524" s="13" t="s">
        <v>265</v>
      </c>
      <c r="F524" s="15" t="s">
        <v>31</v>
      </c>
      <c r="G524" s="15" t="s">
        <v>30</v>
      </c>
      <c r="H524" s="15" t="s">
        <v>31</v>
      </c>
      <c r="I524" s="15" t="s">
        <v>30</v>
      </c>
      <c r="J524" s="15" t="s">
        <v>31</v>
      </c>
      <c r="K524" s="15" t="s">
        <v>31</v>
      </c>
      <c r="L524" s="15" t="s">
        <v>29</v>
      </c>
      <c r="M524" s="15" t="s">
        <v>30</v>
      </c>
      <c r="N524" s="15" t="s">
        <v>31</v>
      </c>
      <c r="O524" s="15" t="s">
        <v>31</v>
      </c>
      <c r="P524" s="18">
        <v>-13</v>
      </c>
      <c r="Q524" s="18">
        <v>-2</v>
      </c>
      <c r="R524" s="15" t="str">
        <f>_xlfn.CONCAT(F524,G524,H524,I524,J524)</f>
        <v>LWLWL</v>
      </c>
      <c r="S524" s="13" t="str">
        <f>_xlfn.CONCAT(K524,L524,M524,N524,O524)</f>
        <v>LDWLL</v>
      </c>
      <c r="T524" s="13" t="str">
        <f>_xlfn.CONCAT(R524,"***",S524)</f>
        <v>LWLWL***LDWLL</v>
      </c>
      <c r="U524" s="19">
        <f>(P524-Q524)</f>
        <v>-11</v>
      </c>
      <c r="V524" s="14">
        <v>1</v>
      </c>
      <c r="W524" s="14">
        <v>1</v>
      </c>
      <c r="X524" s="20" t="str">
        <f>IF(ISBLANK(V524),"",IF(V524&gt;W524,"1",IF(V524&lt;W524,"2",IF(V524=W524,"X"))))</f>
        <v>X</v>
      </c>
      <c r="Y524" s="23" t="str">
        <f>COUNTIF(F524:J524, "W")&amp;COUNTIF(F524:J524, "d")&amp;COUNTIF(F524:J524, "l")</f>
        <v>203</v>
      </c>
      <c r="Z524" s="13" t="str">
        <f>COUNTIF(K524:O524, "W")&amp;COUNTIF(K524:O524, "d")&amp;COUNTIF(K524:O524, "l")</f>
        <v>113</v>
      </c>
      <c r="AA524" s="23" t="str">
        <f>_xlfn.CONCAT(Y524,"-",Z524)</f>
        <v>203-113</v>
      </c>
      <c r="AB524" s="15" t="str">
        <f>_xlfn.CONCAT(AA524,"…",TEXT(U524,"+00;-00;+00;"))</f>
        <v>203-113…-11</v>
      </c>
      <c r="AC524" s="23" t="str">
        <f>_xlfn.CONCAT(TEXT(P524,"+00;-00;+00;"),"…",TEXT(Q524,"+00;-00;+00;"))</f>
        <v>-13…-02</v>
      </c>
      <c r="AD524" s="14" t="str">
        <f>IF(X524="","?","")</f>
        <v/>
      </c>
      <c r="AE524" s="15" t="str">
        <f>_xlfn.CONCAT(AA524,"…",TEXT(P524,"+00;-00;+00;"),"...",TEXT(Q524,"+00;-00;+00;"))</f>
        <v>203-113…-13...-02</v>
      </c>
      <c r="AF524" s="13" t="str">
        <f>_xlfn.CONCAT(R524,"…",TEXT(P524,"+00;-00;+00;"),"...",TEXT(Q524,"+00;-00;+00;"))</f>
        <v>LWLWL…-13...-02</v>
      </c>
    </row>
    <row r="525" spans="1:32" x14ac:dyDescent="0.25">
      <c r="A525" s="12" t="s">
        <v>983</v>
      </c>
      <c r="B525" s="13" t="s">
        <v>250</v>
      </c>
      <c r="C525" s="14">
        <v>2</v>
      </c>
      <c r="D525" s="13" t="s">
        <v>861</v>
      </c>
      <c r="E525" s="13" t="s">
        <v>866</v>
      </c>
      <c r="F525" s="15" t="s">
        <v>29</v>
      </c>
      <c r="G525" s="15" t="s">
        <v>29</v>
      </c>
      <c r="H525" s="15" t="s">
        <v>31</v>
      </c>
      <c r="I525" s="15" t="s">
        <v>30</v>
      </c>
      <c r="J525" s="15" t="s">
        <v>30</v>
      </c>
      <c r="K525" s="15" t="s">
        <v>30</v>
      </c>
      <c r="L525" s="15" t="s">
        <v>31</v>
      </c>
      <c r="M525" s="15" t="s">
        <v>30</v>
      </c>
      <c r="N525" s="15" t="s">
        <v>31</v>
      </c>
      <c r="O525" s="15" t="s">
        <v>31</v>
      </c>
      <c r="P525" s="18">
        <v>-7</v>
      </c>
      <c r="Q525" s="18">
        <v>-6</v>
      </c>
      <c r="R525" s="15" t="str">
        <f>_xlfn.CONCAT(F525,G525,H525,I525,J525)</f>
        <v>DDLWW</v>
      </c>
      <c r="S525" s="13" t="str">
        <f>_xlfn.CONCAT(K525,L525,M525,N525,O525)</f>
        <v>WLWLL</v>
      </c>
      <c r="T525" s="13" t="str">
        <f>_xlfn.CONCAT(R525,"***",S525)</f>
        <v>DDLWW***WLWLL</v>
      </c>
      <c r="U525" s="19">
        <f>(P525-Q525)</f>
        <v>-1</v>
      </c>
      <c r="V525" s="14">
        <v>0</v>
      </c>
      <c r="W525" s="14">
        <v>0</v>
      </c>
      <c r="X525" s="20" t="str">
        <f>IF(ISBLANK(V525),"",IF(V525&gt;W525,"1",IF(V525&lt;W525,"2",IF(V525=W525,"X"))))</f>
        <v>X</v>
      </c>
      <c r="Y525" s="23" t="str">
        <f>COUNTIF(F525:J525, "W")&amp;COUNTIF(F525:J525, "d")&amp;COUNTIF(F525:J525, "l")</f>
        <v>221</v>
      </c>
      <c r="Z525" s="13" t="str">
        <f>COUNTIF(K525:O525, "W")&amp;COUNTIF(K525:O525, "d")&amp;COUNTIF(K525:O525, "l")</f>
        <v>203</v>
      </c>
      <c r="AA525" s="23" t="str">
        <f>_xlfn.CONCAT(Y525,"-",Z525)</f>
        <v>221-203</v>
      </c>
      <c r="AB525" s="15" t="str">
        <f>_xlfn.CONCAT(AA525,"…",TEXT(U525,"+00;-00;+00;"))</f>
        <v>221-203…-01</v>
      </c>
      <c r="AC525" s="23" t="str">
        <f>_xlfn.CONCAT(TEXT(P525,"+00;-00;+00;"),"…",TEXT(Q525,"+00;-00;+00;"))</f>
        <v>-07…-06</v>
      </c>
      <c r="AD525" s="14" t="str">
        <f>IF(X525="","?","")</f>
        <v/>
      </c>
      <c r="AE525" s="15" t="str">
        <f>_xlfn.CONCAT(AA525,"…",TEXT(P525,"+00;-00;+00;"),"...",TEXT(Q525,"+00;-00;+00;"))</f>
        <v>221-203…-07...-06</v>
      </c>
      <c r="AF525" s="13" t="str">
        <f>_xlfn.CONCAT(R525,"…",TEXT(P525,"+00;-00;+00;"),"...",TEXT(Q525,"+00;-00;+00;"))</f>
        <v>DDLWW…-07...-06</v>
      </c>
    </row>
    <row r="526" spans="1:32" x14ac:dyDescent="0.25">
      <c r="A526" s="12" t="s">
        <v>1019</v>
      </c>
      <c r="B526" s="13" t="s">
        <v>339</v>
      </c>
      <c r="C526" s="14">
        <v>1</v>
      </c>
      <c r="D526" s="13" t="s">
        <v>1023</v>
      </c>
      <c r="E526" s="13" t="s">
        <v>358</v>
      </c>
      <c r="F526" s="15" t="s">
        <v>29</v>
      </c>
      <c r="G526" s="15" t="s">
        <v>30</v>
      </c>
      <c r="H526" s="15" t="s">
        <v>30</v>
      </c>
      <c r="I526" s="15" t="s">
        <v>31</v>
      </c>
      <c r="J526" s="15" t="s">
        <v>30</v>
      </c>
      <c r="K526" s="15" t="s">
        <v>30</v>
      </c>
      <c r="L526" s="15" t="s">
        <v>30</v>
      </c>
      <c r="M526" s="15" t="s">
        <v>29</v>
      </c>
      <c r="N526" s="15" t="s">
        <v>31</v>
      </c>
      <c r="O526" s="15" t="s">
        <v>30</v>
      </c>
      <c r="P526" s="18">
        <v>5</v>
      </c>
      <c r="Q526" s="18">
        <v>27</v>
      </c>
      <c r="R526" s="15" t="str">
        <f>_xlfn.CONCAT(F526,G526,H526,I526,J526)</f>
        <v>DWWLW</v>
      </c>
      <c r="S526" s="13" t="str">
        <f>_xlfn.CONCAT(K526,L526,M526,N526,O526)</f>
        <v>WWDLW</v>
      </c>
      <c r="T526" s="13" t="str">
        <f>_xlfn.CONCAT(R526,"***",S526)</f>
        <v>DWWLW***WWDLW</v>
      </c>
      <c r="U526" s="19">
        <f>(P526-Q526)</f>
        <v>-22</v>
      </c>
      <c r="V526" s="14">
        <v>1</v>
      </c>
      <c r="W526" s="14">
        <v>3</v>
      </c>
      <c r="X526" s="20" t="str">
        <f>IF(ISBLANK(V526),"",IF(V526&gt;W526,"1",IF(V526&lt;W526,"2",IF(V526=W526,"X"))))</f>
        <v>2</v>
      </c>
      <c r="Y526" s="23" t="str">
        <f>COUNTIF(F526:J526, "W")&amp;COUNTIF(F526:J526, "d")&amp;COUNTIF(F526:J526, "l")</f>
        <v>311</v>
      </c>
      <c r="Z526" s="13" t="str">
        <f>COUNTIF(K526:O526, "W")&amp;COUNTIF(K526:O526, "d")&amp;COUNTIF(K526:O526, "l")</f>
        <v>311</v>
      </c>
      <c r="AA526" s="23" t="str">
        <f>_xlfn.CONCAT(Y526,"-",Z526)</f>
        <v>311-311</v>
      </c>
      <c r="AB526" s="15" t="str">
        <f>_xlfn.CONCAT(AA526,"…",TEXT(U526,"+00;-00;+00;"))</f>
        <v>311-311…-22</v>
      </c>
      <c r="AC526" s="23" t="str">
        <f>_xlfn.CONCAT(TEXT(P526,"+00;-00;+00;"),"…",TEXT(Q526,"+00;-00;+00;"))</f>
        <v>+05…+27</v>
      </c>
      <c r="AD526" s="14" t="str">
        <f>IF(X526="","?","")</f>
        <v/>
      </c>
      <c r="AE526" s="15" t="str">
        <f>_xlfn.CONCAT(AA526,"…",TEXT(P526,"+00;-00;+00;"),"...",TEXT(Q526,"+00;-00;+00;"))</f>
        <v>311-311…+05...+27</v>
      </c>
      <c r="AF526" s="13" t="str">
        <f>_xlfn.CONCAT(R526,"…",TEXT(P526,"+00;-00;+00;"),"...",TEXT(Q526,"+00;-00;+00;"))</f>
        <v>DWWLW…+05...+27</v>
      </c>
    </row>
    <row r="527" spans="1:32" x14ac:dyDescent="0.25">
      <c r="A527" s="13" t="s">
        <v>902</v>
      </c>
      <c r="B527" s="13" t="s">
        <v>414</v>
      </c>
      <c r="C527" s="14">
        <v>1</v>
      </c>
      <c r="D527" s="13" t="s">
        <v>840</v>
      </c>
      <c r="E527" s="13" t="s">
        <v>910</v>
      </c>
      <c r="F527" s="13" t="s">
        <v>29</v>
      </c>
      <c r="G527" s="13" t="s">
        <v>29</v>
      </c>
      <c r="H527" s="13" t="s">
        <v>31</v>
      </c>
      <c r="I527" s="13" t="s">
        <v>31</v>
      </c>
      <c r="J527" s="13" t="s">
        <v>29</v>
      </c>
      <c r="K527" s="13" t="s">
        <v>30</v>
      </c>
      <c r="L527" s="13" t="s">
        <v>30</v>
      </c>
      <c r="M527" s="13" t="s">
        <v>31</v>
      </c>
      <c r="N527" s="13" t="s">
        <v>30</v>
      </c>
      <c r="O527" s="13" t="s">
        <v>31</v>
      </c>
      <c r="P527" s="16">
        <v>-6</v>
      </c>
      <c r="Q527" s="16">
        <v>-1</v>
      </c>
      <c r="R527" s="13" t="str">
        <f>_xlfn.CONCAT(F527,G527,H527,I527,J527)</f>
        <v>DDLLD</v>
      </c>
      <c r="S527" s="13" t="str">
        <f>_xlfn.CONCAT(K527,L527,M527,N527,O527)</f>
        <v>WWLWL</v>
      </c>
      <c r="T527" s="13" t="str">
        <f>_xlfn.CONCAT(R527,"***",S527)</f>
        <v>DDLLD***WWLWL</v>
      </c>
      <c r="U527" s="21">
        <f>(P527-Q527)</f>
        <v>-5</v>
      </c>
      <c r="V527" s="14">
        <v>2</v>
      </c>
      <c r="W527" s="14">
        <v>2</v>
      </c>
      <c r="X527" s="20" t="str">
        <f>IF(ISBLANK(V527),"",IF(V527&gt;W527,"1",IF(V527&lt;W527,"2",IF(V527=W527,"X"))))</f>
        <v>X</v>
      </c>
      <c r="Y527" s="23" t="str">
        <f>COUNTIF(F527:J527, "W")&amp;COUNTIF(F527:J527, "d")&amp;COUNTIF(F527:J527, "l")</f>
        <v>032</v>
      </c>
      <c r="Z527" s="13" t="str">
        <f>COUNTIF(K527:O527, "W")&amp;COUNTIF(K527:O527, "d")&amp;COUNTIF(K527:O527, "l")</f>
        <v>302</v>
      </c>
      <c r="AA527" s="23" t="str">
        <f>_xlfn.CONCAT(Y527,"-",Z527)</f>
        <v>032-302</v>
      </c>
      <c r="AB527" s="13" t="str">
        <f>_xlfn.CONCAT(AA527,"…",TEXT(U527,"+00;-00;+00;"))</f>
        <v>032-302…-05</v>
      </c>
      <c r="AC527" s="23" t="str">
        <f>_xlfn.CONCAT(TEXT(P527,"+00;-00;+00;"),"…",TEXT(Q527,"+00;-00;+00;"))</f>
        <v>-06…-01</v>
      </c>
      <c r="AD527" s="14" t="str">
        <f>IF(X527="","?","")</f>
        <v/>
      </c>
      <c r="AE527" s="15" t="str">
        <f>_xlfn.CONCAT(AA527,"…",TEXT(P527,"+00;-00;+00;"),"...",TEXT(Q527,"+00;-00;+00;"))</f>
        <v>032-302…-06...-01</v>
      </c>
      <c r="AF527" s="13" t="str">
        <f>_xlfn.CONCAT(R527,"…",TEXT(P527,"+00;-00;+00;"),"...",TEXT(Q527,"+00;-00;+00;"))</f>
        <v>DDLLD…-06...-01</v>
      </c>
    </row>
    <row r="528" spans="1:32" x14ac:dyDescent="0.25">
      <c r="A528" s="12" t="s">
        <v>950</v>
      </c>
      <c r="B528" s="13" t="s">
        <v>117</v>
      </c>
      <c r="C528" s="14" t="s">
        <v>0</v>
      </c>
      <c r="D528" s="13" t="s">
        <v>956</v>
      </c>
      <c r="E528" s="13" t="s">
        <v>130</v>
      </c>
      <c r="F528" s="15" t="s">
        <v>31</v>
      </c>
      <c r="G528" s="15" t="s">
        <v>31</v>
      </c>
      <c r="H528" s="15" t="s">
        <v>29</v>
      </c>
      <c r="I528" s="15" t="s">
        <v>31</v>
      </c>
      <c r="J528" s="15" t="s">
        <v>30</v>
      </c>
      <c r="K528" s="15" t="s">
        <v>30</v>
      </c>
      <c r="L528" s="15" t="s">
        <v>30</v>
      </c>
      <c r="M528" s="15" t="s">
        <v>29</v>
      </c>
      <c r="N528" s="15" t="s">
        <v>31</v>
      </c>
      <c r="O528" s="15" t="s">
        <v>29</v>
      </c>
      <c r="P528" s="18">
        <v>5</v>
      </c>
      <c r="Q528" s="18">
        <v>9</v>
      </c>
      <c r="R528" s="15" t="str">
        <f>_xlfn.CONCAT(F528,G528,H528,I528,J528)</f>
        <v>LLDLW</v>
      </c>
      <c r="S528" s="13" t="str">
        <f>_xlfn.CONCAT(K528,L528,M528,N528,O528)</f>
        <v>WWDLD</v>
      </c>
      <c r="T528" s="13" t="str">
        <f>_xlfn.CONCAT(R528,"***",S528)</f>
        <v>LLDLW***WWDLD</v>
      </c>
      <c r="U528" s="19">
        <f>(P528-Q528)</f>
        <v>-4</v>
      </c>
      <c r="V528" s="14">
        <v>3</v>
      </c>
      <c r="W528" s="14">
        <v>2</v>
      </c>
      <c r="X528" s="20" t="str">
        <f>IF(ISBLANK(V528),"",IF(V528&gt;W528,"1",IF(V528&lt;W528,"2",IF(V528=W528,"X"))))</f>
        <v>1</v>
      </c>
      <c r="Y528" s="23" t="str">
        <f>COUNTIF(F528:J528, "W")&amp;COUNTIF(F528:J528, "d")&amp;COUNTIF(F528:J528, "l")</f>
        <v>113</v>
      </c>
      <c r="Z528" s="13" t="str">
        <f>COUNTIF(K528:O528, "W")&amp;COUNTIF(K528:O528, "d")&amp;COUNTIF(K528:O528, "l")</f>
        <v>221</v>
      </c>
      <c r="AA528" s="23" t="str">
        <f>_xlfn.CONCAT(Y528,"-",Z528)</f>
        <v>113-221</v>
      </c>
      <c r="AB528" s="15" t="str">
        <f>_xlfn.CONCAT(AA528,"…",TEXT(U528,"+00;-00;+00;"))</f>
        <v>113-221…-04</v>
      </c>
      <c r="AC528" s="23" t="str">
        <f>_xlfn.CONCAT(TEXT(P528,"+00;-00;+00;"),"…",TEXT(Q528,"+00;-00;+00;"))</f>
        <v>+05…+09</v>
      </c>
      <c r="AD528" s="14" t="str">
        <f>IF(X528="","?","")</f>
        <v/>
      </c>
      <c r="AE528" s="15" t="str">
        <f>_xlfn.CONCAT(AA528,"…",TEXT(P528,"+00;-00;+00;"),"...",TEXT(Q528,"+00;-00;+00;"))</f>
        <v>113-221…+05...+09</v>
      </c>
      <c r="AF528" s="13" t="str">
        <f>_xlfn.CONCAT(R528,"…",TEXT(P528,"+00;-00;+00;"),"...",TEXT(Q528,"+00;-00;+00;"))</f>
        <v>LLDLW…+05...+09</v>
      </c>
    </row>
    <row r="529" spans="1:32" x14ac:dyDescent="0.25">
      <c r="A529" s="12" t="s">
        <v>971</v>
      </c>
      <c r="B529" s="13" t="s">
        <v>318</v>
      </c>
      <c r="C529" s="14">
        <v>1</v>
      </c>
      <c r="D529" s="13" t="s">
        <v>760</v>
      </c>
      <c r="E529" s="13" t="s">
        <v>332</v>
      </c>
      <c r="F529" s="15" t="s">
        <v>30</v>
      </c>
      <c r="G529" s="15" t="s">
        <v>29</v>
      </c>
      <c r="H529" s="15" t="s">
        <v>29</v>
      </c>
      <c r="I529" s="15" t="s">
        <v>29</v>
      </c>
      <c r="J529" s="15" t="s">
        <v>30</v>
      </c>
      <c r="K529" s="15" t="s">
        <v>31</v>
      </c>
      <c r="L529" s="15" t="s">
        <v>31</v>
      </c>
      <c r="M529" s="15" t="s">
        <v>31</v>
      </c>
      <c r="N529" s="15" t="s">
        <v>31</v>
      </c>
      <c r="O529" s="15" t="s">
        <v>31</v>
      </c>
      <c r="P529" s="18">
        <v>-4</v>
      </c>
      <c r="Q529" s="18">
        <v>-11</v>
      </c>
      <c r="R529" s="15" t="str">
        <f>_xlfn.CONCAT(F529,G529,H529,I529,J529)</f>
        <v>WDDDW</v>
      </c>
      <c r="S529" s="13" t="str">
        <f>_xlfn.CONCAT(K529,L529,M529,N529,O529)</f>
        <v>LLLLL</v>
      </c>
      <c r="T529" s="13" t="str">
        <f>_xlfn.CONCAT(R529,"***",S529)</f>
        <v>WDDDW***LLLLL</v>
      </c>
      <c r="U529" s="19">
        <f>(P529-Q529)</f>
        <v>7</v>
      </c>
      <c r="V529" s="14">
        <v>1</v>
      </c>
      <c r="W529" s="14">
        <v>1</v>
      </c>
      <c r="X529" s="20" t="str">
        <f>IF(ISBLANK(V529),"",IF(V529&gt;W529,"1",IF(V529&lt;W529,"2",IF(V529=W529,"X"))))</f>
        <v>X</v>
      </c>
      <c r="Y529" s="23" t="str">
        <f>COUNTIF(F529:J529, "W")&amp;COUNTIF(F529:J529, "d")&amp;COUNTIF(F529:J529, "l")</f>
        <v>230</v>
      </c>
      <c r="Z529" s="13" t="str">
        <f>COUNTIF(K529:O529, "W")&amp;COUNTIF(K529:O529, "d")&amp;COUNTIF(K529:O529, "l")</f>
        <v>005</v>
      </c>
      <c r="AA529" s="23" t="str">
        <f>_xlfn.CONCAT(Y529,"-",Z529)</f>
        <v>230-005</v>
      </c>
      <c r="AB529" s="15" t="str">
        <f>_xlfn.CONCAT(AA529,"…",TEXT(U529,"+00;-00;+00;"))</f>
        <v>230-005…+07</v>
      </c>
      <c r="AC529" s="23" t="str">
        <f>_xlfn.CONCAT(TEXT(P529,"+00;-00;+00;"),"…",TEXT(Q529,"+00;-00;+00;"))</f>
        <v>-04…-11</v>
      </c>
      <c r="AD529" s="14" t="str">
        <f>IF(X529="","?","")</f>
        <v/>
      </c>
      <c r="AE529" s="15" t="str">
        <f>_xlfn.CONCAT(AA529,"…",TEXT(P529,"+00;-00;+00;"),"...",TEXT(Q529,"+00;-00;+00;"))</f>
        <v>230-005…-04...-11</v>
      </c>
      <c r="AF529" s="13" t="str">
        <f>_xlfn.CONCAT(R529,"…",TEXT(P529,"+00;-00;+00;"),"...",TEXT(Q529,"+00;-00;+00;"))</f>
        <v>WDDDW…-04...-11</v>
      </c>
    </row>
    <row r="530" spans="1:32" x14ac:dyDescent="0.25">
      <c r="A530" s="12" t="s">
        <v>963</v>
      </c>
      <c r="B530" s="13" t="s">
        <v>208</v>
      </c>
      <c r="C530" s="14">
        <v>1</v>
      </c>
      <c r="D530" s="13" t="s">
        <v>574</v>
      </c>
      <c r="E530" s="13" t="s">
        <v>570</v>
      </c>
      <c r="F530" s="15" t="s">
        <v>29</v>
      </c>
      <c r="G530" s="15" t="s">
        <v>30</v>
      </c>
      <c r="H530" s="15" t="s">
        <v>31</v>
      </c>
      <c r="I530" s="15" t="s">
        <v>31</v>
      </c>
      <c r="J530" s="15" t="s">
        <v>29</v>
      </c>
      <c r="K530" s="15" t="s">
        <v>30</v>
      </c>
      <c r="L530" s="15" t="s">
        <v>31</v>
      </c>
      <c r="M530" s="15" t="s">
        <v>30</v>
      </c>
      <c r="N530" s="15" t="s">
        <v>31</v>
      </c>
      <c r="O530" s="15" t="s">
        <v>30</v>
      </c>
      <c r="P530" s="18">
        <v>6</v>
      </c>
      <c r="Q530" s="18">
        <v>18</v>
      </c>
      <c r="R530" s="15" t="str">
        <f>_xlfn.CONCAT(F530,G530,H530,I530,J530)</f>
        <v>DWLLD</v>
      </c>
      <c r="S530" s="13" t="str">
        <f>_xlfn.CONCAT(K530,L530,M530,N530,O530)</f>
        <v>WLWLW</v>
      </c>
      <c r="T530" s="13" t="str">
        <f>_xlfn.CONCAT(R530,"***",S530)</f>
        <v>DWLLD***WLWLW</v>
      </c>
      <c r="U530" s="19">
        <f>(P530-Q530)</f>
        <v>-12</v>
      </c>
      <c r="V530" s="14">
        <v>2</v>
      </c>
      <c r="W530" s="14">
        <v>3</v>
      </c>
      <c r="X530" s="20" t="str">
        <f>IF(ISBLANK(V530),"",IF(V530&gt;W530,"1",IF(V530&lt;W530,"2",IF(V530=W530,"X"))))</f>
        <v>2</v>
      </c>
      <c r="Y530" s="23" t="str">
        <f>COUNTIF(F530:J530, "W")&amp;COUNTIF(F530:J530, "d")&amp;COUNTIF(F530:J530, "l")</f>
        <v>122</v>
      </c>
      <c r="Z530" s="13" t="str">
        <f>COUNTIF(K530:O530, "W")&amp;COUNTIF(K530:O530, "d")&amp;COUNTIF(K530:O530, "l")</f>
        <v>302</v>
      </c>
      <c r="AA530" s="23" t="str">
        <f>_xlfn.CONCAT(Y530,"-",Z530)</f>
        <v>122-302</v>
      </c>
      <c r="AB530" s="15" t="str">
        <f>_xlfn.CONCAT(AA530,"…",TEXT(U530,"+00;-00;+00;"))</f>
        <v>122-302…-12</v>
      </c>
      <c r="AC530" s="23" t="str">
        <f>_xlfn.CONCAT(TEXT(P530,"+00;-00;+00;"),"…",TEXT(Q530,"+00;-00;+00;"))</f>
        <v>+06…+18</v>
      </c>
      <c r="AD530" s="14" t="str">
        <f>IF(X530="","?","")</f>
        <v/>
      </c>
      <c r="AE530" s="15" t="str">
        <f>_xlfn.CONCAT(AA530,"…",TEXT(P530,"+00;-00;+00;"),"...",TEXT(Q530,"+00;-00;+00;"))</f>
        <v>122-302…+06...+18</v>
      </c>
      <c r="AF530" s="13" t="str">
        <f>_xlfn.CONCAT(R530,"…",TEXT(P530,"+00;-00;+00;"),"...",TEXT(Q530,"+00;-00;+00;"))</f>
        <v>DWLLD…+06...+18</v>
      </c>
    </row>
    <row r="531" spans="1:32" x14ac:dyDescent="0.25">
      <c r="A531" s="12" t="s">
        <v>963</v>
      </c>
      <c r="B531" s="13" t="s">
        <v>59</v>
      </c>
      <c r="C531" s="14">
        <v>1</v>
      </c>
      <c r="D531" s="13" t="s">
        <v>733</v>
      </c>
      <c r="E531" s="13" t="s">
        <v>729</v>
      </c>
      <c r="F531" s="15" t="s">
        <v>29</v>
      </c>
      <c r="G531" s="15" t="s">
        <v>30</v>
      </c>
      <c r="H531" s="15" t="s">
        <v>31</v>
      </c>
      <c r="I531" s="15" t="s">
        <v>31</v>
      </c>
      <c r="J531" s="15" t="s">
        <v>30</v>
      </c>
      <c r="K531" s="15" t="s">
        <v>29</v>
      </c>
      <c r="L531" s="15" t="s">
        <v>30</v>
      </c>
      <c r="M531" s="15" t="s">
        <v>30</v>
      </c>
      <c r="N531" s="15" t="s">
        <v>31</v>
      </c>
      <c r="O531" s="15" t="s">
        <v>29</v>
      </c>
      <c r="P531" s="18">
        <v>-4</v>
      </c>
      <c r="Q531" s="18">
        <v>8</v>
      </c>
      <c r="R531" s="15" t="str">
        <f>_xlfn.CONCAT(F531,G531,H531,I531,J531)</f>
        <v>DWLLW</v>
      </c>
      <c r="S531" s="13" t="str">
        <f>_xlfn.CONCAT(K531,L531,M531,N531,O531)</f>
        <v>DWWLD</v>
      </c>
      <c r="T531" s="13" t="str">
        <f>_xlfn.CONCAT(R531,"***",S531)</f>
        <v>DWLLW***DWWLD</v>
      </c>
      <c r="U531" s="19">
        <f>(P531-Q531)</f>
        <v>-12</v>
      </c>
      <c r="V531" s="14">
        <v>0</v>
      </c>
      <c r="W531" s="14">
        <v>3</v>
      </c>
      <c r="X531" s="20" t="str">
        <f>IF(ISBLANK(V531),"",IF(V531&gt;W531,"1",IF(V531&lt;W531,"2",IF(V531=W531,"X"))))</f>
        <v>2</v>
      </c>
      <c r="Y531" s="23" t="str">
        <f>COUNTIF(F531:J531, "W")&amp;COUNTIF(F531:J531, "d")&amp;COUNTIF(F531:J531, "l")</f>
        <v>212</v>
      </c>
      <c r="Z531" s="13" t="str">
        <f>COUNTIF(K531:O531, "W")&amp;COUNTIF(K531:O531, "d")&amp;COUNTIF(K531:O531, "l")</f>
        <v>221</v>
      </c>
      <c r="AA531" s="23" t="str">
        <f>_xlfn.CONCAT(Y531,"-",Z531)</f>
        <v>212-221</v>
      </c>
      <c r="AB531" s="15" t="str">
        <f>_xlfn.CONCAT(AA531,"…",TEXT(U531,"+00;-00;+00;"))</f>
        <v>212-221…-12</v>
      </c>
      <c r="AC531" s="23" t="str">
        <f>_xlfn.CONCAT(TEXT(P531,"+00;-00;+00;"),"…",TEXT(Q531,"+00;-00;+00;"))</f>
        <v>-04…+08</v>
      </c>
      <c r="AD531" s="14" t="str">
        <f>IF(X531="","?","")</f>
        <v/>
      </c>
      <c r="AE531" s="15" t="str">
        <f>_xlfn.CONCAT(AA531,"…",TEXT(P531,"+00;-00;+00;"),"...",TEXT(Q531,"+00;-00;+00;"))</f>
        <v>212-221…-04...+08</v>
      </c>
      <c r="AF531" s="13" t="str">
        <f>_xlfn.CONCAT(R531,"…",TEXT(P531,"+00;-00;+00;"),"...",TEXT(Q531,"+00;-00;+00;"))</f>
        <v>DWLLW…-04...+08</v>
      </c>
    </row>
    <row r="532" spans="1:32" x14ac:dyDescent="0.25">
      <c r="A532" s="12" t="s">
        <v>963</v>
      </c>
      <c r="B532" s="13" t="s">
        <v>59</v>
      </c>
      <c r="C532" s="14">
        <v>2</v>
      </c>
      <c r="D532" s="13" t="s">
        <v>98</v>
      </c>
      <c r="E532" s="13" t="s">
        <v>743</v>
      </c>
      <c r="F532" s="15" t="s">
        <v>31</v>
      </c>
      <c r="G532" s="15" t="s">
        <v>30</v>
      </c>
      <c r="H532" s="15" t="s">
        <v>29</v>
      </c>
      <c r="I532" s="15" t="s">
        <v>29</v>
      </c>
      <c r="J532" s="15" t="s">
        <v>30</v>
      </c>
      <c r="K532" s="15" t="s">
        <v>30</v>
      </c>
      <c r="L532" s="15" t="s">
        <v>31</v>
      </c>
      <c r="M532" s="15" t="s">
        <v>31</v>
      </c>
      <c r="N532" s="15" t="s">
        <v>31</v>
      </c>
      <c r="O532" s="15" t="s">
        <v>29</v>
      </c>
      <c r="P532" s="18">
        <v>11</v>
      </c>
      <c r="Q532" s="18">
        <v>0</v>
      </c>
      <c r="R532" s="15" t="str">
        <f>_xlfn.CONCAT(F532,G532,H532,I532,J532)</f>
        <v>LWDDW</v>
      </c>
      <c r="S532" s="13" t="str">
        <f>_xlfn.CONCAT(K532,L532,M532,N532,O532)</f>
        <v>WLLLD</v>
      </c>
      <c r="T532" s="13" t="str">
        <f>_xlfn.CONCAT(R532,"***",S532)</f>
        <v>LWDDW***WLLLD</v>
      </c>
      <c r="U532" s="19">
        <f>(P532-Q532)</f>
        <v>11</v>
      </c>
      <c r="V532" s="14">
        <v>0</v>
      </c>
      <c r="W532" s="14">
        <v>0</v>
      </c>
      <c r="X532" s="20" t="str">
        <f>IF(ISBLANK(V532),"",IF(V532&gt;W532,"1",IF(V532&lt;W532,"2",IF(V532=W532,"X"))))</f>
        <v>X</v>
      </c>
      <c r="Y532" s="23" t="str">
        <f>COUNTIF(F532:J532, "W")&amp;COUNTIF(F532:J532, "d")&amp;COUNTIF(F532:J532, "l")</f>
        <v>221</v>
      </c>
      <c r="Z532" s="13" t="str">
        <f>COUNTIF(K532:O532, "W")&amp;COUNTIF(K532:O532, "d")&amp;COUNTIF(K532:O532, "l")</f>
        <v>113</v>
      </c>
      <c r="AA532" s="23" t="str">
        <f>_xlfn.CONCAT(Y532,"-",Z532)</f>
        <v>221-113</v>
      </c>
      <c r="AB532" s="15" t="str">
        <f>_xlfn.CONCAT(AA532,"…",TEXT(U532,"+00;-00;+00;"))</f>
        <v>221-113…+11</v>
      </c>
      <c r="AC532" s="23" t="str">
        <f>_xlfn.CONCAT(TEXT(P532,"+00;-00;+00;"),"…",TEXT(Q532,"+00;-00;+00;"))</f>
        <v>+11…+00</v>
      </c>
      <c r="AD532" s="14" t="str">
        <f>IF(X532="","?","")</f>
        <v/>
      </c>
      <c r="AE532" s="15" t="str">
        <f>_xlfn.CONCAT(AA532,"…",TEXT(P532,"+00;-00;+00;"),"...",TEXT(Q532,"+00;-00;+00;"))</f>
        <v>221-113…+11...+00</v>
      </c>
      <c r="AF532" s="13" t="str">
        <f>_xlfn.CONCAT(R532,"…",TEXT(P532,"+00;-00;+00;"),"...",TEXT(Q532,"+00;-00;+00;"))</f>
        <v>LWDDW…+11...+00</v>
      </c>
    </row>
    <row r="533" spans="1:32" x14ac:dyDescent="0.25">
      <c r="A533" s="12" t="s">
        <v>1048</v>
      </c>
      <c r="B533" s="13" t="s">
        <v>295</v>
      </c>
      <c r="C533" s="14">
        <v>1</v>
      </c>
      <c r="D533" s="13" t="s">
        <v>307</v>
      </c>
      <c r="E533" s="13" t="s">
        <v>1054</v>
      </c>
      <c r="F533" s="15" t="s">
        <v>30</v>
      </c>
      <c r="G533" s="15" t="s">
        <v>30</v>
      </c>
      <c r="H533" s="15" t="s">
        <v>30</v>
      </c>
      <c r="I533" s="15" t="s">
        <v>29</v>
      </c>
      <c r="J533" s="15" t="s">
        <v>30</v>
      </c>
      <c r="K533" s="15" t="s">
        <v>30</v>
      </c>
      <c r="L533" s="15" t="s">
        <v>31</v>
      </c>
      <c r="M533" s="15" t="s">
        <v>30</v>
      </c>
      <c r="N533" s="15" t="s">
        <v>31</v>
      </c>
      <c r="O533" s="15" t="s">
        <v>30</v>
      </c>
      <c r="P533" s="18">
        <v>4</v>
      </c>
      <c r="Q533" s="18">
        <v>1</v>
      </c>
      <c r="R533" s="15" t="str">
        <f>_xlfn.CONCAT(F533,G533,H533,I533,J533)</f>
        <v>WWWDW</v>
      </c>
      <c r="S533" s="13" t="str">
        <f>_xlfn.CONCAT(K533,L533,M533,N533,O533)</f>
        <v>WLWLW</v>
      </c>
      <c r="T533" s="13" t="str">
        <f>_xlfn.CONCAT(R533,"***",S533)</f>
        <v>WWWDW***WLWLW</v>
      </c>
      <c r="U533" s="19">
        <f>(P533-Q533)</f>
        <v>3</v>
      </c>
      <c r="V533" s="14">
        <v>2</v>
      </c>
      <c r="W533" s="14">
        <v>1</v>
      </c>
      <c r="X533" s="20" t="str">
        <f>IF(ISBLANK(V533),"",IF(V533&gt;W533,"1",IF(V533&lt;W533,"2",IF(V533=W533,"X"))))</f>
        <v>1</v>
      </c>
      <c r="Y533" s="23" t="str">
        <f>COUNTIF(F533:J533, "W")&amp;COUNTIF(F533:J533, "d")&amp;COUNTIF(F533:J533, "l")</f>
        <v>410</v>
      </c>
      <c r="Z533" s="13" t="str">
        <f>COUNTIF(K533:O533, "W")&amp;COUNTIF(K533:O533, "d")&amp;COUNTIF(K533:O533, "l")</f>
        <v>302</v>
      </c>
      <c r="AA533" s="23" t="str">
        <f>_xlfn.CONCAT(Y533,"-",Z533)</f>
        <v>410-302</v>
      </c>
      <c r="AB533" s="15" t="str">
        <f>_xlfn.CONCAT(AA533,"…",TEXT(U533,"+00;-00;+00;"))</f>
        <v>410-302…+03</v>
      </c>
      <c r="AC533" s="23" t="str">
        <f>_xlfn.CONCAT(TEXT(P533,"+00;-00;+00;"),"…",TEXT(Q533,"+00;-00;+00;"))</f>
        <v>+04…+01</v>
      </c>
      <c r="AD533" s="14" t="str">
        <f>IF(X533="","?","")</f>
        <v/>
      </c>
      <c r="AE533" s="15" t="str">
        <f>_xlfn.CONCAT(AA533,"…",TEXT(P533,"+00;-00;+00;"),"...",TEXT(Q533,"+00;-00;+00;"))</f>
        <v>410-302…+04...+01</v>
      </c>
      <c r="AF533" s="13" t="str">
        <f>_xlfn.CONCAT(R533,"…",TEXT(P533,"+00;-00;+00;"),"...",TEXT(Q533,"+00;-00;+00;"))</f>
        <v>WWWDW…+04...+01</v>
      </c>
    </row>
    <row r="534" spans="1:32" x14ac:dyDescent="0.25">
      <c r="A534" s="12" t="s">
        <v>984</v>
      </c>
      <c r="B534" s="13" t="s">
        <v>250</v>
      </c>
      <c r="C534" s="14">
        <v>2</v>
      </c>
      <c r="D534" s="13" t="s">
        <v>859</v>
      </c>
      <c r="E534" s="13" t="s">
        <v>857</v>
      </c>
      <c r="F534" s="15" t="s">
        <v>31</v>
      </c>
      <c r="G534" s="15" t="s">
        <v>29</v>
      </c>
      <c r="H534" s="15" t="s">
        <v>31</v>
      </c>
      <c r="I534" s="15" t="s">
        <v>30</v>
      </c>
      <c r="J534" s="15" t="s">
        <v>29</v>
      </c>
      <c r="K534" s="15" t="s">
        <v>30</v>
      </c>
      <c r="L534" s="15" t="s">
        <v>30</v>
      </c>
      <c r="M534" s="15" t="s">
        <v>30</v>
      </c>
      <c r="N534" s="15" t="s">
        <v>29</v>
      </c>
      <c r="O534" s="15" t="s">
        <v>29</v>
      </c>
      <c r="P534" s="18">
        <v>-3</v>
      </c>
      <c r="Q534" s="18">
        <v>12</v>
      </c>
      <c r="R534" s="15" t="str">
        <f>_xlfn.CONCAT(F534,G534,H534,I534,J534)</f>
        <v>LDLWD</v>
      </c>
      <c r="S534" s="13" t="str">
        <f>_xlfn.CONCAT(K534,L534,M534,N534,O534)</f>
        <v>WWWDD</v>
      </c>
      <c r="T534" s="13" t="str">
        <f>_xlfn.CONCAT(R534,"***",S534)</f>
        <v>LDLWD***WWWDD</v>
      </c>
      <c r="U534" s="19">
        <f>(P534-Q534)</f>
        <v>-15</v>
      </c>
      <c r="V534" s="14">
        <v>2</v>
      </c>
      <c r="W534" s="14">
        <v>1</v>
      </c>
      <c r="X534" s="20" t="str">
        <f>IF(ISBLANK(V534),"",IF(V534&gt;W534,"1",IF(V534&lt;W534,"2",IF(V534=W534,"X"))))</f>
        <v>1</v>
      </c>
      <c r="Y534" s="23" t="str">
        <f>COUNTIF(F534:J534, "W")&amp;COUNTIF(F534:J534, "d")&amp;COUNTIF(F534:J534, "l")</f>
        <v>122</v>
      </c>
      <c r="Z534" s="13" t="str">
        <f>COUNTIF(K534:O534, "W")&amp;COUNTIF(K534:O534, "d")&amp;COUNTIF(K534:O534, "l")</f>
        <v>320</v>
      </c>
      <c r="AA534" s="23" t="str">
        <f>_xlfn.CONCAT(Y534,"-",Z534)</f>
        <v>122-320</v>
      </c>
      <c r="AB534" s="15" t="str">
        <f>_xlfn.CONCAT(AA534,"…",TEXT(U534,"+00;-00;+00;"))</f>
        <v>122-320…-15</v>
      </c>
      <c r="AC534" s="23" t="str">
        <f>_xlfn.CONCAT(TEXT(P534,"+00;-00;+00;"),"…",TEXT(Q534,"+00;-00;+00;"))</f>
        <v>-03…+12</v>
      </c>
      <c r="AD534" s="14" t="str">
        <f>IF(X534="","?","")</f>
        <v/>
      </c>
      <c r="AE534" s="15" t="str">
        <f>_xlfn.CONCAT(AA534,"…",TEXT(P534,"+00;-00;+00;"),"...",TEXT(Q534,"+00;-00;+00;"))</f>
        <v>122-320…-03...+12</v>
      </c>
      <c r="AF534" s="13" t="str">
        <f>_xlfn.CONCAT(R534,"…",TEXT(P534,"+00;-00;+00;"),"...",TEXT(Q534,"+00;-00;+00;"))</f>
        <v>LDLWD…-03...+12</v>
      </c>
    </row>
    <row r="535" spans="1:32" x14ac:dyDescent="0.25">
      <c r="A535" s="12" t="s">
        <v>984</v>
      </c>
      <c r="B535" s="13" t="s">
        <v>250</v>
      </c>
      <c r="C535" s="14">
        <v>1</v>
      </c>
      <c r="D535" s="13" t="s">
        <v>992</v>
      </c>
      <c r="E535" s="13" t="s">
        <v>993</v>
      </c>
      <c r="F535" s="15" t="s">
        <v>30</v>
      </c>
      <c r="G535" s="15" t="s">
        <v>31</v>
      </c>
      <c r="H535" s="15" t="s">
        <v>31</v>
      </c>
      <c r="I535" s="15" t="s">
        <v>30</v>
      </c>
      <c r="J535" s="15" t="s">
        <v>30</v>
      </c>
      <c r="K535" s="15" t="s">
        <v>30</v>
      </c>
      <c r="L535" s="15" t="s">
        <v>31</v>
      </c>
      <c r="M535" s="15" t="s">
        <v>30</v>
      </c>
      <c r="N535" s="15" t="s">
        <v>30</v>
      </c>
      <c r="O535" s="15" t="s">
        <v>30</v>
      </c>
      <c r="P535" s="18">
        <v>6</v>
      </c>
      <c r="Q535" s="18">
        <v>14</v>
      </c>
      <c r="R535" s="15" t="str">
        <f>_xlfn.CONCAT(F535,G535,H535,I535,J535)</f>
        <v>WLLWW</v>
      </c>
      <c r="S535" s="13" t="str">
        <f>_xlfn.CONCAT(K535,L535,M535,N535,O535)</f>
        <v>WLWWW</v>
      </c>
      <c r="T535" s="13" t="str">
        <f>_xlfn.CONCAT(R535,"***",S535)</f>
        <v>WLLWW***WLWWW</v>
      </c>
      <c r="U535" s="19">
        <f>(P535-Q535)</f>
        <v>-8</v>
      </c>
      <c r="V535" s="14">
        <v>3</v>
      </c>
      <c r="W535" s="14">
        <v>2</v>
      </c>
      <c r="X535" s="20" t="str">
        <f>IF(ISBLANK(V535),"",IF(V535&gt;W535,"1",IF(V535&lt;W535,"2",IF(V535=W535,"X"))))</f>
        <v>1</v>
      </c>
      <c r="Y535" s="23" t="str">
        <f>COUNTIF(F535:J535, "W")&amp;COUNTIF(F535:J535, "d")&amp;COUNTIF(F535:J535, "l")</f>
        <v>302</v>
      </c>
      <c r="Z535" s="13" t="str">
        <f>COUNTIF(K535:O535, "W")&amp;COUNTIF(K535:O535, "d")&amp;COUNTIF(K535:O535, "l")</f>
        <v>401</v>
      </c>
      <c r="AA535" s="23" t="str">
        <f>_xlfn.CONCAT(Y535,"-",Z535)</f>
        <v>302-401</v>
      </c>
      <c r="AB535" s="15" t="str">
        <f>_xlfn.CONCAT(AA535,"…",TEXT(U535,"+00;-00;+00;"))</f>
        <v>302-401…-08</v>
      </c>
      <c r="AC535" s="23" t="str">
        <f>_xlfn.CONCAT(TEXT(P535,"+00;-00;+00;"),"…",TEXT(Q535,"+00;-00;+00;"))</f>
        <v>+06…+14</v>
      </c>
      <c r="AD535" s="14" t="str">
        <f>IF(X535="","?","")</f>
        <v/>
      </c>
      <c r="AE535" s="15" t="str">
        <f>_xlfn.CONCAT(AA535,"…",TEXT(P535,"+00;-00;+00;"),"...",TEXT(Q535,"+00;-00;+00;"))</f>
        <v>302-401…+06...+14</v>
      </c>
      <c r="AF535" s="13" t="str">
        <f>_xlfn.CONCAT(R535,"…",TEXT(P535,"+00;-00;+00;"),"...",TEXT(Q535,"+00;-00;+00;"))</f>
        <v>WLLWW…+06...+14</v>
      </c>
    </row>
    <row r="536" spans="1:32" x14ac:dyDescent="0.25">
      <c r="A536" s="12" t="s">
        <v>903</v>
      </c>
      <c r="B536" s="13" t="s">
        <v>295</v>
      </c>
      <c r="C536" s="14">
        <v>1</v>
      </c>
      <c r="D536" s="13" t="s">
        <v>684</v>
      </c>
      <c r="E536" s="13" t="s">
        <v>980</v>
      </c>
      <c r="F536" s="15" t="s">
        <v>30</v>
      </c>
      <c r="G536" s="15" t="s">
        <v>31</v>
      </c>
      <c r="H536" s="15" t="s">
        <v>31</v>
      </c>
      <c r="I536" s="15" t="s">
        <v>30</v>
      </c>
      <c r="J536" s="15" t="s">
        <v>29</v>
      </c>
      <c r="K536" s="15" t="s">
        <v>30</v>
      </c>
      <c r="L536" s="15" t="s">
        <v>31</v>
      </c>
      <c r="M536" s="15" t="s">
        <v>29</v>
      </c>
      <c r="N536" s="15" t="s">
        <v>29</v>
      </c>
      <c r="O536" s="15" t="s">
        <v>29</v>
      </c>
      <c r="P536" s="18">
        <v>-3</v>
      </c>
      <c r="Q536" s="18">
        <v>-2</v>
      </c>
      <c r="R536" s="15" t="str">
        <f>_xlfn.CONCAT(F536,G536,H536,I536,J536)</f>
        <v>WLLWD</v>
      </c>
      <c r="S536" s="13" t="str">
        <f>_xlfn.CONCAT(K536,L536,M536,N536,O536)</f>
        <v>WLDDD</v>
      </c>
      <c r="T536" s="13" t="str">
        <f>_xlfn.CONCAT(R536,"***",S536)</f>
        <v>WLLWD***WLDDD</v>
      </c>
      <c r="U536" s="19">
        <f>(P536-Q536)</f>
        <v>-1</v>
      </c>
      <c r="V536" s="14">
        <v>1</v>
      </c>
      <c r="W536" s="14">
        <v>3</v>
      </c>
      <c r="X536" s="20" t="str">
        <f>IF(ISBLANK(V536),"",IF(V536&gt;W536,"1",IF(V536&lt;W536,"2",IF(V536=W536,"X"))))</f>
        <v>2</v>
      </c>
      <c r="Y536" s="23" t="str">
        <f>COUNTIF(F536:J536, "W")&amp;COUNTIF(F536:J536, "d")&amp;COUNTIF(F536:J536, "l")</f>
        <v>212</v>
      </c>
      <c r="Z536" s="13" t="str">
        <f>COUNTIF(K536:O536, "W")&amp;COUNTIF(K536:O536, "d")&amp;COUNTIF(K536:O536, "l")</f>
        <v>131</v>
      </c>
      <c r="AA536" s="23" t="str">
        <f>_xlfn.CONCAT(Y536,"-",Z536)</f>
        <v>212-131</v>
      </c>
      <c r="AB536" s="15" t="str">
        <f>_xlfn.CONCAT(AA536,"…",TEXT(U536,"+00;-00;+00;"))</f>
        <v>212-131…-01</v>
      </c>
      <c r="AC536" s="23" t="str">
        <f>_xlfn.CONCAT(TEXT(P536,"+00;-00;+00;"),"…",TEXT(Q536,"+00;-00;+00;"))</f>
        <v>-03…-02</v>
      </c>
      <c r="AD536" s="14" t="str">
        <f>IF(X536="","?","")</f>
        <v/>
      </c>
      <c r="AE536" s="15" t="str">
        <f>_xlfn.CONCAT(AA536,"…",TEXT(P536,"+00;-00;+00;"),"...",TEXT(Q536,"+00;-00;+00;"))</f>
        <v>212-131…-03...-02</v>
      </c>
      <c r="AF536" s="13" t="str">
        <f>_xlfn.CONCAT(R536,"…",TEXT(P536,"+00;-00;+00;"),"...",TEXT(Q536,"+00;-00;+00;"))</f>
        <v>WLLWD…-03...-02</v>
      </c>
    </row>
    <row r="537" spans="1:32" x14ac:dyDescent="0.25">
      <c r="A537" s="13" t="s">
        <v>903</v>
      </c>
      <c r="B537" s="13" t="s">
        <v>414</v>
      </c>
      <c r="C537" s="14">
        <v>1</v>
      </c>
      <c r="D537" s="13" t="s">
        <v>911</v>
      </c>
      <c r="E537" s="13" t="s">
        <v>838</v>
      </c>
      <c r="F537" s="13" t="s">
        <v>29</v>
      </c>
      <c r="G537" s="13" t="s">
        <v>30</v>
      </c>
      <c r="H537" s="13" t="s">
        <v>30</v>
      </c>
      <c r="I537" s="13" t="s">
        <v>30</v>
      </c>
      <c r="J537" s="13" t="s">
        <v>29</v>
      </c>
      <c r="K537" s="13" t="s">
        <v>31</v>
      </c>
      <c r="L537" s="13" t="s">
        <v>29</v>
      </c>
      <c r="M537" s="13" t="s">
        <v>29</v>
      </c>
      <c r="N537" s="13" t="s">
        <v>29</v>
      </c>
      <c r="O537" s="13" t="s">
        <v>30</v>
      </c>
      <c r="P537" s="16">
        <v>15</v>
      </c>
      <c r="Q537" s="16">
        <v>-1</v>
      </c>
      <c r="R537" s="13" t="str">
        <f>_xlfn.CONCAT(F537,G537,H537,I537,J537)</f>
        <v>DWWWD</v>
      </c>
      <c r="S537" s="13" t="str">
        <f>_xlfn.CONCAT(K537,L537,M537,N537,O537)</f>
        <v>LDDDW</v>
      </c>
      <c r="T537" s="13" t="str">
        <f>_xlfn.CONCAT(R537,"***",S537)</f>
        <v>DWWWD***LDDDW</v>
      </c>
      <c r="U537" s="21">
        <f>(P537-Q537)</f>
        <v>16</v>
      </c>
      <c r="V537" s="14">
        <v>0</v>
      </c>
      <c r="W537" s="14">
        <v>0</v>
      </c>
      <c r="X537" s="20" t="str">
        <f>IF(ISBLANK(V537),"",IF(V537&gt;W537,"1",IF(V537&lt;W537,"2",IF(V537=W537,"X"))))</f>
        <v>X</v>
      </c>
      <c r="Y537" s="23" t="str">
        <f>COUNTIF(F537:J537, "W")&amp;COUNTIF(F537:J537, "d")&amp;COUNTIF(F537:J537, "l")</f>
        <v>320</v>
      </c>
      <c r="Z537" s="13" t="str">
        <f>COUNTIF(K537:O537, "W")&amp;COUNTIF(K537:O537, "d")&amp;COUNTIF(K537:O537, "l")</f>
        <v>131</v>
      </c>
      <c r="AA537" s="23" t="str">
        <f>_xlfn.CONCAT(Y537,"-",Z537)</f>
        <v>320-131</v>
      </c>
      <c r="AB537" s="13" t="str">
        <f>_xlfn.CONCAT(AA537,"…",TEXT(U537,"+00;-00;+00;"))</f>
        <v>320-131…+16</v>
      </c>
      <c r="AC537" s="23" t="str">
        <f>_xlfn.CONCAT(TEXT(P537,"+00;-00;+00;"),"…",TEXT(Q537,"+00;-00;+00;"))</f>
        <v>+15…-01</v>
      </c>
      <c r="AD537" s="14" t="str">
        <f>IF(X537="","?","")</f>
        <v/>
      </c>
      <c r="AE537" s="15" t="str">
        <f>_xlfn.CONCAT(AA537,"…",TEXT(P537,"+00;-00;+00;"),"...",TEXT(Q537,"+00;-00;+00;"))</f>
        <v>320-131…+15...-01</v>
      </c>
      <c r="AF537" s="13" t="str">
        <f>_xlfn.CONCAT(R537,"…",TEXT(P537,"+00;-00;+00;"),"...",TEXT(Q537,"+00;-00;+00;"))</f>
        <v>DWWWD…+15...-01</v>
      </c>
    </row>
    <row r="538" spans="1:32" x14ac:dyDescent="0.25">
      <c r="A538" s="13" t="s">
        <v>931</v>
      </c>
      <c r="B538" s="13" t="s">
        <v>208</v>
      </c>
      <c r="C538" s="14">
        <v>2</v>
      </c>
      <c r="D538" s="13" t="s">
        <v>939</v>
      </c>
      <c r="E538" s="13" t="s">
        <v>239</v>
      </c>
      <c r="F538" s="13" t="s">
        <v>31</v>
      </c>
      <c r="G538" s="13" t="s">
        <v>31</v>
      </c>
      <c r="H538" s="13" t="s">
        <v>31</v>
      </c>
      <c r="I538" s="13" t="s">
        <v>29</v>
      </c>
      <c r="J538" s="13" t="s">
        <v>31</v>
      </c>
      <c r="K538" s="13" t="s">
        <v>29</v>
      </c>
      <c r="L538" s="13" t="s">
        <v>30</v>
      </c>
      <c r="M538" s="13" t="s">
        <v>29</v>
      </c>
      <c r="N538" s="13" t="s">
        <v>30</v>
      </c>
      <c r="O538" s="13" t="s">
        <v>30</v>
      </c>
      <c r="P538" s="16">
        <v>-23</v>
      </c>
      <c r="Q538" s="16">
        <v>16</v>
      </c>
      <c r="R538" s="13" t="str">
        <f>_xlfn.CONCAT(F538,G538,H538,I538,J538)</f>
        <v>LLLDL</v>
      </c>
      <c r="S538" s="13" t="str">
        <f>_xlfn.CONCAT(K538,L538,M538,N538,O538)</f>
        <v>DWDWW</v>
      </c>
      <c r="T538" s="13" t="str">
        <f>_xlfn.CONCAT(R538,"***",S538)</f>
        <v>LLLDL***DWDWW</v>
      </c>
      <c r="U538" s="21">
        <f>(P538-Q538)</f>
        <v>-39</v>
      </c>
      <c r="V538" s="14">
        <v>1</v>
      </c>
      <c r="W538" s="14">
        <v>1</v>
      </c>
      <c r="X538" s="20" t="str">
        <f>IF(ISBLANK(V538),"",IF(V538&gt;W538,"1",IF(V538&lt;W538,"2",IF(V538=W538,"X"))))</f>
        <v>X</v>
      </c>
      <c r="Y538" s="23" t="str">
        <f>COUNTIF(F538:J538, "W")&amp;COUNTIF(F538:J538, "d")&amp;COUNTIF(F538:J538, "l")</f>
        <v>014</v>
      </c>
      <c r="Z538" s="13" t="str">
        <f>COUNTIF(K538:O538, "W")&amp;COUNTIF(K538:O538, "d")&amp;COUNTIF(K538:O538, "l")</f>
        <v>320</v>
      </c>
      <c r="AA538" s="23" t="str">
        <f>_xlfn.CONCAT(Y538,"-",Z538)</f>
        <v>014-320</v>
      </c>
      <c r="AB538" s="13" t="str">
        <f>_xlfn.CONCAT(AA538,"…",TEXT(U538,"+00;-00;+00;"))</f>
        <v>014-320…-39</v>
      </c>
      <c r="AC538" s="23" t="str">
        <f>_xlfn.CONCAT(TEXT(P538,"+00;-00;+00;"),"…",TEXT(Q538,"+00;-00;+00;"))</f>
        <v>-23…+16</v>
      </c>
      <c r="AD538" s="14" t="str">
        <f>IF(X538="","?","")</f>
        <v/>
      </c>
      <c r="AE538" s="15" t="str">
        <f>_xlfn.CONCAT(AA538,"…",TEXT(P538,"+00;-00;+00;"),"...",TEXT(Q538,"+00;-00;+00;"))</f>
        <v>014-320…-23...+16</v>
      </c>
      <c r="AF538" s="13" t="str">
        <f>_xlfn.CONCAT(R538,"…",TEXT(P538,"+00;-00;+00;"),"...",TEXT(Q538,"+00;-00;+00;"))</f>
        <v>LLLDL…-23...+16</v>
      </c>
    </row>
    <row r="539" spans="1:32" x14ac:dyDescent="0.25">
      <c r="A539" s="12" t="s">
        <v>951</v>
      </c>
      <c r="B539" s="13" t="s">
        <v>318</v>
      </c>
      <c r="C539" s="14">
        <v>1</v>
      </c>
      <c r="D539" s="13" t="s">
        <v>330</v>
      </c>
      <c r="E539" s="13" t="s">
        <v>336</v>
      </c>
      <c r="F539" s="15" t="s">
        <v>29</v>
      </c>
      <c r="G539" s="15" t="s">
        <v>29</v>
      </c>
      <c r="H539" s="15" t="s">
        <v>29</v>
      </c>
      <c r="I539" s="15" t="s">
        <v>30</v>
      </c>
      <c r="J539" s="15" t="s">
        <v>30</v>
      </c>
      <c r="K539" s="15" t="s">
        <v>29</v>
      </c>
      <c r="L539" s="15" t="s">
        <v>31</v>
      </c>
      <c r="M539" s="15" t="s">
        <v>30</v>
      </c>
      <c r="N539" s="15" t="s">
        <v>29</v>
      </c>
      <c r="O539" s="15" t="s">
        <v>31</v>
      </c>
      <c r="P539" s="18">
        <v>8</v>
      </c>
      <c r="Q539" s="18">
        <v>-9</v>
      </c>
      <c r="R539" s="15" t="str">
        <f>_xlfn.CONCAT(F539,G539,H539,I539,J539)</f>
        <v>DDDWW</v>
      </c>
      <c r="S539" s="13" t="str">
        <f>_xlfn.CONCAT(K539,L539,M539,N539,O539)</f>
        <v>DLWDL</v>
      </c>
      <c r="T539" s="13" t="str">
        <f>_xlfn.CONCAT(R539,"***",S539)</f>
        <v>DDDWW***DLWDL</v>
      </c>
      <c r="U539" s="19">
        <f>(P539-Q539)</f>
        <v>17</v>
      </c>
      <c r="V539" s="14">
        <v>4</v>
      </c>
      <c r="W539" s="14">
        <v>0</v>
      </c>
      <c r="X539" s="20" t="str">
        <f>IF(ISBLANK(V539),"",IF(V539&gt;W539,"1",IF(V539&lt;W539,"2",IF(V539=W539,"X"))))</f>
        <v>1</v>
      </c>
      <c r="Y539" s="23" t="str">
        <f>COUNTIF(F539:J539, "W")&amp;COUNTIF(F539:J539, "d")&amp;COUNTIF(F539:J539, "l")</f>
        <v>230</v>
      </c>
      <c r="Z539" s="13" t="str">
        <f>COUNTIF(K539:O539, "W")&amp;COUNTIF(K539:O539, "d")&amp;COUNTIF(K539:O539, "l")</f>
        <v>122</v>
      </c>
      <c r="AA539" s="23" t="str">
        <f>_xlfn.CONCAT(Y539,"-",Z539)</f>
        <v>230-122</v>
      </c>
      <c r="AB539" s="15" t="str">
        <f>_xlfn.CONCAT(AA539,"…",TEXT(U539,"+00;-00;+00;"))</f>
        <v>230-122…+17</v>
      </c>
      <c r="AC539" s="23" t="str">
        <f>_xlfn.CONCAT(TEXT(P539,"+00;-00;+00;"),"…",TEXT(Q539,"+00;-00;+00;"))</f>
        <v>+08…-09</v>
      </c>
      <c r="AD539" s="14" t="str">
        <f>IF(X539="","?","")</f>
        <v/>
      </c>
      <c r="AE539" s="15" t="str">
        <f>_xlfn.CONCAT(AA539,"…",TEXT(P539,"+00;-00;+00;"),"...",TEXT(Q539,"+00;-00;+00;"))</f>
        <v>230-122…+08...-09</v>
      </c>
      <c r="AF539" s="13" t="str">
        <f>_xlfn.CONCAT(R539,"…",TEXT(P539,"+00;-00;+00;"),"...",TEXT(Q539,"+00;-00;+00;"))</f>
        <v>DDDWW…+08...-09</v>
      </c>
    </row>
    <row r="540" spans="1:32" x14ac:dyDescent="0.25">
      <c r="A540" s="12" t="s">
        <v>951</v>
      </c>
      <c r="B540" s="13" t="s">
        <v>117</v>
      </c>
      <c r="C540" s="14" t="s">
        <v>0</v>
      </c>
      <c r="D540" s="13" t="s">
        <v>141</v>
      </c>
      <c r="E540" s="13" t="s">
        <v>957</v>
      </c>
      <c r="F540" s="15" t="s">
        <v>30</v>
      </c>
      <c r="G540" s="15" t="s">
        <v>29</v>
      </c>
      <c r="H540" s="15" t="s">
        <v>30</v>
      </c>
      <c r="I540" s="15" t="s">
        <v>30</v>
      </c>
      <c r="J540" s="15" t="s">
        <v>30</v>
      </c>
      <c r="K540" s="15" t="s">
        <v>29</v>
      </c>
      <c r="L540" s="15" t="s">
        <v>31</v>
      </c>
      <c r="M540" s="15" t="s">
        <v>29</v>
      </c>
      <c r="N540" s="15" t="s">
        <v>30</v>
      </c>
      <c r="O540" s="15" t="s">
        <v>29</v>
      </c>
      <c r="P540" s="18">
        <v>26</v>
      </c>
      <c r="Q540" s="18">
        <v>-9</v>
      </c>
      <c r="R540" s="15" t="str">
        <f>_xlfn.CONCAT(F540,G540,H540,I540,J540)</f>
        <v>WDWWW</v>
      </c>
      <c r="S540" s="13" t="str">
        <f>_xlfn.CONCAT(K540,L540,M540,N540,O540)</f>
        <v>DLDWD</v>
      </c>
      <c r="T540" s="13" t="str">
        <f>_xlfn.CONCAT(R540,"***",S540)</f>
        <v>WDWWW***DLDWD</v>
      </c>
      <c r="U540" s="19">
        <f>(P540-Q540)</f>
        <v>35</v>
      </c>
      <c r="V540" s="14">
        <v>4</v>
      </c>
      <c r="W540" s="14">
        <v>0</v>
      </c>
      <c r="X540" s="20" t="str">
        <f>IF(ISBLANK(V540),"",IF(V540&gt;W540,"1",IF(V540&lt;W540,"2",IF(V540=W540,"X"))))</f>
        <v>1</v>
      </c>
      <c r="Y540" s="23" t="str">
        <f>COUNTIF(F540:J540, "W")&amp;COUNTIF(F540:J540, "d")&amp;COUNTIF(F540:J540, "l")</f>
        <v>410</v>
      </c>
      <c r="Z540" s="13" t="str">
        <f>COUNTIF(K540:O540, "W")&amp;COUNTIF(K540:O540, "d")&amp;COUNTIF(K540:O540, "l")</f>
        <v>131</v>
      </c>
      <c r="AA540" s="23" t="str">
        <f>_xlfn.CONCAT(Y540,"-",Z540)</f>
        <v>410-131</v>
      </c>
      <c r="AB540" s="15" t="str">
        <f>_xlfn.CONCAT(AA540,"…",TEXT(U540,"+00;-00;+00;"))</f>
        <v>410-131…+35</v>
      </c>
      <c r="AC540" s="23" t="str">
        <f>_xlfn.CONCAT(TEXT(P540,"+00;-00;+00;"),"…",TEXT(Q540,"+00;-00;+00;"))</f>
        <v>+26…-09</v>
      </c>
      <c r="AD540" s="14" t="str">
        <f>IF(X540="","?","")</f>
        <v/>
      </c>
      <c r="AE540" s="15" t="str">
        <f>_xlfn.CONCAT(AA540,"…",TEXT(P540,"+00;-00;+00;"),"...",TEXT(Q540,"+00;-00;+00;"))</f>
        <v>410-131…+26...-09</v>
      </c>
      <c r="AF540" s="13" t="str">
        <f>_xlfn.CONCAT(R540,"…",TEXT(P540,"+00;-00;+00;"),"...",TEXT(Q540,"+00;-00;+00;"))</f>
        <v>WDWWW…+26...-09</v>
      </c>
    </row>
    <row r="541" spans="1:32" x14ac:dyDescent="0.25">
      <c r="A541" s="12" t="s">
        <v>985</v>
      </c>
      <c r="B541" s="13" t="s">
        <v>59</v>
      </c>
      <c r="C541" s="14">
        <v>1</v>
      </c>
      <c r="D541" s="13" t="s">
        <v>730</v>
      </c>
      <c r="E541" s="13" t="s">
        <v>80</v>
      </c>
      <c r="F541" s="15" t="s">
        <v>29</v>
      </c>
      <c r="G541" s="15" t="s">
        <v>29</v>
      </c>
      <c r="H541" s="15" t="s">
        <v>31</v>
      </c>
      <c r="I541" s="15" t="s">
        <v>31</v>
      </c>
      <c r="J541" s="15" t="s">
        <v>29</v>
      </c>
      <c r="K541" s="15" t="s">
        <v>29</v>
      </c>
      <c r="L541" s="15" t="s">
        <v>31</v>
      </c>
      <c r="M541" s="15" t="s">
        <v>29</v>
      </c>
      <c r="N541" s="15" t="s">
        <v>29</v>
      </c>
      <c r="O541" s="15" t="s">
        <v>29</v>
      </c>
      <c r="P541" s="18">
        <v>-7</v>
      </c>
      <c r="Q541" s="18">
        <v>0</v>
      </c>
      <c r="R541" s="15" t="str">
        <f>_xlfn.CONCAT(F541,G541,H541,I541,J541)</f>
        <v>DDLLD</v>
      </c>
      <c r="S541" s="13" t="str">
        <f>_xlfn.CONCAT(K541,L541,M541,N541,O541)</f>
        <v>DLDDD</v>
      </c>
      <c r="T541" s="13" t="str">
        <f>_xlfn.CONCAT(R541,"***",S541)</f>
        <v>DDLLD***DLDDD</v>
      </c>
      <c r="U541" s="19">
        <f>(P541-Q541)</f>
        <v>-7</v>
      </c>
      <c r="V541" s="14">
        <v>1</v>
      </c>
      <c r="W541" s="14">
        <v>0</v>
      </c>
      <c r="X541" s="20" t="str">
        <f>IF(ISBLANK(V541),"",IF(V541&gt;W541,"1",IF(V541&lt;W541,"2",IF(V541=W541,"X"))))</f>
        <v>1</v>
      </c>
      <c r="Y541" s="23" t="str">
        <f>COUNTIF(F541:J541, "W")&amp;COUNTIF(F541:J541, "d")&amp;COUNTIF(F541:J541, "l")</f>
        <v>032</v>
      </c>
      <c r="Z541" s="13" t="str">
        <f>COUNTIF(K541:O541, "W")&amp;COUNTIF(K541:O541, "d")&amp;COUNTIF(K541:O541, "l")</f>
        <v>041</v>
      </c>
      <c r="AA541" s="23" t="str">
        <f>_xlfn.CONCAT(Y541,"-",Z541)</f>
        <v>032-041</v>
      </c>
      <c r="AB541" s="15" t="str">
        <f>_xlfn.CONCAT(AA541,"…",TEXT(U541,"+00;-00;+00;"))</f>
        <v>032-041…-07</v>
      </c>
      <c r="AC541" s="23" t="str">
        <f>_xlfn.CONCAT(TEXT(P541,"+00;-00;+00;"),"…",TEXT(Q541,"+00;-00;+00;"))</f>
        <v>-07…+00</v>
      </c>
      <c r="AD541" s="14" t="str">
        <f>IF(X541="","?","")</f>
        <v/>
      </c>
      <c r="AE541" s="15" t="str">
        <f>_xlfn.CONCAT(AA541,"…",TEXT(P541,"+00;-00;+00;"),"...",TEXT(Q541,"+00;-00;+00;"))</f>
        <v>032-041…-07...+00</v>
      </c>
      <c r="AF541" s="13" t="str">
        <f>_xlfn.CONCAT(R541,"…",TEXT(P541,"+00;-00;+00;"),"...",TEXT(Q541,"+00;-00;+00;"))</f>
        <v>DDLLD…-07...+00</v>
      </c>
    </row>
    <row r="542" spans="1:32" x14ac:dyDescent="0.25">
      <c r="A542" s="12" t="s">
        <v>985</v>
      </c>
      <c r="B542" s="13" t="s">
        <v>295</v>
      </c>
      <c r="C542" s="14">
        <v>1</v>
      </c>
      <c r="D542" s="13" t="s">
        <v>1055</v>
      </c>
      <c r="E542" s="13" t="s">
        <v>683</v>
      </c>
      <c r="F542" s="15" t="s">
        <v>31</v>
      </c>
      <c r="G542" s="15" t="s">
        <v>29</v>
      </c>
      <c r="H542" s="15" t="s">
        <v>30</v>
      </c>
      <c r="I542" s="15" t="s">
        <v>31</v>
      </c>
      <c r="J542" s="15" t="s">
        <v>29</v>
      </c>
      <c r="K542" s="15" t="s">
        <v>31</v>
      </c>
      <c r="L542" s="15" t="s">
        <v>31</v>
      </c>
      <c r="M542" s="15" t="s">
        <v>29</v>
      </c>
      <c r="N542" s="15" t="s">
        <v>30</v>
      </c>
      <c r="O542" s="15" t="s">
        <v>29</v>
      </c>
      <c r="P542" s="18">
        <v>22</v>
      </c>
      <c r="Q542" s="18">
        <v>-18</v>
      </c>
      <c r="R542" s="15" t="str">
        <f>_xlfn.CONCAT(F542,G542,H542,I542,J542)</f>
        <v>LDWLD</v>
      </c>
      <c r="S542" s="13" t="str">
        <f>_xlfn.CONCAT(K542,L542,M542,N542,O542)</f>
        <v>LLDWD</v>
      </c>
      <c r="T542" s="13" t="str">
        <f>_xlfn.CONCAT(R542,"***",S542)</f>
        <v>LDWLD***LLDWD</v>
      </c>
      <c r="U542" s="19">
        <f>(P542-Q542)</f>
        <v>40</v>
      </c>
      <c r="V542" s="14">
        <v>4</v>
      </c>
      <c r="W542" s="14">
        <v>1</v>
      </c>
      <c r="X542" s="20" t="str">
        <f>IF(ISBLANK(V542),"",IF(V542&gt;W542,"1",IF(V542&lt;W542,"2",IF(V542=W542,"X"))))</f>
        <v>1</v>
      </c>
      <c r="Y542" s="23" t="str">
        <f>COUNTIF(F542:J542, "W")&amp;COUNTIF(F542:J542, "d")&amp;COUNTIF(F542:J542, "l")</f>
        <v>122</v>
      </c>
      <c r="Z542" s="13" t="str">
        <f>COUNTIF(K542:O542, "W")&amp;COUNTIF(K542:O542, "d")&amp;COUNTIF(K542:O542, "l")</f>
        <v>122</v>
      </c>
      <c r="AA542" s="23" t="str">
        <f>_xlfn.CONCAT(Y542,"-",Z542)</f>
        <v>122-122</v>
      </c>
      <c r="AB542" s="15" t="str">
        <f>_xlfn.CONCAT(AA542,"…",TEXT(U542,"+00;-00;+00;"))</f>
        <v>122-122…+40</v>
      </c>
      <c r="AC542" s="23" t="str">
        <f>_xlfn.CONCAT(TEXT(P542,"+00;-00;+00;"),"…",TEXT(Q542,"+00;-00;+00;"))</f>
        <v>+22…-18</v>
      </c>
      <c r="AD542" s="14" t="str">
        <f>IF(X542="","?","")</f>
        <v/>
      </c>
      <c r="AE542" s="15" t="str">
        <f>_xlfn.CONCAT(AA542,"…",TEXT(P542,"+00;-00;+00;"),"...",TEXT(Q542,"+00;-00;+00;"))</f>
        <v>122-122…+22...-18</v>
      </c>
      <c r="AF542" s="13" t="str">
        <f>_xlfn.CONCAT(R542,"…",TEXT(P542,"+00;-00;+00;"),"...",TEXT(Q542,"+00;-00;+00;"))</f>
        <v>LDWLD…+22...-18</v>
      </c>
    </row>
    <row r="543" spans="1:32" x14ac:dyDescent="0.25">
      <c r="A543" s="12" t="s">
        <v>985</v>
      </c>
      <c r="B543" s="13" t="s">
        <v>59</v>
      </c>
      <c r="C543" s="14">
        <v>2</v>
      </c>
      <c r="D543" s="13" t="s">
        <v>752</v>
      </c>
      <c r="E543" s="13" t="s">
        <v>1016</v>
      </c>
      <c r="F543" s="15" t="s">
        <v>30</v>
      </c>
      <c r="G543" s="15" t="s">
        <v>29</v>
      </c>
      <c r="H543" s="15" t="s">
        <v>29</v>
      </c>
      <c r="I543" s="15" t="s">
        <v>30</v>
      </c>
      <c r="J543" s="15" t="s">
        <v>31</v>
      </c>
      <c r="K543" s="15" t="s">
        <v>29</v>
      </c>
      <c r="L543" s="15" t="s">
        <v>30</v>
      </c>
      <c r="M543" s="15" t="s">
        <v>29</v>
      </c>
      <c r="N543" s="15" t="s">
        <v>31</v>
      </c>
      <c r="O543" s="15" t="s">
        <v>29</v>
      </c>
      <c r="P543" s="18">
        <v>-1</v>
      </c>
      <c r="Q543" s="18">
        <v>-1</v>
      </c>
      <c r="R543" s="15" t="str">
        <f>_xlfn.CONCAT(F543,G543,H543,I543,J543)</f>
        <v>WDDWL</v>
      </c>
      <c r="S543" s="13" t="str">
        <f>_xlfn.CONCAT(K543,L543,M543,N543,O543)</f>
        <v>DWDLD</v>
      </c>
      <c r="T543" s="13" t="str">
        <f>_xlfn.CONCAT(R543,"***",S543)</f>
        <v>WDDWL***DWDLD</v>
      </c>
      <c r="U543" s="19">
        <f>(P543-Q543)</f>
        <v>0</v>
      </c>
      <c r="V543" s="14">
        <v>0</v>
      </c>
      <c r="W543" s="14">
        <v>0</v>
      </c>
      <c r="X543" s="20" t="str">
        <f>IF(ISBLANK(V543),"",IF(V543&gt;W543,"1",IF(V543&lt;W543,"2",IF(V543=W543,"X"))))</f>
        <v>X</v>
      </c>
      <c r="Y543" s="23" t="str">
        <f>COUNTIF(F543:J543, "W")&amp;COUNTIF(F543:J543, "d")&amp;COUNTIF(F543:J543, "l")</f>
        <v>221</v>
      </c>
      <c r="Z543" s="13" t="str">
        <f>COUNTIF(K543:O543, "W")&amp;COUNTIF(K543:O543, "d")&amp;COUNTIF(K543:O543, "l")</f>
        <v>131</v>
      </c>
      <c r="AA543" s="23" t="str">
        <f>_xlfn.CONCAT(Y543,"-",Z543)</f>
        <v>221-131</v>
      </c>
      <c r="AB543" s="15" t="str">
        <f>_xlfn.CONCAT(AA543,"…",TEXT(U543,"+00;-00;+00;"))</f>
        <v>221-131…+00</v>
      </c>
      <c r="AC543" s="23" t="str">
        <f>_xlfn.CONCAT(TEXT(P543,"+00;-00;+00;"),"…",TEXT(Q543,"+00;-00;+00;"))</f>
        <v>-01…-01</v>
      </c>
      <c r="AD543" s="14" t="str">
        <f>IF(X543="","?","")</f>
        <v/>
      </c>
      <c r="AE543" s="15" t="str">
        <f>_xlfn.CONCAT(AA543,"…",TEXT(P543,"+00;-00;+00;"),"...",TEXT(Q543,"+00;-00;+00;"))</f>
        <v>221-131…-01...-01</v>
      </c>
      <c r="AF543" s="13" t="str">
        <f>_xlfn.CONCAT(R543,"…",TEXT(P543,"+00;-00;+00;"),"...",TEXT(Q543,"+00;-00;+00;"))</f>
        <v>WDDWL…-01...-01</v>
      </c>
    </row>
    <row r="544" spans="1:32" x14ac:dyDescent="0.25">
      <c r="A544" s="12" t="s">
        <v>985</v>
      </c>
      <c r="B544" s="13" t="s">
        <v>250</v>
      </c>
      <c r="C544" s="14">
        <v>1</v>
      </c>
      <c r="D544" s="13" t="s">
        <v>266</v>
      </c>
      <c r="E544" s="13" t="s">
        <v>994</v>
      </c>
      <c r="F544" s="15" t="s">
        <v>30</v>
      </c>
      <c r="G544" s="15" t="s">
        <v>30</v>
      </c>
      <c r="H544" s="15" t="s">
        <v>31</v>
      </c>
      <c r="I544" s="15" t="s">
        <v>30</v>
      </c>
      <c r="J544" s="15" t="s">
        <v>30</v>
      </c>
      <c r="K544" s="15" t="s">
        <v>30</v>
      </c>
      <c r="L544" s="15" t="s">
        <v>31</v>
      </c>
      <c r="M544" s="15" t="s">
        <v>31</v>
      </c>
      <c r="N544" s="15" t="s">
        <v>29</v>
      </c>
      <c r="O544" s="15" t="s">
        <v>31</v>
      </c>
      <c r="P544" s="18">
        <v>10</v>
      </c>
      <c r="Q544" s="18">
        <v>-4</v>
      </c>
      <c r="R544" s="15" t="str">
        <f>_xlfn.CONCAT(F544,G544,H544,I544,J544)</f>
        <v>WWLWW</v>
      </c>
      <c r="S544" s="13" t="str">
        <f>_xlfn.CONCAT(K544,L544,M544,N544,O544)</f>
        <v>WLLDL</v>
      </c>
      <c r="T544" s="13" t="str">
        <f>_xlfn.CONCAT(R544,"***",S544)</f>
        <v>WWLWW***WLLDL</v>
      </c>
      <c r="U544" s="19">
        <f>(P544-Q544)</f>
        <v>14</v>
      </c>
      <c r="V544" s="14">
        <v>3</v>
      </c>
      <c r="W544" s="14">
        <v>1</v>
      </c>
      <c r="X544" s="20" t="str">
        <f>IF(ISBLANK(V544),"",IF(V544&gt;W544,"1",IF(V544&lt;W544,"2",IF(V544=W544,"X"))))</f>
        <v>1</v>
      </c>
      <c r="Y544" s="23" t="str">
        <f>COUNTIF(F544:J544, "W")&amp;COUNTIF(F544:J544, "d")&amp;COUNTIF(F544:J544, "l")</f>
        <v>401</v>
      </c>
      <c r="Z544" s="13" t="str">
        <f>COUNTIF(K544:O544, "W")&amp;COUNTIF(K544:O544, "d")&amp;COUNTIF(K544:O544, "l")</f>
        <v>113</v>
      </c>
      <c r="AA544" s="23" t="str">
        <f>_xlfn.CONCAT(Y544,"-",Z544)</f>
        <v>401-113</v>
      </c>
      <c r="AB544" s="15" t="str">
        <f>_xlfn.CONCAT(AA544,"…",TEXT(U544,"+00;-00;+00;"))</f>
        <v>401-113…+14</v>
      </c>
      <c r="AC544" s="23" t="str">
        <f>_xlfn.CONCAT(TEXT(P544,"+00;-00;+00;"),"…",TEXT(Q544,"+00;-00;+00;"))</f>
        <v>+10…-04</v>
      </c>
      <c r="AD544" s="14" t="str">
        <f>IF(X544="","?","")</f>
        <v/>
      </c>
      <c r="AE544" s="15" t="str">
        <f>_xlfn.CONCAT(AA544,"…",TEXT(P544,"+00;-00;+00;"),"...",TEXT(Q544,"+00;-00;+00;"))</f>
        <v>401-113…+10...-04</v>
      </c>
      <c r="AF544" s="13" t="str">
        <f>_xlfn.CONCAT(R544,"…",TEXT(P544,"+00;-00;+00;"),"...",TEXT(Q544,"+00;-00;+00;"))</f>
        <v>WWLWW…+10...-04</v>
      </c>
    </row>
    <row r="545" spans="1:32" x14ac:dyDescent="0.25">
      <c r="A545" s="12" t="s">
        <v>1046</v>
      </c>
      <c r="B545" s="13" t="s">
        <v>7</v>
      </c>
      <c r="C545" s="14" t="s">
        <v>8</v>
      </c>
      <c r="D545" s="13" t="s">
        <v>26</v>
      </c>
      <c r="E545" s="13" t="s">
        <v>607</v>
      </c>
      <c r="F545" s="15" t="s">
        <v>30</v>
      </c>
      <c r="G545" s="15" t="s">
        <v>29</v>
      </c>
      <c r="H545" s="15" t="s">
        <v>30</v>
      </c>
      <c r="I545" s="15" t="s">
        <v>30</v>
      </c>
      <c r="J545" s="15" t="s">
        <v>31</v>
      </c>
      <c r="K545" s="15" t="s">
        <v>30</v>
      </c>
      <c r="L545" s="15" t="s">
        <v>30</v>
      </c>
      <c r="M545" s="15" t="s">
        <v>30</v>
      </c>
      <c r="N545" s="15" t="s">
        <v>30</v>
      </c>
      <c r="O545" s="15" t="s">
        <v>31</v>
      </c>
      <c r="P545" s="18">
        <v>14</v>
      </c>
      <c r="Q545" s="18">
        <v>19</v>
      </c>
      <c r="R545" s="15" t="str">
        <f>_xlfn.CONCAT(F545,G545,H545,I545,J545)</f>
        <v>WDWWL</v>
      </c>
      <c r="S545" s="13" t="str">
        <f>_xlfn.CONCAT(K545,L545,M545,N545,O545)</f>
        <v>WWWWL</v>
      </c>
      <c r="T545" s="13" t="str">
        <f>_xlfn.CONCAT(R545,"***",S545)</f>
        <v>WDWWL***WWWWL</v>
      </c>
      <c r="U545" s="19">
        <f>(P545-Q545)</f>
        <v>-5</v>
      </c>
      <c r="V545" s="14">
        <v>1</v>
      </c>
      <c r="W545" s="14">
        <v>0</v>
      </c>
      <c r="X545" s="20" t="str">
        <f>IF(ISBLANK(V545),"",IF(V545&gt;W545,"1",IF(V545&lt;W545,"2",IF(V545=W545,"X"))))</f>
        <v>1</v>
      </c>
      <c r="Y545" s="23" t="str">
        <f>COUNTIF(F545:J545, "W")&amp;COUNTIF(F545:J545, "d")&amp;COUNTIF(F545:J545, "l")</f>
        <v>311</v>
      </c>
      <c r="Z545" s="13" t="str">
        <f>COUNTIF(K545:O545, "W")&amp;COUNTIF(K545:O545, "d")&amp;COUNTIF(K545:O545, "l")</f>
        <v>401</v>
      </c>
      <c r="AA545" s="23" t="str">
        <f>_xlfn.CONCAT(Y545,"-",Z545)</f>
        <v>311-401</v>
      </c>
      <c r="AB545" s="15" t="str">
        <f>_xlfn.CONCAT(AA545,"…",TEXT(U545,"+00;-00;+00;"))</f>
        <v>311-401…-05</v>
      </c>
      <c r="AC545" s="23" t="str">
        <f>_xlfn.CONCAT(TEXT(P545,"+00;-00;+00;"),"…",TEXT(Q545,"+00;-00;+00;"))</f>
        <v>+14…+19</v>
      </c>
      <c r="AD545" s="14" t="str">
        <f>IF(X545="","?","")</f>
        <v/>
      </c>
      <c r="AE545" s="15" t="str">
        <f>_xlfn.CONCAT(AA545,"…",TEXT(P545,"+00;-00;+00;"),"...",TEXT(Q545,"+00;-00;+00;"))</f>
        <v>311-401…+14...+19</v>
      </c>
      <c r="AF545" s="13" t="str">
        <f>_xlfn.CONCAT(R545,"…",TEXT(P545,"+00;-00;+00;"),"...",TEXT(Q545,"+00;-00;+00;"))</f>
        <v>WDWWL…+14...+19</v>
      </c>
    </row>
    <row r="546" spans="1:32" x14ac:dyDescent="0.25">
      <c r="A546" s="12" t="s">
        <v>1020</v>
      </c>
      <c r="B546" s="13" t="s">
        <v>339</v>
      </c>
      <c r="C546" s="14">
        <v>1</v>
      </c>
      <c r="D546" s="13" t="s">
        <v>1026</v>
      </c>
      <c r="E546" s="13" t="s">
        <v>351</v>
      </c>
      <c r="F546" s="15" t="s">
        <v>31</v>
      </c>
      <c r="G546" s="15" t="s">
        <v>30</v>
      </c>
      <c r="H546" s="15" t="s">
        <v>31</v>
      </c>
      <c r="I546" s="15" t="s">
        <v>31</v>
      </c>
      <c r="J546" s="15" t="s">
        <v>31</v>
      </c>
      <c r="K546" s="15" t="s">
        <v>29</v>
      </c>
      <c r="L546" s="15" t="s">
        <v>31</v>
      </c>
      <c r="M546" s="15" t="s">
        <v>31</v>
      </c>
      <c r="N546" s="15" t="s">
        <v>31</v>
      </c>
      <c r="O546" s="15" t="s">
        <v>31</v>
      </c>
      <c r="P546" s="18">
        <v>-15</v>
      </c>
      <c r="Q546" s="18">
        <v>-12</v>
      </c>
      <c r="R546" s="15" t="str">
        <f>_xlfn.CONCAT(F546,G546,H546,I546,J546)</f>
        <v>LWLLL</v>
      </c>
      <c r="S546" s="13" t="str">
        <f>_xlfn.CONCAT(K546,L546,M546,N546,O546)</f>
        <v>DLLLL</v>
      </c>
      <c r="T546" s="13" t="str">
        <f>_xlfn.CONCAT(R546,"***",S546)</f>
        <v>LWLLL***DLLLL</v>
      </c>
      <c r="U546" s="19">
        <f>(P546-Q546)</f>
        <v>-3</v>
      </c>
      <c r="V546" s="14">
        <v>0</v>
      </c>
      <c r="W546" s="14">
        <v>1</v>
      </c>
      <c r="X546" s="20" t="str">
        <f>IF(ISBLANK(V546),"",IF(V546&gt;W546,"1",IF(V546&lt;W546,"2",IF(V546=W546,"X"))))</f>
        <v>2</v>
      </c>
      <c r="Y546" s="23" t="str">
        <f>COUNTIF(F546:J546, "W")&amp;COUNTIF(F546:J546, "d")&amp;COUNTIF(F546:J546, "l")</f>
        <v>104</v>
      </c>
      <c r="Z546" s="13" t="str">
        <f>COUNTIF(K546:O546, "W")&amp;COUNTIF(K546:O546, "d")&amp;COUNTIF(K546:O546, "l")</f>
        <v>014</v>
      </c>
      <c r="AA546" s="23" t="str">
        <f>_xlfn.CONCAT(Y546,"-",Z546)</f>
        <v>104-014</v>
      </c>
      <c r="AB546" s="15" t="str">
        <f>_xlfn.CONCAT(AA546,"…",TEXT(U546,"+00;-00;+00;"))</f>
        <v>104-014…-03</v>
      </c>
      <c r="AC546" s="23" t="str">
        <f>_xlfn.CONCAT(TEXT(P546,"+00;-00;+00;"),"…",TEXT(Q546,"+00;-00;+00;"))</f>
        <v>-15…-12</v>
      </c>
      <c r="AD546" s="14" t="str">
        <f>IF(X546="","?","")</f>
        <v/>
      </c>
      <c r="AE546" s="15" t="str">
        <f>_xlfn.CONCAT(AA546,"…",TEXT(P546,"+00;-00;+00;"),"...",TEXT(Q546,"+00;-00;+00;"))</f>
        <v>104-014…-15...-12</v>
      </c>
      <c r="AF546" s="13" t="str">
        <f>_xlfn.CONCAT(R546,"…",TEXT(P546,"+00;-00;+00;"),"...",TEXT(Q546,"+00;-00;+00;"))</f>
        <v>LWLLL…-15...-12</v>
      </c>
    </row>
    <row r="547" spans="1:32" x14ac:dyDescent="0.25">
      <c r="A547" s="12" t="s">
        <v>1003</v>
      </c>
      <c r="B547" s="13" t="s">
        <v>250</v>
      </c>
      <c r="C547" s="14">
        <v>2</v>
      </c>
      <c r="D547" s="13" t="s">
        <v>281</v>
      </c>
      <c r="E547" s="13" t="s">
        <v>1005</v>
      </c>
      <c r="F547" s="15" t="s">
        <v>31</v>
      </c>
      <c r="G547" s="15" t="s">
        <v>30</v>
      </c>
      <c r="H547" s="15" t="s">
        <v>29</v>
      </c>
      <c r="I547" s="15" t="s">
        <v>31</v>
      </c>
      <c r="J547" s="15" t="s">
        <v>31</v>
      </c>
      <c r="K547" s="15" t="s">
        <v>30</v>
      </c>
      <c r="L547" s="15" t="s">
        <v>31</v>
      </c>
      <c r="M547" s="15" t="s">
        <v>30</v>
      </c>
      <c r="N547" s="15" t="s">
        <v>31</v>
      </c>
      <c r="O547" s="15" t="s">
        <v>29</v>
      </c>
      <c r="P547" s="18">
        <v>2</v>
      </c>
      <c r="Q547" s="18">
        <v>-2</v>
      </c>
      <c r="R547" s="15" t="str">
        <f>_xlfn.CONCAT(F547,G547,H547,I547,J547)</f>
        <v>LWDLL</v>
      </c>
      <c r="S547" s="13" t="str">
        <f>_xlfn.CONCAT(K547,L547,M547,N547,O547)</f>
        <v>WLWLD</v>
      </c>
      <c r="T547" s="13" t="str">
        <f>_xlfn.CONCAT(R547,"***",S547)</f>
        <v>LWDLL***WLWLD</v>
      </c>
      <c r="U547" s="19">
        <f>(P547-Q547)</f>
        <v>4</v>
      </c>
      <c r="V547" s="14">
        <v>1</v>
      </c>
      <c r="W547" s="14">
        <v>1</v>
      </c>
      <c r="X547" s="20" t="str">
        <f>IF(ISBLANK(V547),"",IF(V547&gt;W547,"1",IF(V547&lt;W547,"2",IF(V547=W547,"X"))))</f>
        <v>X</v>
      </c>
      <c r="Y547" s="23" t="str">
        <f>COUNTIF(F547:J547, "W")&amp;COUNTIF(F547:J547, "d")&amp;COUNTIF(F547:J547, "l")</f>
        <v>113</v>
      </c>
      <c r="Z547" s="13" t="str">
        <f>COUNTIF(K547:O547, "W")&amp;COUNTIF(K547:O547, "d")&amp;COUNTIF(K547:O547, "l")</f>
        <v>212</v>
      </c>
      <c r="AA547" s="23" t="str">
        <f>_xlfn.CONCAT(Y547,"-",Z547)</f>
        <v>113-212</v>
      </c>
      <c r="AB547" s="15" t="str">
        <f>_xlfn.CONCAT(AA547,"…",TEXT(U547,"+00;-00;+00;"))</f>
        <v>113-212…+04</v>
      </c>
      <c r="AC547" s="23" t="str">
        <f>_xlfn.CONCAT(TEXT(P547,"+00;-00;+00;"),"…",TEXT(Q547,"+00;-00;+00;"))</f>
        <v>+02…-02</v>
      </c>
      <c r="AD547" s="14" t="str">
        <f>IF(X547="","?","")</f>
        <v/>
      </c>
      <c r="AE547" s="15" t="str">
        <f>_xlfn.CONCAT(AA547,"…",TEXT(P547,"+00;-00;+00;"),"...",TEXT(Q547,"+00;-00;+00;"))</f>
        <v>113-212…+02...-02</v>
      </c>
      <c r="AF547" s="13" t="str">
        <f>_xlfn.CONCAT(R547,"…",TEXT(P547,"+00;-00;+00;"),"...",TEXT(Q547,"+00;-00;+00;"))</f>
        <v>LWDLL…+02...-02</v>
      </c>
    </row>
    <row r="548" spans="1:32" x14ac:dyDescent="0.25">
      <c r="A548" s="12" t="s">
        <v>1050</v>
      </c>
      <c r="B548" s="13" t="s">
        <v>295</v>
      </c>
      <c r="C548" s="14">
        <v>1</v>
      </c>
      <c r="D548" s="13" t="s">
        <v>315</v>
      </c>
      <c r="E548" s="13" t="s">
        <v>317</v>
      </c>
      <c r="F548" s="15" t="s">
        <v>31</v>
      </c>
      <c r="G548" s="15" t="s">
        <v>29</v>
      </c>
      <c r="H548" s="15" t="s">
        <v>30</v>
      </c>
      <c r="I548" s="15" t="s">
        <v>30</v>
      </c>
      <c r="J548" s="15" t="s">
        <v>29</v>
      </c>
      <c r="K548" s="15" t="s">
        <v>29</v>
      </c>
      <c r="L548" s="15" t="s">
        <v>30</v>
      </c>
      <c r="M548" s="15" t="s">
        <v>29</v>
      </c>
      <c r="N548" s="15" t="s">
        <v>29</v>
      </c>
      <c r="O548" s="15" t="s">
        <v>29</v>
      </c>
      <c r="P548" s="18">
        <v>5</v>
      </c>
      <c r="Q548" s="18">
        <v>-11</v>
      </c>
      <c r="R548" s="15" t="str">
        <f>_xlfn.CONCAT(F548,G548,H548,I548,J548)</f>
        <v>LDWWD</v>
      </c>
      <c r="S548" s="13" t="str">
        <f>_xlfn.CONCAT(K548,L548,M548,N548,O548)</f>
        <v>DWDDD</v>
      </c>
      <c r="T548" s="13" t="str">
        <f>_xlfn.CONCAT(R548,"***",S548)</f>
        <v>LDWWD***DWDDD</v>
      </c>
      <c r="U548" s="19">
        <f>(P548-Q548)</f>
        <v>16</v>
      </c>
      <c r="V548" s="14">
        <v>0</v>
      </c>
      <c r="W548" s="14">
        <v>2</v>
      </c>
      <c r="X548" s="20" t="str">
        <f>IF(ISBLANK(V548),"",IF(V548&gt;W548,"1",IF(V548&lt;W548,"2",IF(V548=W548,"X"))))</f>
        <v>2</v>
      </c>
      <c r="Y548" s="23" t="str">
        <f>COUNTIF(F548:J548, "W")&amp;COUNTIF(F548:J548, "d")&amp;COUNTIF(F548:J548, "l")</f>
        <v>221</v>
      </c>
      <c r="Z548" s="13" t="str">
        <f>COUNTIF(K548:O548, "W")&amp;COUNTIF(K548:O548, "d")&amp;COUNTIF(K548:O548, "l")</f>
        <v>140</v>
      </c>
      <c r="AA548" s="23" t="str">
        <f>_xlfn.CONCAT(Y548,"-",Z548)</f>
        <v>221-140</v>
      </c>
      <c r="AB548" s="15" t="str">
        <f>_xlfn.CONCAT(AA548,"…",TEXT(U548,"+00;-00;+00;"))</f>
        <v>221-140…+16</v>
      </c>
      <c r="AC548" s="23" t="str">
        <f>_xlfn.CONCAT(TEXT(P548,"+00;-00;+00;"),"…",TEXT(Q548,"+00;-00;+00;"))</f>
        <v>+05…-11</v>
      </c>
      <c r="AD548" s="14" t="str">
        <f>IF(X548="","?","")</f>
        <v/>
      </c>
      <c r="AE548" s="15" t="str">
        <f>_xlfn.CONCAT(AA548,"…",TEXT(P548,"+00;-00;+00;"),"...",TEXT(Q548,"+00;-00;+00;"))</f>
        <v>221-140…+05...-11</v>
      </c>
      <c r="AF548" s="13" t="str">
        <f>_xlfn.CONCAT(R548,"…",TEXT(P548,"+00;-00;+00;"),"...",TEXT(Q548,"+00;-00;+00;"))</f>
        <v>LDWWD…+05...-11</v>
      </c>
    </row>
    <row r="549" spans="1:32" x14ac:dyDescent="0.25">
      <c r="A549" s="12" t="s">
        <v>952</v>
      </c>
      <c r="B549" s="13" t="s">
        <v>117</v>
      </c>
      <c r="C549" s="14" t="s">
        <v>0</v>
      </c>
      <c r="D549" s="13" t="s">
        <v>634</v>
      </c>
      <c r="E549" s="13" t="s">
        <v>642</v>
      </c>
      <c r="F549" s="15" t="s">
        <v>31</v>
      </c>
      <c r="G549" s="15" t="s">
        <v>30</v>
      </c>
      <c r="H549" s="15" t="s">
        <v>31</v>
      </c>
      <c r="I549" s="15" t="s">
        <v>30</v>
      </c>
      <c r="J549" s="15" t="s">
        <v>31</v>
      </c>
      <c r="K549" s="15" t="s">
        <v>30</v>
      </c>
      <c r="L549" s="15" t="s">
        <v>31</v>
      </c>
      <c r="M549" s="15" t="s">
        <v>29</v>
      </c>
      <c r="N549" s="15" t="s">
        <v>30</v>
      </c>
      <c r="O549" s="15" t="s">
        <v>30</v>
      </c>
      <c r="P549" s="18">
        <v>-4</v>
      </c>
      <c r="Q549" s="18">
        <v>-3</v>
      </c>
      <c r="R549" s="15" t="str">
        <f>_xlfn.CONCAT(F549,G549,H549,I549,J549)</f>
        <v>LWLWL</v>
      </c>
      <c r="S549" s="13" t="str">
        <f>_xlfn.CONCAT(K549,L549,M549,N549,O549)</f>
        <v>WLDWW</v>
      </c>
      <c r="T549" s="13" t="str">
        <f>_xlfn.CONCAT(R549,"***",S549)</f>
        <v>LWLWL***WLDWW</v>
      </c>
      <c r="U549" s="19">
        <f>(P549-Q549)</f>
        <v>-1</v>
      </c>
      <c r="V549" s="14">
        <v>0</v>
      </c>
      <c r="W549" s="14">
        <v>0</v>
      </c>
      <c r="X549" s="20" t="str">
        <f>IF(ISBLANK(V549),"",IF(V549&gt;W549,"1",IF(V549&lt;W549,"2",IF(V549=W549,"X"))))</f>
        <v>X</v>
      </c>
      <c r="Y549" s="23" t="str">
        <f>COUNTIF(F549:J549, "W")&amp;COUNTIF(F549:J549, "d")&amp;COUNTIF(F549:J549, "l")</f>
        <v>203</v>
      </c>
      <c r="Z549" s="13" t="str">
        <f>COUNTIF(K549:O549, "W")&amp;COUNTIF(K549:O549, "d")&amp;COUNTIF(K549:O549, "l")</f>
        <v>311</v>
      </c>
      <c r="AA549" s="23" t="str">
        <f>_xlfn.CONCAT(Y549,"-",Z549)</f>
        <v>203-311</v>
      </c>
      <c r="AB549" s="15" t="str">
        <f>_xlfn.CONCAT(AA549,"…",TEXT(U549,"+00;-00;+00;"))</f>
        <v>203-311…-01</v>
      </c>
      <c r="AC549" s="23" t="str">
        <f>_xlfn.CONCAT(TEXT(P549,"+00;-00;+00;"),"…",TEXT(Q549,"+00;-00;+00;"))</f>
        <v>-04…-03</v>
      </c>
      <c r="AD549" s="14" t="str">
        <f>IF(X549="","?","")</f>
        <v/>
      </c>
      <c r="AE549" s="15" t="str">
        <f>_xlfn.CONCAT(AA549,"…",TEXT(P549,"+00;-00;+00;"),"...",TEXT(Q549,"+00;-00;+00;"))</f>
        <v>203-311…-04...-03</v>
      </c>
      <c r="AF549" s="13" t="str">
        <f>_xlfn.CONCAT(R549,"…",TEXT(P549,"+00;-00;+00;"),"...",TEXT(Q549,"+00;-00;+00;"))</f>
        <v>LWLWL…-04...-03</v>
      </c>
    </row>
    <row r="550" spans="1:32" x14ac:dyDescent="0.25">
      <c r="A550" s="13" t="s">
        <v>932</v>
      </c>
      <c r="B550" s="13" t="s">
        <v>208</v>
      </c>
      <c r="C550" s="14">
        <v>2</v>
      </c>
      <c r="D550" s="13" t="s">
        <v>238</v>
      </c>
      <c r="E550" s="13" t="s">
        <v>581</v>
      </c>
      <c r="F550" s="13" t="s">
        <v>29</v>
      </c>
      <c r="G550" s="13" t="s">
        <v>31</v>
      </c>
      <c r="H550" s="13" t="s">
        <v>30</v>
      </c>
      <c r="I550" s="13" t="s">
        <v>29</v>
      </c>
      <c r="J550" s="13" t="s">
        <v>31</v>
      </c>
      <c r="K550" s="13" t="s">
        <v>30</v>
      </c>
      <c r="L550" s="13" t="s">
        <v>31</v>
      </c>
      <c r="M550" s="13" t="s">
        <v>31</v>
      </c>
      <c r="N550" s="13" t="s">
        <v>30</v>
      </c>
      <c r="O550" s="13" t="s">
        <v>30</v>
      </c>
      <c r="P550" s="16">
        <v>-6</v>
      </c>
      <c r="Q550" s="16">
        <v>-6</v>
      </c>
      <c r="R550" s="13" t="str">
        <f>_xlfn.CONCAT(F550,G550,H550,I550,J550)</f>
        <v>DLWDL</v>
      </c>
      <c r="S550" s="13" t="str">
        <f>_xlfn.CONCAT(K550,L550,M550,N550,O550)</f>
        <v>WLLWW</v>
      </c>
      <c r="T550" s="13" t="str">
        <f>_xlfn.CONCAT(R550,"***",S550)</f>
        <v>DLWDL***WLLWW</v>
      </c>
      <c r="U550" s="21">
        <f>(P550-Q550)</f>
        <v>0</v>
      </c>
      <c r="V550" s="14">
        <v>0</v>
      </c>
      <c r="W550" s="14">
        <v>2</v>
      </c>
      <c r="X550" s="20" t="str">
        <f>IF(ISBLANK(V550),"",IF(V550&gt;W550,"1",IF(V550&lt;W550,"2",IF(V550=W550,"X"))))</f>
        <v>2</v>
      </c>
      <c r="Y550" s="23" t="str">
        <f>COUNTIF(F550:J550, "W")&amp;COUNTIF(F550:J550, "d")&amp;COUNTIF(F550:J550, "l")</f>
        <v>122</v>
      </c>
      <c r="Z550" s="13" t="str">
        <f>COUNTIF(K550:O550, "W")&amp;COUNTIF(K550:O550, "d")&amp;COUNTIF(K550:O550, "l")</f>
        <v>302</v>
      </c>
      <c r="AA550" s="23" t="str">
        <f>_xlfn.CONCAT(Y550,"-",Z550)</f>
        <v>122-302</v>
      </c>
      <c r="AB550" s="13" t="str">
        <f>_xlfn.CONCAT(AA550,"…",TEXT(U550,"+00;-00;+00;"))</f>
        <v>122-302…+00</v>
      </c>
      <c r="AC550" s="23" t="str">
        <f>_xlfn.CONCAT(TEXT(P550,"+00;-00;+00;"),"…",TEXT(Q550,"+00;-00;+00;"))</f>
        <v>-06…-06</v>
      </c>
      <c r="AD550" s="14" t="str">
        <f>IF(X550="","?","")</f>
        <v/>
      </c>
      <c r="AE550" s="15" t="str">
        <f>_xlfn.CONCAT(AA550,"…",TEXT(P550,"+00;-00;+00;"),"...",TEXT(Q550,"+00;-00;+00;"))</f>
        <v>122-302…-06...-06</v>
      </c>
      <c r="AF550" s="13" t="str">
        <f>_xlfn.CONCAT(R550,"…",TEXT(P550,"+00;-00;+00;"),"...",TEXT(Q550,"+00;-00;+00;"))</f>
        <v>DLWDL…-06...-06</v>
      </c>
    </row>
    <row r="551" spans="1:32" x14ac:dyDescent="0.25">
      <c r="A551" s="12" t="s">
        <v>932</v>
      </c>
      <c r="B551" s="13" t="s">
        <v>318</v>
      </c>
      <c r="C551" s="14">
        <v>1</v>
      </c>
      <c r="D551" s="13" t="s">
        <v>338</v>
      </c>
      <c r="E551" s="13" t="s">
        <v>976</v>
      </c>
      <c r="F551" s="15" t="s">
        <v>31</v>
      </c>
      <c r="G551" s="15" t="s">
        <v>30</v>
      </c>
      <c r="H551" s="15" t="s">
        <v>30</v>
      </c>
      <c r="I551" s="15" t="s">
        <v>29</v>
      </c>
      <c r="J551" s="15" t="s">
        <v>31</v>
      </c>
      <c r="K551" s="15" t="s">
        <v>30</v>
      </c>
      <c r="L551" s="15" t="s">
        <v>30</v>
      </c>
      <c r="M551" s="15" t="s">
        <v>29</v>
      </c>
      <c r="N551" s="15" t="s">
        <v>31</v>
      </c>
      <c r="O551" s="15" t="s">
        <v>30</v>
      </c>
      <c r="P551" s="18">
        <v>-5</v>
      </c>
      <c r="Q551" s="18">
        <v>14</v>
      </c>
      <c r="R551" s="15" t="str">
        <f>_xlfn.CONCAT(F551,G551,H551,I551,J551)</f>
        <v>LWWDL</v>
      </c>
      <c r="S551" s="13" t="str">
        <f>_xlfn.CONCAT(K551,L551,M551,N551,O551)</f>
        <v>WWDLW</v>
      </c>
      <c r="T551" s="13" t="str">
        <f>_xlfn.CONCAT(R551,"***",S551)</f>
        <v>LWWDL***WWDLW</v>
      </c>
      <c r="U551" s="19">
        <f>(P551-Q551)</f>
        <v>-19</v>
      </c>
      <c r="V551" s="14">
        <v>0</v>
      </c>
      <c r="W551" s="14">
        <v>0</v>
      </c>
      <c r="X551" s="20" t="str">
        <f>IF(ISBLANK(V551),"",IF(V551&gt;W551,"1",IF(V551&lt;W551,"2",IF(V551=W551,"X"))))</f>
        <v>X</v>
      </c>
      <c r="Y551" s="23" t="str">
        <f>COUNTIF(F551:J551, "W")&amp;COUNTIF(F551:J551, "d")&amp;COUNTIF(F551:J551, "l")</f>
        <v>212</v>
      </c>
      <c r="Z551" s="13" t="str">
        <f>COUNTIF(K551:O551, "W")&amp;COUNTIF(K551:O551, "d")&amp;COUNTIF(K551:O551, "l")</f>
        <v>311</v>
      </c>
      <c r="AA551" s="23" t="str">
        <f>_xlfn.CONCAT(Y551,"-",Z551)</f>
        <v>212-311</v>
      </c>
      <c r="AB551" s="15" t="str">
        <f>_xlfn.CONCAT(AA551,"…",TEXT(U551,"+00;-00;+00;"))</f>
        <v>212-311…-19</v>
      </c>
      <c r="AC551" s="23" t="str">
        <f>_xlfn.CONCAT(TEXT(P551,"+00;-00;+00;"),"…",TEXT(Q551,"+00;-00;+00;"))</f>
        <v>-05…+14</v>
      </c>
      <c r="AD551" s="14" t="str">
        <f>IF(X551="","?","")</f>
        <v/>
      </c>
      <c r="AE551" s="15" t="str">
        <f>_xlfn.CONCAT(AA551,"…",TEXT(P551,"+00;-00;+00;"),"...",TEXT(Q551,"+00;-00;+00;"))</f>
        <v>212-311…-05...+14</v>
      </c>
      <c r="AF551" s="13" t="str">
        <f>_xlfn.CONCAT(R551,"…",TEXT(P551,"+00;-00;+00;"),"...",TEXT(Q551,"+00;-00;+00;"))</f>
        <v>LWWDL…-05...+14</v>
      </c>
    </row>
    <row r="552" spans="1:32" x14ac:dyDescent="0.25">
      <c r="A552" s="13" t="s">
        <v>932</v>
      </c>
      <c r="B552" s="13" t="s">
        <v>208</v>
      </c>
      <c r="C552" s="14">
        <v>2</v>
      </c>
      <c r="D552" s="13" t="s">
        <v>236</v>
      </c>
      <c r="E552" s="13" t="s">
        <v>247</v>
      </c>
      <c r="F552" s="13" t="s">
        <v>31</v>
      </c>
      <c r="G552" s="13" t="s">
        <v>30</v>
      </c>
      <c r="H552" s="13" t="s">
        <v>30</v>
      </c>
      <c r="I552" s="13" t="s">
        <v>31</v>
      </c>
      <c r="J552" s="13" t="s">
        <v>30</v>
      </c>
      <c r="K552" s="13" t="s">
        <v>31</v>
      </c>
      <c r="L552" s="13" t="s">
        <v>31</v>
      </c>
      <c r="M552" s="13" t="s">
        <v>30</v>
      </c>
      <c r="N552" s="13" t="s">
        <v>31</v>
      </c>
      <c r="O552" s="13" t="s">
        <v>30</v>
      </c>
      <c r="P552" s="16">
        <v>-1</v>
      </c>
      <c r="Q552" s="16">
        <v>-8</v>
      </c>
      <c r="R552" s="13" t="str">
        <f>_xlfn.CONCAT(F552,G552,H552,I552,J552)</f>
        <v>LWWLW</v>
      </c>
      <c r="S552" s="13" t="str">
        <f>_xlfn.CONCAT(K552,L552,M552,N552,O552)</f>
        <v>LLWLW</v>
      </c>
      <c r="T552" s="13" t="str">
        <f>_xlfn.CONCAT(R552,"***",S552)</f>
        <v>LWWLW***LLWLW</v>
      </c>
      <c r="U552" s="21">
        <f>(P552-Q552)</f>
        <v>7</v>
      </c>
      <c r="V552" s="14">
        <v>0</v>
      </c>
      <c r="W552" s="14">
        <v>1</v>
      </c>
      <c r="X552" s="20" t="str">
        <f>IF(ISBLANK(V552),"",IF(V552&gt;W552,"1",IF(V552&lt;W552,"2",IF(V552=W552,"X"))))</f>
        <v>2</v>
      </c>
      <c r="Y552" s="23" t="str">
        <f>COUNTIF(F552:J552, "W")&amp;COUNTIF(F552:J552, "d")&amp;COUNTIF(F552:J552, "l")</f>
        <v>302</v>
      </c>
      <c r="Z552" s="13" t="str">
        <f>COUNTIF(K552:O552, "W")&amp;COUNTIF(K552:O552, "d")&amp;COUNTIF(K552:O552, "l")</f>
        <v>203</v>
      </c>
      <c r="AA552" s="23" t="str">
        <f>_xlfn.CONCAT(Y552,"-",Z552)</f>
        <v>302-203</v>
      </c>
      <c r="AB552" s="13" t="str">
        <f>_xlfn.CONCAT(AA552,"…",TEXT(U552,"+00;-00;+00;"))</f>
        <v>302-203…+07</v>
      </c>
      <c r="AC552" s="23" t="str">
        <f>_xlfn.CONCAT(TEXT(P552,"+00;-00;+00;"),"…",TEXT(Q552,"+00;-00;+00;"))</f>
        <v>-01…-08</v>
      </c>
      <c r="AD552" s="14" t="str">
        <f>IF(X552="","?","")</f>
        <v/>
      </c>
      <c r="AE552" s="15" t="str">
        <f>_xlfn.CONCAT(AA552,"…",TEXT(P552,"+00;-00;+00;"),"...",TEXT(Q552,"+00;-00;+00;"))</f>
        <v>302-203…-01...-08</v>
      </c>
      <c r="AF552" s="13" t="str">
        <f>_xlfn.CONCAT(R552,"…",TEXT(P552,"+00;-00;+00;"),"...",TEXT(Q552,"+00;-00;+00;"))</f>
        <v>LWWLW…-01...-08</v>
      </c>
    </row>
    <row r="553" spans="1:32" x14ac:dyDescent="0.25">
      <c r="A553" s="13" t="s">
        <v>932</v>
      </c>
      <c r="B553" s="13" t="s">
        <v>208</v>
      </c>
      <c r="C553" s="14">
        <v>2</v>
      </c>
      <c r="D553" s="13" t="s">
        <v>241</v>
      </c>
      <c r="E553" s="13" t="s">
        <v>940</v>
      </c>
      <c r="F553" s="13" t="s">
        <v>30</v>
      </c>
      <c r="G553" s="13" t="s">
        <v>30</v>
      </c>
      <c r="H553" s="13" t="s">
        <v>31</v>
      </c>
      <c r="I553" s="13" t="s">
        <v>31</v>
      </c>
      <c r="J553" s="13" t="s">
        <v>30</v>
      </c>
      <c r="K553" s="13" t="s">
        <v>30</v>
      </c>
      <c r="L553" s="13" t="s">
        <v>30</v>
      </c>
      <c r="M553" s="13" t="s">
        <v>30</v>
      </c>
      <c r="N553" s="13" t="s">
        <v>29</v>
      </c>
      <c r="O553" s="13" t="s">
        <v>31</v>
      </c>
      <c r="P553" s="16">
        <v>16</v>
      </c>
      <c r="Q553" s="16">
        <v>6</v>
      </c>
      <c r="R553" s="13" t="str">
        <f>_xlfn.CONCAT(F553,G553,H553,I553,J553)</f>
        <v>WWLLW</v>
      </c>
      <c r="S553" s="13" t="str">
        <f>_xlfn.CONCAT(K553,L553,M553,N553,O553)</f>
        <v>WWWDL</v>
      </c>
      <c r="T553" s="13" t="str">
        <f>_xlfn.CONCAT(R553,"***",S553)</f>
        <v>WWLLW***WWWDL</v>
      </c>
      <c r="U553" s="21">
        <f>(P553-Q553)</f>
        <v>10</v>
      </c>
      <c r="V553" s="14">
        <v>0</v>
      </c>
      <c r="W553" s="14">
        <v>1</v>
      </c>
      <c r="X553" s="20" t="str">
        <f>IF(ISBLANK(V553),"",IF(V553&gt;W553,"1",IF(V553&lt;W553,"2",IF(V553=W553,"X"))))</f>
        <v>2</v>
      </c>
      <c r="Y553" s="23" t="str">
        <f>COUNTIF(F553:J553, "W")&amp;COUNTIF(F553:J553, "d")&amp;COUNTIF(F553:J553, "l")</f>
        <v>302</v>
      </c>
      <c r="Z553" s="13" t="str">
        <f>COUNTIF(K553:O553, "W")&amp;COUNTIF(K553:O553, "d")&amp;COUNTIF(K553:O553, "l")</f>
        <v>311</v>
      </c>
      <c r="AA553" s="23" t="str">
        <f>_xlfn.CONCAT(Y553,"-",Z553)</f>
        <v>302-311</v>
      </c>
      <c r="AB553" s="13" t="str">
        <f>_xlfn.CONCAT(AA553,"…",TEXT(U553,"+00;-00;+00;"))</f>
        <v>302-311…+10</v>
      </c>
      <c r="AC553" s="23" t="str">
        <f>_xlfn.CONCAT(TEXT(P553,"+00;-00;+00;"),"…",TEXT(Q553,"+00;-00;+00;"))</f>
        <v>+16…+06</v>
      </c>
      <c r="AD553" s="14" t="str">
        <f>IF(X553="","?","")</f>
        <v/>
      </c>
      <c r="AE553" s="15" t="str">
        <f>_xlfn.CONCAT(AA553,"…",TEXT(P553,"+00;-00;+00;"),"...",TEXT(Q553,"+00;-00;+00;"))</f>
        <v>302-311…+16...+06</v>
      </c>
      <c r="AF553" s="13" t="str">
        <f>_xlfn.CONCAT(R553,"…",TEXT(P553,"+00;-00;+00;"),"...",TEXT(Q553,"+00;-00;+00;"))</f>
        <v>WWLLW…+16...+06</v>
      </c>
    </row>
    <row r="554" spans="1:32" x14ac:dyDescent="0.25">
      <c r="A554" s="12" t="s">
        <v>932</v>
      </c>
      <c r="B554" s="13" t="s">
        <v>208</v>
      </c>
      <c r="C554" s="14">
        <v>3</v>
      </c>
      <c r="D554" s="13" t="s">
        <v>1040</v>
      </c>
      <c r="E554" s="13" t="s">
        <v>1041</v>
      </c>
      <c r="F554" s="15" t="s">
        <v>30</v>
      </c>
      <c r="G554" s="15" t="s">
        <v>30</v>
      </c>
      <c r="H554" s="15" t="s">
        <v>30</v>
      </c>
      <c r="I554" s="15" t="s">
        <v>30</v>
      </c>
      <c r="J554" s="15" t="s">
        <v>30</v>
      </c>
      <c r="K554" s="15" t="s">
        <v>31</v>
      </c>
      <c r="L554" s="15" t="s">
        <v>29</v>
      </c>
      <c r="M554" s="15" t="s">
        <v>31</v>
      </c>
      <c r="N554" s="15" t="s">
        <v>31</v>
      </c>
      <c r="O554" s="15" t="s">
        <v>30</v>
      </c>
      <c r="P554" s="18">
        <v>14</v>
      </c>
      <c r="Q554" s="18">
        <v>-3</v>
      </c>
      <c r="R554" s="15" t="str">
        <f>_xlfn.CONCAT(F554,G554,H554,I554,J554)</f>
        <v>WWWWW</v>
      </c>
      <c r="S554" s="13" t="str">
        <f>_xlfn.CONCAT(K554,L554,M554,N554,O554)</f>
        <v>LDLLW</v>
      </c>
      <c r="T554" s="13" t="str">
        <f>_xlfn.CONCAT(R554,"***",S554)</f>
        <v>WWWWW***LDLLW</v>
      </c>
      <c r="U554" s="19">
        <f>(P554-Q554)</f>
        <v>17</v>
      </c>
      <c r="V554" s="14">
        <v>1</v>
      </c>
      <c r="W554" s="14">
        <v>1</v>
      </c>
      <c r="X554" s="20" t="str">
        <f>IF(ISBLANK(V554),"",IF(V554&gt;W554,"1",IF(V554&lt;W554,"2",IF(V554=W554,"X"))))</f>
        <v>X</v>
      </c>
      <c r="Y554" s="23" t="str">
        <f>COUNTIF(F554:J554, "W")&amp;COUNTIF(F554:J554, "d")&amp;COUNTIF(F554:J554, "l")</f>
        <v>500</v>
      </c>
      <c r="Z554" s="13" t="str">
        <f>COUNTIF(K554:O554, "W")&amp;COUNTIF(K554:O554, "d")&amp;COUNTIF(K554:O554, "l")</f>
        <v>113</v>
      </c>
      <c r="AA554" s="23" t="str">
        <f>_xlfn.CONCAT(Y554,"-",Z554)</f>
        <v>500-113</v>
      </c>
      <c r="AB554" s="15" t="str">
        <f>_xlfn.CONCAT(AA554,"…",TEXT(U554,"+00;-00;+00;"))</f>
        <v>500-113…+17</v>
      </c>
      <c r="AC554" s="23" t="str">
        <f>_xlfn.CONCAT(TEXT(P554,"+00;-00;+00;"),"…",TEXT(Q554,"+00;-00;+00;"))</f>
        <v>+14…-03</v>
      </c>
      <c r="AD554" s="14" t="str">
        <f>IF(X554="","?","")</f>
        <v/>
      </c>
      <c r="AE554" s="15" t="str">
        <f>_xlfn.CONCAT(AA554,"…",TEXT(P554,"+00;-00;+00;"),"...",TEXT(Q554,"+00;-00;+00;"))</f>
        <v>500-113…+14...-03</v>
      </c>
      <c r="AF554" s="13" t="str">
        <f>_xlfn.CONCAT(R554,"…",TEXT(P554,"+00;-00;+00;"),"...",TEXT(Q554,"+00;-00;+00;"))</f>
        <v>WWWWW…+14...-03</v>
      </c>
    </row>
    <row r="555" spans="1:32" x14ac:dyDescent="0.25">
      <c r="A555" s="12" t="s">
        <v>1008</v>
      </c>
      <c r="B555" s="13" t="s">
        <v>339</v>
      </c>
      <c r="C555" s="14">
        <v>1</v>
      </c>
      <c r="D555" s="13" t="s">
        <v>360</v>
      </c>
      <c r="E555" s="13" t="s">
        <v>345</v>
      </c>
      <c r="F555" s="15" t="s">
        <v>31</v>
      </c>
      <c r="G555" s="15" t="s">
        <v>30</v>
      </c>
      <c r="H555" s="15" t="s">
        <v>31</v>
      </c>
      <c r="I555" s="15" t="s">
        <v>29</v>
      </c>
      <c r="J555" s="15" t="s">
        <v>31</v>
      </c>
      <c r="K555" s="15" t="s">
        <v>29</v>
      </c>
      <c r="L555" s="15" t="s">
        <v>31</v>
      </c>
      <c r="M555" s="15" t="s">
        <v>30</v>
      </c>
      <c r="N555" s="15" t="s">
        <v>31</v>
      </c>
      <c r="O555" s="15" t="s">
        <v>31</v>
      </c>
      <c r="P555" s="18">
        <v>-6</v>
      </c>
      <c r="Q555" s="18">
        <v>3</v>
      </c>
      <c r="R555" s="15" t="str">
        <f>_xlfn.CONCAT(F555,G555,H555,I555,J555)</f>
        <v>LWLDL</v>
      </c>
      <c r="S555" s="13" t="str">
        <f>_xlfn.CONCAT(K555,L555,M555,N555,O555)</f>
        <v>DLWLL</v>
      </c>
      <c r="T555" s="13" t="str">
        <f>_xlfn.CONCAT(R555,"***",S555)</f>
        <v>LWLDL***DLWLL</v>
      </c>
      <c r="U555" s="19">
        <f>(P555-Q555)</f>
        <v>-9</v>
      </c>
      <c r="V555" s="14">
        <v>1</v>
      </c>
      <c r="W555" s="14">
        <v>0</v>
      </c>
      <c r="X555" s="20" t="str">
        <f>IF(ISBLANK(V555),"",IF(V555&gt;W555,"1",IF(V555&lt;W555,"2",IF(V555=W555,"X"))))</f>
        <v>1</v>
      </c>
      <c r="Y555" s="23" t="str">
        <f>COUNTIF(F555:J555, "W")&amp;COUNTIF(F555:J555, "d")&amp;COUNTIF(F555:J555, "l")</f>
        <v>113</v>
      </c>
      <c r="Z555" s="13" t="str">
        <f>COUNTIF(K555:O555, "W")&amp;COUNTIF(K555:O555, "d")&amp;COUNTIF(K555:O555, "l")</f>
        <v>113</v>
      </c>
      <c r="AA555" s="23" t="str">
        <f>_xlfn.CONCAT(Y555,"-",Z555)</f>
        <v>113-113</v>
      </c>
      <c r="AB555" s="15" t="str">
        <f>_xlfn.CONCAT(AA555,"…",TEXT(U555,"+00;-00;+00;"))</f>
        <v>113-113…-09</v>
      </c>
      <c r="AC555" s="23" t="str">
        <f>_xlfn.CONCAT(TEXT(P555,"+00;-00;+00;"),"…",TEXT(Q555,"+00;-00;+00;"))</f>
        <v>-06…+03</v>
      </c>
      <c r="AD555" s="14" t="str">
        <f>IF(X555="","?","")</f>
        <v/>
      </c>
      <c r="AE555" s="15" t="str">
        <f>_xlfn.CONCAT(AA555,"…",TEXT(P555,"+00;-00;+00;"),"...",TEXT(Q555,"+00;-00;+00;"))</f>
        <v>113-113…-06...+03</v>
      </c>
      <c r="AF555" s="13" t="str">
        <f>_xlfn.CONCAT(R555,"…",TEXT(P555,"+00;-00;+00;"),"...",TEXT(Q555,"+00;-00;+00;"))</f>
        <v>LWLDL…-06...+03</v>
      </c>
    </row>
    <row r="556" spans="1:32" x14ac:dyDescent="0.25">
      <c r="A556" s="12" t="s">
        <v>1008</v>
      </c>
      <c r="B556" s="13" t="s">
        <v>59</v>
      </c>
      <c r="C556" s="14">
        <v>1</v>
      </c>
      <c r="D556" s="13" t="s">
        <v>734</v>
      </c>
      <c r="E556" s="13" t="s">
        <v>732</v>
      </c>
      <c r="F556" s="15" t="s">
        <v>31</v>
      </c>
      <c r="G556" s="15" t="s">
        <v>30</v>
      </c>
      <c r="H556" s="15" t="s">
        <v>30</v>
      </c>
      <c r="I556" s="15" t="s">
        <v>31</v>
      </c>
      <c r="J556" s="15" t="s">
        <v>30</v>
      </c>
      <c r="K556" s="15" t="s">
        <v>29</v>
      </c>
      <c r="L556" s="15" t="s">
        <v>31</v>
      </c>
      <c r="M556" s="15" t="s">
        <v>31</v>
      </c>
      <c r="N556" s="15" t="s">
        <v>31</v>
      </c>
      <c r="O556" s="15" t="s">
        <v>31</v>
      </c>
      <c r="P556" s="18">
        <v>17</v>
      </c>
      <c r="Q556" s="18">
        <v>-21</v>
      </c>
      <c r="R556" s="15" t="str">
        <f>_xlfn.CONCAT(F556,G556,H556,I556,J556)</f>
        <v>LWWLW</v>
      </c>
      <c r="S556" s="13" t="str">
        <f>_xlfn.CONCAT(K556,L556,M556,N556,O556)</f>
        <v>DLLLL</v>
      </c>
      <c r="T556" s="13" t="str">
        <f>_xlfn.CONCAT(R556,"***",S556)</f>
        <v>LWWLW***DLLLL</v>
      </c>
      <c r="U556" s="19">
        <f>(P556-Q556)</f>
        <v>38</v>
      </c>
      <c r="V556" s="14">
        <v>2</v>
      </c>
      <c r="W556" s="14">
        <v>1</v>
      </c>
      <c r="X556" s="20" t="str">
        <f>IF(ISBLANK(V556),"",IF(V556&gt;W556,"1",IF(V556&lt;W556,"2",IF(V556=W556,"X"))))</f>
        <v>1</v>
      </c>
      <c r="Y556" s="23" t="str">
        <f>COUNTIF(F556:J556, "W")&amp;COUNTIF(F556:J556, "d")&amp;COUNTIF(F556:J556, "l")</f>
        <v>302</v>
      </c>
      <c r="Z556" s="13" t="str">
        <f>COUNTIF(K556:O556, "W")&amp;COUNTIF(K556:O556, "d")&amp;COUNTIF(K556:O556, "l")</f>
        <v>014</v>
      </c>
      <c r="AA556" s="23" t="str">
        <f>_xlfn.CONCAT(Y556,"-",Z556)</f>
        <v>302-014</v>
      </c>
      <c r="AB556" s="15" t="str">
        <f>_xlfn.CONCAT(AA556,"…",TEXT(U556,"+00;-00;+00;"))</f>
        <v>302-014…+38</v>
      </c>
      <c r="AC556" s="23" t="str">
        <f>_xlfn.CONCAT(TEXT(P556,"+00;-00;+00;"),"…",TEXT(Q556,"+00;-00;+00;"))</f>
        <v>+17…-21</v>
      </c>
      <c r="AD556" s="14" t="str">
        <f>IF(X556="","?","")</f>
        <v/>
      </c>
      <c r="AE556" s="15" t="str">
        <f>_xlfn.CONCAT(AA556,"…",TEXT(P556,"+00;-00;+00;"),"...",TEXT(Q556,"+00;-00;+00;"))</f>
        <v>302-014…+17...-21</v>
      </c>
      <c r="AF556" s="13" t="str">
        <f>_xlfn.CONCAT(R556,"…",TEXT(P556,"+00;-00;+00;"),"...",TEXT(Q556,"+00;-00;+00;"))</f>
        <v>LWWLW…+17...-21</v>
      </c>
    </row>
    <row r="557" spans="1:32" x14ac:dyDescent="0.25">
      <c r="A557" s="12" t="s">
        <v>1008</v>
      </c>
      <c r="B557" s="13" t="s">
        <v>59</v>
      </c>
      <c r="C557" s="14">
        <v>2</v>
      </c>
      <c r="D557" s="13" t="s">
        <v>104</v>
      </c>
      <c r="E557" s="13" t="s">
        <v>740</v>
      </c>
      <c r="F557" s="15" t="s">
        <v>30</v>
      </c>
      <c r="G557" s="15" t="s">
        <v>30</v>
      </c>
      <c r="H557" s="15" t="s">
        <v>31</v>
      </c>
      <c r="I557" s="15" t="s">
        <v>30</v>
      </c>
      <c r="J557" s="15" t="s">
        <v>29</v>
      </c>
      <c r="K557" s="15" t="s">
        <v>30</v>
      </c>
      <c r="L557" s="15" t="s">
        <v>29</v>
      </c>
      <c r="M557" s="15" t="s">
        <v>29</v>
      </c>
      <c r="N557" s="15" t="s">
        <v>29</v>
      </c>
      <c r="O557" s="15" t="s">
        <v>31</v>
      </c>
      <c r="P557" s="18">
        <v>1</v>
      </c>
      <c r="Q557" s="18">
        <v>-12</v>
      </c>
      <c r="R557" s="15" t="str">
        <f>_xlfn.CONCAT(F557,G557,H557,I557,J557)</f>
        <v>WWLWD</v>
      </c>
      <c r="S557" s="13" t="str">
        <f>_xlfn.CONCAT(K557,L557,M557,N557,O557)</f>
        <v>WDDDL</v>
      </c>
      <c r="T557" s="13" t="str">
        <f>_xlfn.CONCAT(R557,"***",S557)</f>
        <v>WWLWD***WDDDL</v>
      </c>
      <c r="U557" s="19">
        <f>(P557-Q557)</f>
        <v>13</v>
      </c>
      <c r="V557" s="14">
        <v>1</v>
      </c>
      <c r="W557" s="14">
        <v>2</v>
      </c>
      <c r="X557" s="20" t="str">
        <f>IF(ISBLANK(V557),"",IF(V557&gt;W557,"1",IF(V557&lt;W557,"2",IF(V557=W557,"X"))))</f>
        <v>2</v>
      </c>
      <c r="Y557" s="23" t="str">
        <f>COUNTIF(F557:J557, "W")&amp;COUNTIF(F557:J557, "d")&amp;COUNTIF(F557:J557, "l")</f>
        <v>311</v>
      </c>
      <c r="Z557" s="13" t="str">
        <f>COUNTIF(K557:O557, "W")&amp;COUNTIF(K557:O557, "d")&amp;COUNTIF(K557:O557, "l")</f>
        <v>131</v>
      </c>
      <c r="AA557" s="23" t="str">
        <f>_xlfn.CONCAT(Y557,"-",Z557)</f>
        <v>311-131</v>
      </c>
      <c r="AB557" s="15" t="str">
        <f>_xlfn.CONCAT(AA557,"…",TEXT(U557,"+00;-00;+00;"))</f>
        <v>311-131…+13</v>
      </c>
      <c r="AC557" s="23" t="str">
        <f>_xlfn.CONCAT(TEXT(P557,"+00;-00;+00;"),"…",TEXT(Q557,"+00;-00;+00;"))</f>
        <v>+01…-12</v>
      </c>
      <c r="AD557" s="14" t="str">
        <f>IF(X557="","?","")</f>
        <v/>
      </c>
      <c r="AE557" s="15" t="str">
        <f>_xlfn.CONCAT(AA557,"…",TEXT(P557,"+00;-00;+00;"),"...",TEXT(Q557,"+00;-00;+00;"))</f>
        <v>311-131…+01...-12</v>
      </c>
      <c r="AF557" s="13" t="str">
        <f>_xlfn.CONCAT(R557,"…",TEXT(P557,"+00;-00;+00;"),"...",TEXT(Q557,"+00;-00;+00;"))</f>
        <v>WWLWD…+01...-12</v>
      </c>
    </row>
    <row r="558" spans="1:32" x14ac:dyDescent="0.25">
      <c r="A558" s="12" t="s">
        <v>1008</v>
      </c>
      <c r="B558" s="13" t="s">
        <v>339</v>
      </c>
      <c r="C558" s="14">
        <v>1</v>
      </c>
      <c r="D558" s="13" t="s">
        <v>352</v>
      </c>
      <c r="E558" s="13" t="s">
        <v>361</v>
      </c>
      <c r="F558" s="15" t="s">
        <v>30</v>
      </c>
      <c r="G558" s="15" t="s">
        <v>29</v>
      </c>
      <c r="H558" s="15" t="s">
        <v>30</v>
      </c>
      <c r="I558" s="15" t="s">
        <v>30</v>
      </c>
      <c r="J558" s="15" t="s">
        <v>30</v>
      </c>
      <c r="K558" s="15" t="s">
        <v>31</v>
      </c>
      <c r="L558" s="15" t="s">
        <v>31</v>
      </c>
      <c r="M558" s="15" t="s">
        <v>30</v>
      </c>
      <c r="N558" s="15" t="s">
        <v>30</v>
      </c>
      <c r="O558" s="15" t="s">
        <v>31</v>
      </c>
      <c r="P558" s="18">
        <v>5</v>
      </c>
      <c r="Q558" s="18">
        <v>-15</v>
      </c>
      <c r="R558" s="15" t="str">
        <f>_xlfn.CONCAT(F558,G558,H558,I558,J558)</f>
        <v>WDWWW</v>
      </c>
      <c r="S558" s="13" t="str">
        <f>_xlfn.CONCAT(K558,L558,M558,N558,O558)</f>
        <v>LLWWL</v>
      </c>
      <c r="T558" s="13" t="str">
        <f>_xlfn.CONCAT(R558,"***",S558)</f>
        <v>WDWWW***LLWWL</v>
      </c>
      <c r="U558" s="19">
        <f>(P558-Q558)</f>
        <v>20</v>
      </c>
      <c r="V558" s="14">
        <v>2</v>
      </c>
      <c r="W558" s="14">
        <v>0</v>
      </c>
      <c r="X558" s="20" t="str">
        <f>IF(ISBLANK(V558),"",IF(V558&gt;W558,"1",IF(V558&lt;W558,"2",IF(V558=W558,"X"))))</f>
        <v>1</v>
      </c>
      <c r="Y558" s="23" t="str">
        <f>COUNTIF(F558:J558, "W")&amp;COUNTIF(F558:J558, "d")&amp;COUNTIF(F558:J558, "l")</f>
        <v>410</v>
      </c>
      <c r="Z558" s="13" t="str">
        <f>COUNTIF(K558:O558, "W")&amp;COUNTIF(K558:O558, "d")&amp;COUNTIF(K558:O558, "l")</f>
        <v>203</v>
      </c>
      <c r="AA558" s="23" t="str">
        <f>_xlfn.CONCAT(Y558,"-",Z558)</f>
        <v>410-203</v>
      </c>
      <c r="AB558" s="15" t="str">
        <f>_xlfn.CONCAT(AA558,"…",TEXT(U558,"+00;-00;+00;"))</f>
        <v>410-203…+20</v>
      </c>
      <c r="AC558" s="23" t="str">
        <f>_xlfn.CONCAT(TEXT(P558,"+00;-00;+00;"),"…",TEXT(Q558,"+00;-00;+00;"))</f>
        <v>+05…-15</v>
      </c>
      <c r="AD558" s="14" t="str">
        <f>IF(X558="","?","")</f>
        <v/>
      </c>
      <c r="AE558" s="15" t="str">
        <f>_xlfn.CONCAT(AA558,"…",TEXT(P558,"+00;-00;+00;"),"...",TEXT(Q558,"+00;-00;+00;"))</f>
        <v>410-203…+05...-15</v>
      </c>
      <c r="AF558" s="13" t="str">
        <f>_xlfn.CONCAT(R558,"…",TEXT(P558,"+00;-00;+00;"),"...",TEXT(Q558,"+00;-00;+00;"))</f>
        <v>WDWWW…+05...-15</v>
      </c>
    </row>
    <row r="559" spans="1:32" x14ac:dyDescent="0.25">
      <c r="A559" s="12" t="s">
        <v>1051</v>
      </c>
      <c r="B559" s="13" t="s">
        <v>295</v>
      </c>
      <c r="C559" s="14">
        <v>1</v>
      </c>
      <c r="D559" s="13" t="s">
        <v>685</v>
      </c>
      <c r="E559" s="13" t="s">
        <v>310</v>
      </c>
      <c r="F559" s="15" t="s">
        <v>30</v>
      </c>
      <c r="G559" s="15" t="s">
        <v>31</v>
      </c>
      <c r="H559" s="15" t="s">
        <v>30</v>
      </c>
      <c r="I559" s="15" t="s">
        <v>31</v>
      </c>
      <c r="J559" s="15" t="s">
        <v>29</v>
      </c>
      <c r="K559" s="15" t="s">
        <v>31</v>
      </c>
      <c r="L559" s="15" t="s">
        <v>29</v>
      </c>
      <c r="M559" s="15" t="s">
        <v>30</v>
      </c>
      <c r="N559" s="15" t="s">
        <v>31</v>
      </c>
      <c r="O559" s="15" t="s">
        <v>31</v>
      </c>
      <c r="P559" s="18">
        <v>-9</v>
      </c>
      <c r="Q559" s="18">
        <v>-12</v>
      </c>
      <c r="R559" s="15" t="str">
        <f>_xlfn.CONCAT(F559,G559,H559,I559,J559)</f>
        <v>WLWLD</v>
      </c>
      <c r="S559" s="13" t="str">
        <f>_xlfn.CONCAT(K559,L559,M559,N559,O559)</f>
        <v>LDWLL</v>
      </c>
      <c r="T559" s="13" t="str">
        <f>_xlfn.CONCAT(R559,"***",S559)</f>
        <v>WLWLD***LDWLL</v>
      </c>
      <c r="U559" s="19">
        <f>(P559-Q559)</f>
        <v>3</v>
      </c>
      <c r="V559" s="14">
        <v>1</v>
      </c>
      <c r="W559" s="14">
        <v>0</v>
      </c>
      <c r="X559" s="20" t="str">
        <f>IF(ISBLANK(V559),"",IF(V559&gt;W559,"1",IF(V559&lt;W559,"2",IF(V559=W559,"X"))))</f>
        <v>1</v>
      </c>
      <c r="Y559" s="23" t="str">
        <f>COUNTIF(F559:J559, "W")&amp;COUNTIF(F559:J559, "d")&amp;COUNTIF(F559:J559, "l")</f>
        <v>212</v>
      </c>
      <c r="Z559" s="13" t="str">
        <f>COUNTIF(K559:O559, "W")&amp;COUNTIF(K559:O559, "d")&amp;COUNTIF(K559:O559, "l")</f>
        <v>113</v>
      </c>
      <c r="AA559" s="23" t="str">
        <f>_xlfn.CONCAT(Y559,"-",Z559)</f>
        <v>212-113</v>
      </c>
      <c r="AB559" s="15" t="str">
        <f>_xlfn.CONCAT(AA559,"…",TEXT(U559,"+00;-00;+00;"))</f>
        <v>212-113…+03</v>
      </c>
      <c r="AC559" s="23" t="str">
        <f>_xlfn.CONCAT(TEXT(P559,"+00;-00;+00;"),"…",TEXT(Q559,"+00;-00;+00;"))</f>
        <v>-09…-12</v>
      </c>
      <c r="AD559" s="14" t="str">
        <f>IF(X559="","?","")</f>
        <v/>
      </c>
      <c r="AE559" s="15" t="str">
        <f>_xlfn.CONCAT(AA559,"…",TEXT(P559,"+00;-00;+00;"),"...",TEXT(Q559,"+00;-00;+00;"))</f>
        <v>212-113…-09...-12</v>
      </c>
      <c r="AF559" s="13" t="str">
        <f>_xlfn.CONCAT(R559,"…",TEXT(P559,"+00;-00;+00;"),"...",TEXT(Q559,"+00;-00;+00;"))</f>
        <v>WLWLD…-09...-12</v>
      </c>
    </row>
    <row r="560" spans="1:32" x14ac:dyDescent="0.25">
      <c r="A560" s="13" t="s">
        <v>904</v>
      </c>
      <c r="B560" s="13" t="s">
        <v>414</v>
      </c>
      <c r="C560" s="14">
        <v>1</v>
      </c>
      <c r="D560" s="13" t="s">
        <v>912</v>
      </c>
      <c r="E560" s="13" t="s">
        <v>843</v>
      </c>
      <c r="F560" s="13" t="s">
        <v>31</v>
      </c>
      <c r="G560" s="13" t="s">
        <v>29</v>
      </c>
      <c r="H560" s="13" t="s">
        <v>31</v>
      </c>
      <c r="I560" s="13" t="s">
        <v>31</v>
      </c>
      <c r="J560" s="13" t="s">
        <v>31</v>
      </c>
      <c r="K560" s="13" t="s">
        <v>30</v>
      </c>
      <c r="L560" s="13" t="s">
        <v>29</v>
      </c>
      <c r="M560" s="13" t="s">
        <v>29</v>
      </c>
      <c r="N560" s="13" t="s">
        <v>30</v>
      </c>
      <c r="O560" s="13" t="s">
        <v>31</v>
      </c>
      <c r="P560" s="16">
        <v>-23</v>
      </c>
      <c r="Q560" s="16">
        <v>6</v>
      </c>
      <c r="R560" s="13" t="str">
        <f>_xlfn.CONCAT(F560,G560,H560,I560,J560)</f>
        <v>LDLLL</v>
      </c>
      <c r="S560" s="13" t="str">
        <f>_xlfn.CONCAT(K560,L560,M560,N560,O560)</f>
        <v>WDDWL</v>
      </c>
      <c r="T560" s="13" t="str">
        <f>_xlfn.CONCAT(R560,"***",S560)</f>
        <v>LDLLL***WDDWL</v>
      </c>
      <c r="U560" s="21">
        <f>(P560-Q560)</f>
        <v>-29</v>
      </c>
      <c r="V560" s="14">
        <v>1</v>
      </c>
      <c r="W560" s="14">
        <v>1</v>
      </c>
      <c r="X560" s="20" t="str">
        <f>IF(ISBLANK(V560),"",IF(V560&gt;W560,"1",IF(V560&lt;W560,"2",IF(V560=W560,"X"))))</f>
        <v>X</v>
      </c>
      <c r="Y560" s="23" t="str">
        <f>COUNTIF(F560:J560, "W")&amp;COUNTIF(F560:J560, "d")&amp;COUNTIF(F560:J560, "l")</f>
        <v>014</v>
      </c>
      <c r="Z560" s="13" t="str">
        <f>COUNTIF(K560:O560, "W")&amp;COUNTIF(K560:O560, "d")&amp;COUNTIF(K560:O560, "l")</f>
        <v>221</v>
      </c>
      <c r="AA560" s="23" t="str">
        <f>_xlfn.CONCAT(Y560,"-",Z560)</f>
        <v>014-221</v>
      </c>
      <c r="AB560" s="13" t="str">
        <f>_xlfn.CONCAT(AA560,"…",TEXT(U560,"+00;-00;+00;"))</f>
        <v>014-221…-29</v>
      </c>
      <c r="AC560" s="23" t="str">
        <f>_xlfn.CONCAT(TEXT(P560,"+00;-00;+00;"),"…",TEXT(Q560,"+00;-00;+00;"))</f>
        <v>-23…+06</v>
      </c>
      <c r="AD560" s="14" t="str">
        <f>IF(X560="","?","")</f>
        <v/>
      </c>
      <c r="AE560" s="15" t="str">
        <f>_xlfn.CONCAT(AA560,"…",TEXT(P560,"+00;-00;+00;"),"...",TEXT(Q560,"+00;-00;+00;"))</f>
        <v>014-221…-23...+06</v>
      </c>
      <c r="AF560" s="13" t="str">
        <f>_xlfn.CONCAT(R560,"…",TEXT(P560,"+00;-00;+00;"),"...",TEXT(Q560,"+00;-00;+00;"))</f>
        <v>LDLLL…-23...+06</v>
      </c>
    </row>
    <row r="561" spans="1:32" x14ac:dyDescent="0.25">
      <c r="A561" s="12" t="s">
        <v>904</v>
      </c>
      <c r="B561" s="13" t="s">
        <v>250</v>
      </c>
      <c r="C561" s="14">
        <v>2</v>
      </c>
      <c r="D561" s="13" t="s">
        <v>1006</v>
      </c>
      <c r="E561" s="13" t="s">
        <v>855</v>
      </c>
      <c r="F561" s="15" t="s">
        <v>31</v>
      </c>
      <c r="G561" s="15" t="s">
        <v>30</v>
      </c>
      <c r="H561" s="15" t="s">
        <v>31</v>
      </c>
      <c r="I561" s="15" t="s">
        <v>31</v>
      </c>
      <c r="J561" s="15" t="s">
        <v>31</v>
      </c>
      <c r="K561" s="15" t="s">
        <v>31</v>
      </c>
      <c r="L561" s="15" t="s">
        <v>29</v>
      </c>
      <c r="M561" s="15" t="s">
        <v>29</v>
      </c>
      <c r="N561" s="15" t="s">
        <v>30</v>
      </c>
      <c r="O561" s="15" t="s">
        <v>31</v>
      </c>
      <c r="P561" s="18">
        <v>-10</v>
      </c>
      <c r="Q561" s="18">
        <v>-6</v>
      </c>
      <c r="R561" s="15" t="str">
        <f>_xlfn.CONCAT(F561,G561,H561,I561,J561)</f>
        <v>LWLLL</v>
      </c>
      <c r="S561" s="13" t="str">
        <f>_xlfn.CONCAT(K561,L561,M561,N561,O561)</f>
        <v>LDDWL</v>
      </c>
      <c r="T561" s="13" t="str">
        <f>_xlfn.CONCAT(R561,"***",S561)</f>
        <v>LWLLL***LDDWL</v>
      </c>
      <c r="U561" s="19">
        <f>(P561-Q561)</f>
        <v>-4</v>
      </c>
      <c r="V561" s="14">
        <v>1</v>
      </c>
      <c r="W561" s="14">
        <v>0</v>
      </c>
      <c r="X561" s="20" t="str">
        <f>IF(ISBLANK(V561),"",IF(V561&gt;W561,"1",IF(V561&lt;W561,"2",IF(V561=W561,"X"))))</f>
        <v>1</v>
      </c>
      <c r="Y561" s="23" t="str">
        <f>COUNTIF(F561:J561, "W")&amp;COUNTIF(F561:J561, "d")&amp;COUNTIF(F561:J561, "l")</f>
        <v>104</v>
      </c>
      <c r="Z561" s="13" t="str">
        <f>COUNTIF(K561:O561, "W")&amp;COUNTIF(K561:O561, "d")&amp;COUNTIF(K561:O561, "l")</f>
        <v>122</v>
      </c>
      <c r="AA561" s="23" t="str">
        <f>_xlfn.CONCAT(Y561,"-",Z561)</f>
        <v>104-122</v>
      </c>
      <c r="AB561" s="15" t="str">
        <f>_xlfn.CONCAT(AA561,"…",TEXT(U561,"+00;-00;+00;"))</f>
        <v>104-122…-04</v>
      </c>
      <c r="AC561" s="23" t="str">
        <f>_xlfn.CONCAT(TEXT(P561,"+00;-00;+00;"),"…",TEXT(Q561,"+00;-00;+00;"))</f>
        <v>-10…-06</v>
      </c>
      <c r="AD561" s="14" t="str">
        <f>IF(X561="","?","")</f>
        <v/>
      </c>
      <c r="AE561" s="15" t="str">
        <f>_xlfn.CONCAT(AA561,"…",TEXT(P561,"+00;-00;+00;"),"...",TEXT(Q561,"+00;-00;+00;"))</f>
        <v>104-122…-10...-06</v>
      </c>
      <c r="AF561" s="13" t="str">
        <f>_xlfn.CONCAT(R561,"…",TEXT(P561,"+00;-00;+00;"),"...",TEXT(Q561,"+00;-00;+00;"))</f>
        <v>LWLLL…-10...-06</v>
      </c>
    </row>
    <row r="562" spans="1:32" x14ac:dyDescent="0.25">
      <c r="A562" s="12" t="s">
        <v>904</v>
      </c>
      <c r="B562" s="13" t="s">
        <v>7</v>
      </c>
      <c r="C562" s="14" t="s">
        <v>8</v>
      </c>
      <c r="D562" s="13" t="s">
        <v>11</v>
      </c>
      <c r="E562" s="13" t="s">
        <v>621</v>
      </c>
      <c r="F562" s="15" t="s">
        <v>31</v>
      </c>
      <c r="G562" s="15" t="s">
        <v>31</v>
      </c>
      <c r="H562" s="15" t="s">
        <v>30</v>
      </c>
      <c r="I562" s="15" t="s">
        <v>31</v>
      </c>
      <c r="J562" s="15" t="s">
        <v>29</v>
      </c>
      <c r="K562" s="15" t="s">
        <v>31</v>
      </c>
      <c r="L562" s="15" t="s">
        <v>29</v>
      </c>
      <c r="M562" s="15" t="s">
        <v>29</v>
      </c>
      <c r="N562" s="15" t="s">
        <v>29</v>
      </c>
      <c r="O562" s="15" t="s">
        <v>30</v>
      </c>
      <c r="P562" s="18">
        <v>-14</v>
      </c>
      <c r="Q562" s="18">
        <v>19</v>
      </c>
      <c r="R562" s="15" t="str">
        <f>_xlfn.CONCAT(F562,G562,H562,I562,J562)</f>
        <v>LLWLD</v>
      </c>
      <c r="S562" s="13" t="str">
        <f>_xlfn.CONCAT(K562,L562,M562,N562,O562)</f>
        <v>LDDDW</v>
      </c>
      <c r="T562" s="13" t="str">
        <f>_xlfn.CONCAT(R562,"***",S562)</f>
        <v>LLWLD***LDDDW</v>
      </c>
      <c r="U562" s="19">
        <f>(P562-Q562)</f>
        <v>-33</v>
      </c>
      <c r="V562" s="14">
        <v>1</v>
      </c>
      <c r="W562" s="14">
        <v>2</v>
      </c>
      <c r="X562" s="20" t="str">
        <f>IF(ISBLANK(V562),"",IF(V562&gt;W562,"1",IF(V562&lt;W562,"2",IF(V562=W562,"X"))))</f>
        <v>2</v>
      </c>
      <c r="Y562" s="23" t="str">
        <f>COUNTIF(F562:J562, "W")&amp;COUNTIF(F562:J562, "d")&amp;COUNTIF(F562:J562, "l")</f>
        <v>113</v>
      </c>
      <c r="Z562" s="13" t="str">
        <f>COUNTIF(K562:O562, "W")&amp;COUNTIF(K562:O562, "d")&amp;COUNTIF(K562:O562, "l")</f>
        <v>131</v>
      </c>
      <c r="AA562" s="23" t="str">
        <f>_xlfn.CONCAT(Y562,"-",Z562)</f>
        <v>113-131</v>
      </c>
      <c r="AB562" s="15" t="str">
        <f>_xlfn.CONCAT(AA562,"…",TEXT(U562,"+00;-00;+00;"))</f>
        <v>113-131…-33</v>
      </c>
      <c r="AC562" s="23" t="str">
        <f>_xlfn.CONCAT(TEXT(P562,"+00;-00;+00;"),"…",TEXT(Q562,"+00;-00;+00;"))</f>
        <v>-14…+19</v>
      </c>
      <c r="AD562" s="14" t="str">
        <f>IF(X562="","?","")</f>
        <v/>
      </c>
      <c r="AE562" s="15" t="str">
        <f>_xlfn.CONCAT(AA562,"…",TEXT(P562,"+00;-00;+00;"),"...",TEXT(Q562,"+00;-00;+00;"))</f>
        <v>113-131…-14...+19</v>
      </c>
      <c r="AF562" s="13" t="str">
        <f>_xlfn.CONCAT(R562,"…",TEXT(P562,"+00;-00;+00;"),"...",TEXT(Q562,"+00;-00;+00;"))</f>
        <v>LLWLD…-14...+19</v>
      </c>
    </row>
    <row r="563" spans="1:32" x14ac:dyDescent="0.25">
      <c r="A563" s="12" t="s">
        <v>904</v>
      </c>
      <c r="B563" s="13" t="s">
        <v>117</v>
      </c>
      <c r="C563" s="14" t="s">
        <v>0</v>
      </c>
      <c r="D563" s="13" t="s">
        <v>133</v>
      </c>
      <c r="E563" s="13" t="s">
        <v>631</v>
      </c>
      <c r="F563" s="15" t="s">
        <v>31</v>
      </c>
      <c r="G563" s="15" t="s">
        <v>29</v>
      </c>
      <c r="H563" s="15" t="s">
        <v>29</v>
      </c>
      <c r="I563" s="15" t="s">
        <v>30</v>
      </c>
      <c r="J563" s="15" t="s">
        <v>29</v>
      </c>
      <c r="K563" s="15" t="s">
        <v>29</v>
      </c>
      <c r="L563" s="15" t="s">
        <v>31</v>
      </c>
      <c r="M563" s="15" t="s">
        <v>30</v>
      </c>
      <c r="N563" s="15" t="s">
        <v>31</v>
      </c>
      <c r="O563" s="15" t="s">
        <v>30</v>
      </c>
      <c r="P563" s="18">
        <v>1</v>
      </c>
      <c r="Q563" s="18">
        <v>-4</v>
      </c>
      <c r="R563" s="15" t="str">
        <f>_xlfn.CONCAT(F563,G563,H563,I563,J563)</f>
        <v>LDDWD</v>
      </c>
      <c r="S563" s="13" t="str">
        <f>_xlfn.CONCAT(K563,L563,M563,N563,O563)</f>
        <v>DLWLW</v>
      </c>
      <c r="T563" s="13" t="str">
        <f>_xlfn.CONCAT(R563,"***",S563)</f>
        <v>LDDWD***DLWLW</v>
      </c>
      <c r="U563" s="19">
        <f>(P563-Q563)</f>
        <v>5</v>
      </c>
      <c r="V563" s="14">
        <v>1</v>
      </c>
      <c r="W563" s="14">
        <v>0</v>
      </c>
      <c r="X563" s="20" t="str">
        <f>IF(ISBLANK(V563),"",IF(V563&gt;W563,"1",IF(V563&lt;W563,"2",IF(V563=W563,"X"))))</f>
        <v>1</v>
      </c>
      <c r="Y563" s="23" t="str">
        <f>COUNTIF(F563:J563, "W")&amp;COUNTIF(F563:J563, "d")&amp;COUNTIF(F563:J563, "l")</f>
        <v>131</v>
      </c>
      <c r="Z563" s="13" t="str">
        <f>COUNTIF(K563:O563, "W")&amp;COUNTIF(K563:O563, "d")&amp;COUNTIF(K563:O563, "l")</f>
        <v>212</v>
      </c>
      <c r="AA563" s="23" t="str">
        <f>_xlfn.CONCAT(Y563,"-",Z563)</f>
        <v>131-212</v>
      </c>
      <c r="AB563" s="15" t="str">
        <f>_xlfn.CONCAT(AA563,"…",TEXT(U563,"+00;-00;+00;"))</f>
        <v>131-212…+05</v>
      </c>
      <c r="AC563" s="23" t="str">
        <f>_xlfn.CONCAT(TEXT(P563,"+00;-00;+00;"),"…",TEXT(Q563,"+00;-00;+00;"))</f>
        <v>+01…-04</v>
      </c>
      <c r="AD563" s="14" t="str">
        <f>IF(X563="","?","")</f>
        <v/>
      </c>
      <c r="AE563" s="15" t="str">
        <f>_xlfn.CONCAT(AA563,"…",TEXT(P563,"+00;-00;+00;"),"...",TEXT(Q563,"+00;-00;+00;"))</f>
        <v>131-212…+01...-04</v>
      </c>
      <c r="AF563" s="13" t="str">
        <f>_xlfn.CONCAT(R563,"…",TEXT(P563,"+00;-00;+00;"),"...",TEXT(Q563,"+00;-00;+00;"))</f>
        <v>LDDWD…+01...-04</v>
      </c>
    </row>
    <row r="564" spans="1:32" x14ac:dyDescent="0.25">
      <c r="A564" s="12" t="s">
        <v>904</v>
      </c>
      <c r="B564" s="13" t="s">
        <v>7</v>
      </c>
      <c r="C564" s="14" t="s">
        <v>8</v>
      </c>
      <c r="D564" s="13" t="s">
        <v>619</v>
      </c>
      <c r="E564" s="13" t="s">
        <v>620</v>
      </c>
      <c r="F564" s="15" t="s">
        <v>30</v>
      </c>
      <c r="G564" s="15" t="s">
        <v>31</v>
      </c>
      <c r="H564" s="15" t="s">
        <v>30</v>
      </c>
      <c r="I564" s="15" t="s">
        <v>31</v>
      </c>
      <c r="J564" s="15" t="s">
        <v>31</v>
      </c>
      <c r="K564" s="15" t="s">
        <v>30</v>
      </c>
      <c r="L564" s="15" t="s">
        <v>29</v>
      </c>
      <c r="M564" s="15" t="s">
        <v>30</v>
      </c>
      <c r="N564" s="15" t="s">
        <v>30</v>
      </c>
      <c r="O564" s="15" t="s">
        <v>31</v>
      </c>
      <c r="P564" s="18">
        <v>-5</v>
      </c>
      <c r="Q564" s="18">
        <v>1</v>
      </c>
      <c r="R564" s="15" t="str">
        <f>_xlfn.CONCAT(F564,G564,H564,I564,J564)</f>
        <v>WLWLL</v>
      </c>
      <c r="S564" s="13" t="str">
        <f>_xlfn.CONCAT(K564,L564,M564,N564,O564)</f>
        <v>WDWWL</v>
      </c>
      <c r="T564" s="13" t="str">
        <f>_xlfn.CONCAT(R564,"***",S564)</f>
        <v>WLWLL***WDWWL</v>
      </c>
      <c r="U564" s="19">
        <f>(P564-Q564)</f>
        <v>-6</v>
      </c>
      <c r="V564" s="14">
        <v>5</v>
      </c>
      <c r="W564" s="14">
        <v>0</v>
      </c>
      <c r="X564" s="20" t="str">
        <f>IF(ISBLANK(V564),"",IF(V564&gt;W564,"1",IF(V564&lt;W564,"2",IF(V564=W564,"X"))))</f>
        <v>1</v>
      </c>
      <c r="Y564" s="23" t="str">
        <f>COUNTIF(F564:J564, "W")&amp;COUNTIF(F564:J564, "d")&amp;COUNTIF(F564:J564, "l")</f>
        <v>203</v>
      </c>
      <c r="Z564" s="13" t="str">
        <f>COUNTIF(K564:O564, "W")&amp;COUNTIF(K564:O564, "d")&amp;COUNTIF(K564:O564, "l")</f>
        <v>311</v>
      </c>
      <c r="AA564" s="23" t="str">
        <f>_xlfn.CONCAT(Y564,"-",Z564)</f>
        <v>203-311</v>
      </c>
      <c r="AB564" s="15" t="str">
        <f>_xlfn.CONCAT(AA564,"…",TEXT(U564,"+00;-00;+00;"))</f>
        <v>203-311…-06</v>
      </c>
      <c r="AC564" s="23" t="str">
        <f>_xlfn.CONCAT(TEXT(P564,"+00;-00;+00;"),"…",TEXT(Q564,"+00;-00;+00;"))</f>
        <v>-05…+01</v>
      </c>
      <c r="AD564" s="14" t="str">
        <f>IF(X564="","?","")</f>
        <v/>
      </c>
      <c r="AE564" s="15" t="str">
        <f>_xlfn.CONCAT(AA564,"…",TEXT(P564,"+00;-00;+00;"),"...",TEXT(Q564,"+00;-00;+00;"))</f>
        <v>203-311…-05...+01</v>
      </c>
      <c r="AF564" s="13" t="str">
        <f>_xlfn.CONCAT(R564,"…",TEXT(P564,"+00;-00;+00;"),"...",TEXT(Q564,"+00;-00;+00;"))</f>
        <v>WLWLL…-05...+01</v>
      </c>
    </row>
    <row r="565" spans="1:32" x14ac:dyDescent="0.25">
      <c r="A565" s="12" t="s">
        <v>904</v>
      </c>
      <c r="B565" s="13" t="s">
        <v>7</v>
      </c>
      <c r="C565" s="14" t="s">
        <v>8</v>
      </c>
      <c r="D565" s="13" t="s">
        <v>613</v>
      </c>
      <c r="E565" s="13" t="s">
        <v>617</v>
      </c>
      <c r="F565" s="15" t="s">
        <v>30</v>
      </c>
      <c r="G565" s="15" t="s">
        <v>30</v>
      </c>
      <c r="H565" s="15" t="s">
        <v>31</v>
      </c>
      <c r="I565" s="15" t="s">
        <v>30</v>
      </c>
      <c r="J565" s="15" t="s">
        <v>29</v>
      </c>
      <c r="K565" s="15" t="s">
        <v>31</v>
      </c>
      <c r="L565" s="15" t="s">
        <v>30</v>
      </c>
      <c r="M565" s="15" t="s">
        <v>31</v>
      </c>
      <c r="N565" s="15" t="s">
        <v>29</v>
      </c>
      <c r="O565" s="15" t="s">
        <v>30</v>
      </c>
      <c r="P565" s="18">
        <v>-2</v>
      </c>
      <c r="Q565" s="18">
        <v>2</v>
      </c>
      <c r="R565" s="15" t="str">
        <f>_xlfn.CONCAT(F565,G565,H565,I565,J565)</f>
        <v>WWLWD</v>
      </c>
      <c r="S565" s="13" t="str">
        <f>_xlfn.CONCAT(K565,L565,M565,N565,O565)</f>
        <v>LWLDW</v>
      </c>
      <c r="T565" s="13" t="str">
        <f>_xlfn.CONCAT(R565,"***",S565)</f>
        <v>WWLWD***LWLDW</v>
      </c>
      <c r="U565" s="19">
        <f>(P565-Q565)</f>
        <v>-4</v>
      </c>
      <c r="V565" s="14">
        <v>2</v>
      </c>
      <c r="W565" s="14">
        <v>0</v>
      </c>
      <c r="X565" s="20" t="str">
        <f>IF(ISBLANK(V565),"",IF(V565&gt;W565,"1",IF(V565&lt;W565,"2",IF(V565=W565,"X"))))</f>
        <v>1</v>
      </c>
      <c r="Y565" s="23" t="str">
        <f>COUNTIF(F565:J565, "W")&amp;COUNTIF(F565:J565, "d")&amp;COUNTIF(F565:J565, "l")</f>
        <v>311</v>
      </c>
      <c r="Z565" s="13" t="str">
        <f>COUNTIF(K565:O565, "W")&amp;COUNTIF(K565:O565, "d")&amp;COUNTIF(K565:O565, "l")</f>
        <v>212</v>
      </c>
      <c r="AA565" s="23" t="str">
        <f>_xlfn.CONCAT(Y565,"-",Z565)</f>
        <v>311-212</v>
      </c>
      <c r="AB565" s="15" t="str">
        <f>_xlfn.CONCAT(AA565,"…",TEXT(U565,"+00;-00;+00;"))</f>
        <v>311-212…-04</v>
      </c>
      <c r="AC565" s="23" t="str">
        <f>_xlfn.CONCAT(TEXT(P565,"+00;-00;+00;"),"…",TEXT(Q565,"+00;-00;+00;"))</f>
        <v>-02…+02</v>
      </c>
      <c r="AD565" s="14" t="str">
        <f>IF(X565="","?","")</f>
        <v/>
      </c>
      <c r="AE565" s="15" t="str">
        <f>_xlfn.CONCAT(AA565,"…",TEXT(P565,"+00;-00;+00;"),"...",TEXT(Q565,"+00;-00;+00;"))</f>
        <v>311-212…-02...+02</v>
      </c>
      <c r="AF565" s="13" t="str">
        <f>_xlfn.CONCAT(R565,"…",TEXT(P565,"+00;-00;+00;"),"...",TEXT(Q565,"+00;-00;+00;"))</f>
        <v>WWLWD…-02...+02</v>
      </c>
    </row>
    <row r="566" spans="1:32" x14ac:dyDescent="0.25">
      <c r="A566" s="12" t="s">
        <v>962</v>
      </c>
      <c r="B566" s="13" t="s">
        <v>208</v>
      </c>
      <c r="C566" s="14">
        <v>1</v>
      </c>
      <c r="D566" s="13" t="s">
        <v>572</v>
      </c>
      <c r="E566" s="13" t="s">
        <v>218</v>
      </c>
      <c r="F566" s="15" t="s">
        <v>30</v>
      </c>
      <c r="G566" s="15" t="s">
        <v>30</v>
      </c>
      <c r="H566" s="15" t="s">
        <v>30</v>
      </c>
      <c r="I566" s="15" t="s">
        <v>31</v>
      </c>
      <c r="J566" s="15" t="s">
        <v>31</v>
      </c>
      <c r="K566" s="15" t="s">
        <v>29</v>
      </c>
      <c r="L566" s="15" t="s">
        <v>30</v>
      </c>
      <c r="M566" s="15" t="s">
        <v>30</v>
      </c>
      <c r="N566" s="15" t="s">
        <v>30</v>
      </c>
      <c r="O566" s="15" t="s">
        <v>30</v>
      </c>
      <c r="P566" s="18">
        <v>18</v>
      </c>
      <c r="Q566" s="18">
        <v>27</v>
      </c>
      <c r="R566" s="15" t="str">
        <f>_xlfn.CONCAT(F566,G566,H566,I566,J566)</f>
        <v>WWWLL</v>
      </c>
      <c r="S566" s="13" t="str">
        <f>_xlfn.CONCAT(K566,L566,M566,N566,O566)</f>
        <v>DWWWW</v>
      </c>
      <c r="T566" s="13" t="str">
        <f>_xlfn.CONCAT(R566,"***",S566)</f>
        <v>WWWLL***DWWWW</v>
      </c>
      <c r="U566" s="19">
        <f>(P566-Q566)</f>
        <v>-9</v>
      </c>
      <c r="V566" s="14">
        <v>1</v>
      </c>
      <c r="W566" s="14">
        <v>1</v>
      </c>
      <c r="X566" s="20" t="str">
        <f>IF(ISBLANK(V566),"",IF(V566&gt;W566,"1",IF(V566&lt;W566,"2",IF(V566=W566,"X"))))</f>
        <v>X</v>
      </c>
      <c r="Y566" s="23" t="str">
        <f>COUNTIF(F566:J566, "W")&amp;COUNTIF(F566:J566, "d")&amp;COUNTIF(F566:J566, "l")</f>
        <v>302</v>
      </c>
      <c r="Z566" s="13" t="str">
        <f>COUNTIF(K566:O566, "W")&amp;COUNTIF(K566:O566, "d")&amp;COUNTIF(K566:O566, "l")</f>
        <v>410</v>
      </c>
      <c r="AA566" s="23" t="str">
        <f>_xlfn.CONCAT(Y566,"-",Z566)</f>
        <v>302-410</v>
      </c>
      <c r="AB566" s="15" t="str">
        <f>_xlfn.CONCAT(AA566,"…",TEXT(U566,"+00;-00;+00;"))</f>
        <v>302-410…-09</v>
      </c>
      <c r="AC566" s="23" t="str">
        <f>_xlfn.CONCAT(TEXT(P566,"+00;-00;+00;"),"…",TEXT(Q566,"+00;-00;+00;"))</f>
        <v>+18…+27</v>
      </c>
      <c r="AD566" s="14" t="str">
        <f>IF(X566="","?","")</f>
        <v/>
      </c>
      <c r="AE566" s="15" t="str">
        <f>_xlfn.CONCAT(AA566,"…",TEXT(P566,"+00;-00;+00;"),"...",TEXT(Q566,"+00;-00;+00;"))</f>
        <v>302-410…+18...+27</v>
      </c>
      <c r="AF566" s="13" t="str">
        <f>_xlfn.CONCAT(R566,"…",TEXT(P566,"+00;-00;+00;"),"...",TEXT(Q566,"+00;-00;+00;"))</f>
        <v>WWWLL…+18...+27</v>
      </c>
    </row>
    <row r="567" spans="1:32" x14ac:dyDescent="0.25">
      <c r="A567" s="12" t="s">
        <v>972</v>
      </c>
      <c r="B567" s="13" t="s">
        <v>318</v>
      </c>
      <c r="C567" s="14">
        <v>1</v>
      </c>
      <c r="D567" s="13" t="s">
        <v>325</v>
      </c>
      <c r="E567" s="13" t="s">
        <v>329</v>
      </c>
      <c r="F567" s="15" t="s">
        <v>29</v>
      </c>
      <c r="G567" s="15" t="s">
        <v>31</v>
      </c>
      <c r="H567" s="15" t="s">
        <v>31</v>
      </c>
      <c r="I567" s="15" t="s">
        <v>29</v>
      </c>
      <c r="J567" s="15" t="s">
        <v>30</v>
      </c>
      <c r="K567" s="15" t="s">
        <v>29</v>
      </c>
      <c r="L567" s="15" t="s">
        <v>31</v>
      </c>
      <c r="M567" s="15" t="s">
        <v>30</v>
      </c>
      <c r="N567" s="15" t="s">
        <v>31</v>
      </c>
      <c r="O567" s="15" t="s">
        <v>30</v>
      </c>
      <c r="P567" s="18">
        <v>-14</v>
      </c>
      <c r="Q567" s="18">
        <v>13</v>
      </c>
      <c r="R567" s="15" t="str">
        <f>_xlfn.CONCAT(F567,G567,H567,I567,J567)</f>
        <v>DLLDW</v>
      </c>
      <c r="S567" s="13" t="str">
        <f>_xlfn.CONCAT(K567,L567,M567,N567,O567)</f>
        <v>DLWLW</v>
      </c>
      <c r="T567" s="13" t="str">
        <f>_xlfn.CONCAT(R567,"***",S567)</f>
        <v>DLLDW***DLWLW</v>
      </c>
      <c r="U567" s="19">
        <f>(P567-Q567)</f>
        <v>-27</v>
      </c>
      <c r="V567" s="14">
        <v>1</v>
      </c>
      <c r="W567" s="14">
        <v>3</v>
      </c>
      <c r="X567" s="20" t="str">
        <f>IF(ISBLANK(V567),"",IF(V567&gt;W567,"1",IF(V567&lt;W567,"2",IF(V567=W567,"X"))))</f>
        <v>2</v>
      </c>
      <c r="Y567" s="23" t="str">
        <f>COUNTIF(F567:J567, "W")&amp;COUNTIF(F567:J567, "d")&amp;COUNTIF(F567:J567, "l")</f>
        <v>122</v>
      </c>
      <c r="Z567" s="13" t="str">
        <f>COUNTIF(K567:O567, "W")&amp;COUNTIF(K567:O567, "d")&amp;COUNTIF(K567:O567, "l")</f>
        <v>212</v>
      </c>
      <c r="AA567" s="23" t="str">
        <f>_xlfn.CONCAT(Y567,"-",Z567)</f>
        <v>122-212</v>
      </c>
      <c r="AB567" s="15" t="str">
        <f>_xlfn.CONCAT(AA567,"…",TEXT(U567,"+00;-00;+00;"))</f>
        <v>122-212…-27</v>
      </c>
      <c r="AC567" s="23" t="str">
        <f>_xlfn.CONCAT(TEXT(P567,"+00;-00;+00;"),"…",TEXT(Q567,"+00;-00;+00;"))</f>
        <v>-14…+13</v>
      </c>
      <c r="AD567" s="14" t="str">
        <f>IF(X567="","?","")</f>
        <v/>
      </c>
      <c r="AE567" s="15" t="str">
        <f>_xlfn.CONCAT(AA567,"…",TEXT(P567,"+00;-00;+00;"),"...",TEXT(Q567,"+00;-00;+00;"))</f>
        <v>122-212…-14...+13</v>
      </c>
      <c r="AF567" s="13" t="str">
        <f>_xlfn.CONCAT(R567,"…",TEXT(P567,"+00;-00;+00;"),"...",TEXT(Q567,"+00;-00;+00;"))</f>
        <v>DLLDW…-14...+13</v>
      </c>
    </row>
    <row r="568" spans="1:32" x14ac:dyDescent="0.25">
      <c r="A568" s="12" t="s">
        <v>916</v>
      </c>
      <c r="B568" s="13" t="s">
        <v>59</v>
      </c>
      <c r="C568" s="14">
        <v>1</v>
      </c>
      <c r="D568" s="13" t="s">
        <v>727</v>
      </c>
      <c r="E568" s="13" t="s">
        <v>725</v>
      </c>
      <c r="F568" s="15" t="s">
        <v>31</v>
      </c>
      <c r="G568" s="15" t="s">
        <v>31</v>
      </c>
      <c r="H568" s="15" t="s">
        <v>29</v>
      </c>
      <c r="I568" s="15" t="s">
        <v>31</v>
      </c>
      <c r="J568" s="15" t="s">
        <v>31</v>
      </c>
      <c r="K568" s="15" t="s">
        <v>30</v>
      </c>
      <c r="L568" s="15" t="s">
        <v>29</v>
      </c>
      <c r="M568" s="15" t="s">
        <v>30</v>
      </c>
      <c r="N568" s="15" t="s">
        <v>30</v>
      </c>
      <c r="O568" s="15" t="s">
        <v>29</v>
      </c>
      <c r="P568" s="18">
        <v>-16</v>
      </c>
      <c r="Q568" s="18">
        <v>12</v>
      </c>
      <c r="R568" s="15" t="str">
        <f>_xlfn.CONCAT(F568,G568,H568,I568,J568)</f>
        <v>LLDLL</v>
      </c>
      <c r="S568" s="13" t="str">
        <f>_xlfn.CONCAT(K568,L568,M568,N568,O568)</f>
        <v>WDWWD</v>
      </c>
      <c r="T568" s="13" t="str">
        <f>_xlfn.CONCAT(R568,"***",S568)</f>
        <v>LLDLL***WDWWD</v>
      </c>
      <c r="U568" s="19">
        <f>(P568-Q568)</f>
        <v>-28</v>
      </c>
      <c r="V568" s="14">
        <v>0</v>
      </c>
      <c r="W568" s="14">
        <v>1</v>
      </c>
      <c r="X568" s="20" t="str">
        <f>IF(ISBLANK(V568),"",IF(V568&gt;W568,"1",IF(V568&lt;W568,"2",IF(V568=W568,"X"))))</f>
        <v>2</v>
      </c>
      <c r="Y568" s="23" t="str">
        <f>COUNTIF(F568:J568, "W")&amp;COUNTIF(F568:J568, "d")&amp;COUNTIF(F568:J568, "l")</f>
        <v>014</v>
      </c>
      <c r="Z568" s="13" t="str">
        <f>COUNTIF(K568:O568, "W")&amp;COUNTIF(K568:O568, "d")&amp;COUNTIF(K568:O568, "l")</f>
        <v>320</v>
      </c>
      <c r="AA568" s="23" t="str">
        <f>_xlfn.CONCAT(Y568,"-",Z568)</f>
        <v>014-320</v>
      </c>
      <c r="AB568" s="15" t="str">
        <f>_xlfn.CONCAT(AA568,"…",TEXT(U568,"+00;-00;+00;"))</f>
        <v>014-320…-28</v>
      </c>
      <c r="AC568" s="23" t="str">
        <f>_xlfn.CONCAT(TEXT(P568,"+00;-00;+00;"),"…",TEXT(Q568,"+00;-00;+00;"))</f>
        <v>-16…+12</v>
      </c>
      <c r="AD568" s="14" t="str">
        <f>IF(X568="","?","")</f>
        <v/>
      </c>
      <c r="AE568" s="15" t="str">
        <f>_xlfn.CONCAT(AA568,"…",TEXT(P568,"+00;-00;+00;"),"...",TEXT(Q568,"+00;-00;+00;"))</f>
        <v>014-320…-16...+12</v>
      </c>
      <c r="AF568" s="13" t="str">
        <f>_xlfn.CONCAT(R568,"…",TEXT(P568,"+00;-00;+00;"),"...",TEXT(Q568,"+00;-00;+00;"))</f>
        <v>LLDLL…-16...+12</v>
      </c>
    </row>
    <row r="569" spans="1:32" x14ac:dyDescent="0.25">
      <c r="A569" s="13" t="s">
        <v>916</v>
      </c>
      <c r="B569" s="13" t="s">
        <v>117</v>
      </c>
      <c r="C569" s="14" t="s">
        <v>33</v>
      </c>
      <c r="D569" s="13" t="s">
        <v>920</v>
      </c>
      <c r="E569" s="13" t="s">
        <v>646</v>
      </c>
      <c r="F569" s="13" t="s">
        <v>31</v>
      </c>
      <c r="G569" s="13" t="s">
        <v>29</v>
      </c>
      <c r="H569" s="13" t="s">
        <v>31</v>
      </c>
      <c r="I569" s="13" t="s">
        <v>29</v>
      </c>
      <c r="J569" s="13" t="s">
        <v>30</v>
      </c>
      <c r="K569" s="13" t="s">
        <v>30</v>
      </c>
      <c r="L569" s="13" t="s">
        <v>29</v>
      </c>
      <c r="M569" s="13" t="s">
        <v>29</v>
      </c>
      <c r="N569" s="13" t="s">
        <v>31</v>
      </c>
      <c r="O569" s="13" t="s">
        <v>31</v>
      </c>
      <c r="P569" s="16">
        <v>-4</v>
      </c>
      <c r="Q569" s="16">
        <v>-1</v>
      </c>
      <c r="R569" s="13" t="str">
        <f>_xlfn.CONCAT(F569,G569,H569,I569,J569)</f>
        <v>LDLDW</v>
      </c>
      <c r="S569" s="13" t="str">
        <f>_xlfn.CONCAT(K569,L569,M569,N569,O569)</f>
        <v>WDDLL</v>
      </c>
      <c r="T569" s="13" t="str">
        <f>_xlfn.CONCAT(R569,"***",S569)</f>
        <v>LDLDW***WDDLL</v>
      </c>
      <c r="U569" s="21">
        <f>(P569-Q569)</f>
        <v>-3</v>
      </c>
      <c r="V569" s="14">
        <v>1</v>
      </c>
      <c r="W569" s="14">
        <v>1</v>
      </c>
      <c r="X569" s="20" t="str">
        <f>IF(ISBLANK(V569),"",IF(V569&gt;W569,"1",IF(V569&lt;W569,"2",IF(V569=W569,"X"))))</f>
        <v>X</v>
      </c>
      <c r="Y569" s="23" t="str">
        <f>COUNTIF(F569:J569, "W")&amp;COUNTIF(F569:J569, "d")&amp;COUNTIF(F569:J569, "l")</f>
        <v>122</v>
      </c>
      <c r="Z569" s="13" t="str">
        <f>COUNTIF(K569:O569, "W")&amp;COUNTIF(K569:O569, "d")&amp;COUNTIF(K569:O569, "l")</f>
        <v>122</v>
      </c>
      <c r="AA569" s="23" t="str">
        <f>_xlfn.CONCAT(Y569,"-",Z569)</f>
        <v>122-122</v>
      </c>
      <c r="AB569" s="13" t="str">
        <f>_xlfn.CONCAT(AA569,"…",TEXT(U569,"+00;-00;+00;"))</f>
        <v>122-122…-03</v>
      </c>
      <c r="AC569" s="23" t="str">
        <f>_xlfn.CONCAT(TEXT(P569,"+00;-00;+00;"),"…",TEXT(Q569,"+00;-00;+00;"))</f>
        <v>-04…-01</v>
      </c>
      <c r="AD569" s="14" t="str">
        <f>IF(X569="","?","")</f>
        <v/>
      </c>
      <c r="AE569" s="15" t="str">
        <f>_xlfn.CONCAT(AA569,"…",TEXT(P569,"+00;-00;+00;"),"...",TEXT(Q569,"+00;-00;+00;"))</f>
        <v>122-122…-04...-01</v>
      </c>
      <c r="AF569" s="13" t="str">
        <f>_xlfn.CONCAT(R569,"…",TEXT(P569,"+00;-00;+00;"),"...",TEXT(Q569,"+00;-00;+00;"))</f>
        <v>LDLDW…-04...-01</v>
      </c>
    </row>
    <row r="570" spans="1:32" x14ac:dyDescent="0.25">
      <c r="A570" s="12" t="s">
        <v>916</v>
      </c>
      <c r="B570" s="13" t="s">
        <v>59</v>
      </c>
      <c r="C570" s="14">
        <v>2</v>
      </c>
      <c r="D570" s="13" t="s">
        <v>1017</v>
      </c>
      <c r="E570" s="13" t="s">
        <v>736</v>
      </c>
      <c r="F570" s="15" t="s">
        <v>29</v>
      </c>
      <c r="G570" s="15" t="s">
        <v>30</v>
      </c>
      <c r="H570" s="15" t="s">
        <v>30</v>
      </c>
      <c r="I570" s="15" t="s">
        <v>31</v>
      </c>
      <c r="J570" s="15" t="s">
        <v>31</v>
      </c>
      <c r="K570" s="15" t="s">
        <v>30</v>
      </c>
      <c r="L570" s="15" t="s">
        <v>31</v>
      </c>
      <c r="M570" s="15" t="s">
        <v>30</v>
      </c>
      <c r="N570" s="15" t="s">
        <v>29</v>
      </c>
      <c r="O570" s="15" t="s">
        <v>29</v>
      </c>
      <c r="P570" s="18">
        <v>5</v>
      </c>
      <c r="Q570" s="18">
        <v>6</v>
      </c>
      <c r="R570" s="15" t="str">
        <f>_xlfn.CONCAT(F570,G570,H570,I570,J570)</f>
        <v>DWWLL</v>
      </c>
      <c r="S570" s="13" t="str">
        <f>_xlfn.CONCAT(K570,L570,M570,N570,O570)</f>
        <v>WLWDD</v>
      </c>
      <c r="T570" s="13" t="str">
        <f>_xlfn.CONCAT(R570,"***",S570)</f>
        <v>DWWLL***WLWDD</v>
      </c>
      <c r="U570" s="19">
        <f>(P570-Q570)</f>
        <v>-1</v>
      </c>
      <c r="V570" s="14">
        <v>2</v>
      </c>
      <c r="W570" s="14">
        <v>2</v>
      </c>
      <c r="X570" s="20" t="str">
        <f>IF(ISBLANK(V570),"",IF(V570&gt;W570,"1",IF(V570&lt;W570,"2",IF(V570=W570,"X"))))</f>
        <v>X</v>
      </c>
      <c r="Y570" s="23" t="str">
        <f>COUNTIF(F570:J570, "W")&amp;COUNTIF(F570:J570, "d")&amp;COUNTIF(F570:J570, "l")</f>
        <v>212</v>
      </c>
      <c r="Z570" s="13" t="str">
        <f>COUNTIF(K570:O570, "W")&amp;COUNTIF(K570:O570, "d")&amp;COUNTIF(K570:O570, "l")</f>
        <v>221</v>
      </c>
      <c r="AA570" s="23" t="str">
        <f>_xlfn.CONCAT(Y570,"-",Z570)</f>
        <v>212-221</v>
      </c>
      <c r="AB570" s="15" t="str">
        <f>_xlfn.CONCAT(AA570,"…",TEXT(U570,"+00;-00;+00;"))</f>
        <v>212-221…-01</v>
      </c>
      <c r="AC570" s="23" t="str">
        <f>_xlfn.CONCAT(TEXT(P570,"+00;-00;+00;"),"…",TEXT(Q570,"+00;-00;+00;"))</f>
        <v>+05…+06</v>
      </c>
      <c r="AD570" s="14" t="str">
        <f>IF(X570="","?","")</f>
        <v/>
      </c>
      <c r="AE570" s="15" t="str">
        <f>_xlfn.CONCAT(AA570,"…",TEXT(P570,"+00;-00;+00;"),"...",TEXT(Q570,"+00;-00;+00;"))</f>
        <v>212-221…+05...+06</v>
      </c>
      <c r="AF570" s="13" t="str">
        <f>_xlfn.CONCAT(R570,"…",TEXT(P570,"+00;-00;+00;"),"...",TEXT(Q570,"+00;-00;+00;"))</f>
        <v>DWWLL…+05...+06</v>
      </c>
    </row>
    <row r="571" spans="1:32" x14ac:dyDescent="0.25">
      <c r="A571" s="13" t="s">
        <v>916</v>
      </c>
      <c r="B571" s="13" t="s">
        <v>117</v>
      </c>
      <c r="C571" s="14" t="s">
        <v>33</v>
      </c>
      <c r="D571" s="13" t="s">
        <v>157</v>
      </c>
      <c r="E571" s="13" t="s">
        <v>919</v>
      </c>
      <c r="F571" s="13" t="s">
        <v>30</v>
      </c>
      <c r="G571" s="13" t="s">
        <v>29</v>
      </c>
      <c r="H571" s="13" t="s">
        <v>31</v>
      </c>
      <c r="I571" s="13" t="s">
        <v>30</v>
      </c>
      <c r="J571" s="13" t="s">
        <v>30</v>
      </c>
      <c r="K571" s="13" t="s">
        <v>31</v>
      </c>
      <c r="L571" s="13" t="s">
        <v>29</v>
      </c>
      <c r="M571" s="13" t="s">
        <v>31</v>
      </c>
      <c r="N571" s="13" t="s">
        <v>30</v>
      </c>
      <c r="O571" s="13" t="s">
        <v>31</v>
      </c>
      <c r="P571" s="16">
        <v>16</v>
      </c>
      <c r="Q571" s="16">
        <v>7</v>
      </c>
      <c r="R571" s="13" t="str">
        <f>_xlfn.CONCAT(F571,G571,H571,I571,J571)</f>
        <v>WDLWW</v>
      </c>
      <c r="S571" s="13" t="str">
        <f>_xlfn.CONCAT(K571,L571,M571,N571,O571)</f>
        <v>LDLWL</v>
      </c>
      <c r="T571" s="13" t="str">
        <f>_xlfn.CONCAT(R571,"***",S571)</f>
        <v>WDLWW***LDLWL</v>
      </c>
      <c r="U571" s="21">
        <f>(P571-Q571)</f>
        <v>9</v>
      </c>
      <c r="V571" s="14">
        <v>3</v>
      </c>
      <c r="W571" s="14">
        <v>3</v>
      </c>
      <c r="X571" s="20" t="str">
        <f>IF(ISBLANK(V571),"",IF(V571&gt;W571,"1",IF(V571&lt;W571,"2",IF(V571=W571,"X"))))</f>
        <v>X</v>
      </c>
      <c r="Y571" s="23" t="str">
        <f>COUNTIF(F571:J571, "W")&amp;COUNTIF(F571:J571, "d")&amp;COUNTIF(F571:J571, "l")</f>
        <v>311</v>
      </c>
      <c r="Z571" s="13" t="str">
        <f>COUNTIF(K571:O571, "W")&amp;COUNTIF(K571:O571, "d")&amp;COUNTIF(K571:O571, "l")</f>
        <v>113</v>
      </c>
      <c r="AA571" s="23" t="str">
        <f>_xlfn.CONCAT(Y571,"-",Z571)</f>
        <v>311-113</v>
      </c>
      <c r="AB571" s="13" t="str">
        <f>_xlfn.CONCAT(AA571,"…",TEXT(U571,"+00;-00;+00;"))</f>
        <v>311-113…+09</v>
      </c>
      <c r="AC571" s="23" t="str">
        <f>_xlfn.CONCAT(TEXT(P571,"+00;-00;+00;"),"…",TEXT(Q571,"+00;-00;+00;"))</f>
        <v>+16…+07</v>
      </c>
      <c r="AD571" s="14" t="str">
        <f>IF(X571="","?","")</f>
        <v/>
      </c>
      <c r="AE571" s="15" t="str">
        <f>_xlfn.CONCAT(AA571,"…",TEXT(P571,"+00;-00;+00;"),"...",TEXT(Q571,"+00;-00;+00;"))</f>
        <v>311-113…+16...+07</v>
      </c>
      <c r="AF571" s="13" t="str">
        <f>_xlfn.CONCAT(R571,"…",TEXT(P571,"+00;-00;+00;"),"...",TEXT(Q571,"+00;-00;+00;"))</f>
        <v>WDLWW…+16...+07</v>
      </c>
    </row>
    <row r="572" spans="1:32" x14ac:dyDescent="0.25">
      <c r="A572" s="13" t="s">
        <v>916</v>
      </c>
      <c r="B572" s="13" t="s">
        <v>117</v>
      </c>
      <c r="C572" s="14" t="s">
        <v>33</v>
      </c>
      <c r="D572" s="13" t="s">
        <v>153</v>
      </c>
      <c r="E572" s="13" t="s">
        <v>671</v>
      </c>
      <c r="F572" s="13" t="s">
        <v>30</v>
      </c>
      <c r="G572" s="13" t="s">
        <v>29</v>
      </c>
      <c r="H572" s="13" t="s">
        <v>30</v>
      </c>
      <c r="I572" s="13" t="s">
        <v>30</v>
      </c>
      <c r="J572" s="13" t="s">
        <v>29</v>
      </c>
      <c r="K572" s="13" t="s">
        <v>30</v>
      </c>
      <c r="L572" s="13" t="s">
        <v>29</v>
      </c>
      <c r="M572" s="13" t="s">
        <v>31</v>
      </c>
      <c r="N572" s="13" t="s">
        <v>30</v>
      </c>
      <c r="O572" s="13" t="s">
        <v>30</v>
      </c>
      <c r="P572" s="16">
        <v>4</v>
      </c>
      <c r="Q572" s="16">
        <v>2</v>
      </c>
      <c r="R572" s="13" t="str">
        <f>_xlfn.CONCAT(F572,G572,H572,I572,J572)</f>
        <v>WDWWD</v>
      </c>
      <c r="S572" s="13" t="str">
        <f>_xlfn.CONCAT(K572,L572,M572,N572,O572)</f>
        <v>WDLWW</v>
      </c>
      <c r="T572" s="13" t="str">
        <f>_xlfn.CONCAT(R572,"***",S572)</f>
        <v>WDWWD***WDLWW</v>
      </c>
      <c r="U572" s="21">
        <f>(P572-Q572)</f>
        <v>2</v>
      </c>
      <c r="V572" s="14">
        <v>2</v>
      </c>
      <c r="W572" s="14">
        <v>1</v>
      </c>
      <c r="X572" s="20" t="str">
        <f>IF(ISBLANK(V572),"",IF(V572&gt;W572,"1",IF(V572&lt;W572,"2",IF(V572=W572,"X"))))</f>
        <v>1</v>
      </c>
      <c r="Y572" s="23" t="str">
        <f>COUNTIF(F572:J572, "W")&amp;COUNTIF(F572:J572, "d")&amp;COUNTIF(F572:J572, "l")</f>
        <v>320</v>
      </c>
      <c r="Z572" s="13" t="str">
        <f>COUNTIF(K572:O572, "W")&amp;COUNTIF(K572:O572, "d")&amp;COUNTIF(K572:O572, "l")</f>
        <v>311</v>
      </c>
      <c r="AA572" s="23" t="str">
        <f>_xlfn.CONCAT(Y572,"-",Z572)</f>
        <v>320-311</v>
      </c>
      <c r="AB572" s="13" t="str">
        <f>_xlfn.CONCAT(AA572,"…",TEXT(U572,"+00;-00;+00;"))</f>
        <v>320-311…+02</v>
      </c>
      <c r="AC572" s="23" t="str">
        <f>_xlfn.CONCAT(TEXT(P572,"+00;-00;+00;"),"…",TEXT(Q572,"+00;-00;+00;"))</f>
        <v>+04…+02</v>
      </c>
      <c r="AD572" s="14" t="str">
        <f>IF(X572="","?","")</f>
        <v/>
      </c>
      <c r="AE572" s="15" t="str">
        <f>_xlfn.CONCAT(AA572,"…",TEXT(P572,"+00;-00;+00;"),"...",TEXT(Q572,"+00;-00;+00;"))</f>
        <v>320-311…+04...+02</v>
      </c>
      <c r="AF572" s="13" t="str">
        <f>_xlfn.CONCAT(R572,"…",TEXT(P572,"+00;-00;+00;"),"...",TEXT(Q572,"+00;-00;+00;"))</f>
        <v>WDWWD…+04...+02</v>
      </c>
    </row>
    <row r="573" spans="1:32" x14ac:dyDescent="0.25">
      <c r="A573" s="12" t="s">
        <v>986</v>
      </c>
      <c r="B573" s="13" t="s">
        <v>250</v>
      </c>
      <c r="C573" s="14">
        <v>2</v>
      </c>
      <c r="D573" s="13" t="s">
        <v>865</v>
      </c>
      <c r="E573" s="13" t="s">
        <v>1007</v>
      </c>
      <c r="F573" s="15" t="s">
        <v>31</v>
      </c>
      <c r="G573" s="15" t="s">
        <v>31</v>
      </c>
      <c r="H573" s="15" t="s">
        <v>30</v>
      </c>
      <c r="I573" s="15" t="s">
        <v>31</v>
      </c>
      <c r="J573" s="15" t="s">
        <v>29</v>
      </c>
      <c r="K573" s="15" t="s">
        <v>30</v>
      </c>
      <c r="L573" s="15" t="s">
        <v>31</v>
      </c>
      <c r="M573" s="15" t="s">
        <v>31</v>
      </c>
      <c r="N573" s="15" t="s">
        <v>30</v>
      </c>
      <c r="O573" s="15" t="s">
        <v>31</v>
      </c>
      <c r="P573" s="18">
        <v>3</v>
      </c>
      <c r="Q573" s="18">
        <v>-15</v>
      </c>
      <c r="R573" s="15" t="str">
        <f>_xlfn.CONCAT(F573,G573,H573,I573,J573)</f>
        <v>LLWLD</v>
      </c>
      <c r="S573" s="13" t="str">
        <f>_xlfn.CONCAT(K573,L573,M573,N573,O573)</f>
        <v>WLLWL</v>
      </c>
      <c r="T573" s="13" t="str">
        <f>_xlfn.CONCAT(R573,"***",S573)</f>
        <v>LLWLD***WLLWL</v>
      </c>
      <c r="U573" s="19">
        <f>(P573-Q573)</f>
        <v>18</v>
      </c>
      <c r="V573" s="14">
        <v>4</v>
      </c>
      <c r="W573" s="14">
        <v>0</v>
      </c>
      <c r="X573" s="20" t="str">
        <f>IF(ISBLANK(V573),"",IF(V573&gt;W573,"1",IF(V573&lt;W573,"2",IF(V573=W573,"X"))))</f>
        <v>1</v>
      </c>
      <c r="Y573" s="23" t="str">
        <f>COUNTIF(F573:J573, "W")&amp;COUNTIF(F573:J573, "d")&amp;COUNTIF(F573:J573, "l")</f>
        <v>113</v>
      </c>
      <c r="Z573" s="13" t="str">
        <f>COUNTIF(K573:O573, "W")&amp;COUNTIF(K573:O573, "d")&amp;COUNTIF(K573:O573, "l")</f>
        <v>203</v>
      </c>
      <c r="AA573" s="23" t="str">
        <f>_xlfn.CONCAT(Y573,"-",Z573)</f>
        <v>113-203</v>
      </c>
      <c r="AB573" s="15" t="str">
        <f>_xlfn.CONCAT(AA573,"…",TEXT(U573,"+00;-00;+00;"))</f>
        <v>113-203…+18</v>
      </c>
      <c r="AC573" s="23" t="str">
        <f>_xlfn.CONCAT(TEXT(P573,"+00;-00;+00;"),"…",TEXT(Q573,"+00;-00;+00;"))</f>
        <v>+03…-15</v>
      </c>
      <c r="AD573" s="14" t="str">
        <f>IF(X573="","?","")</f>
        <v/>
      </c>
      <c r="AE573" s="15" t="str">
        <f>_xlfn.CONCAT(AA573,"…",TEXT(P573,"+00;-00;+00;"),"...",TEXT(Q573,"+00;-00;+00;"))</f>
        <v>113-203…+03...-15</v>
      </c>
      <c r="AF573" s="13" t="str">
        <f>_xlfn.CONCAT(R573,"…",TEXT(P573,"+00;-00;+00;"),"...",TEXT(Q573,"+00;-00;+00;"))</f>
        <v>LLWLD…+03...-15</v>
      </c>
    </row>
    <row r="574" spans="1:32" x14ac:dyDescent="0.25">
      <c r="A574" s="12" t="s">
        <v>986</v>
      </c>
      <c r="B574" s="13" t="s">
        <v>208</v>
      </c>
      <c r="C574" s="14">
        <v>3</v>
      </c>
      <c r="D574" s="13" t="s">
        <v>1042</v>
      </c>
      <c r="E574" s="13" t="s">
        <v>1043</v>
      </c>
      <c r="F574" s="15" t="s">
        <v>31</v>
      </c>
      <c r="G574" s="15" t="s">
        <v>31</v>
      </c>
      <c r="H574" s="15" t="s">
        <v>31</v>
      </c>
      <c r="I574" s="15" t="s">
        <v>30</v>
      </c>
      <c r="J574" s="15" t="s">
        <v>30</v>
      </c>
      <c r="K574" s="15" t="s">
        <v>30</v>
      </c>
      <c r="L574" s="15" t="s">
        <v>29</v>
      </c>
      <c r="M574" s="15" t="s">
        <v>30</v>
      </c>
      <c r="N574" s="15" t="s">
        <v>30</v>
      </c>
      <c r="O574" s="15" t="s">
        <v>31</v>
      </c>
      <c r="P574" s="18">
        <v>12</v>
      </c>
      <c r="Q574" s="18">
        <v>6</v>
      </c>
      <c r="R574" s="15" t="str">
        <f>_xlfn.CONCAT(F574,G574,H574,I574,J574)</f>
        <v>LLLWW</v>
      </c>
      <c r="S574" s="13" t="str">
        <f>_xlfn.CONCAT(K574,L574,M574,N574,O574)</f>
        <v>WDWWL</v>
      </c>
      <c r="T574" s="13" t="str">
        <f>_xlfn.CONCAT(R574,"***",S574)</f>
        <v>LLLWW***WDWWL</v>
      </c>
      <c r="U574" s="19">
        <f>(P574-Q574)</f>
        <v>6</v>
      </c>
      <c r="V574" s="14">
        <v>2</v>
      </c>
      <c r="W574" s="14">
        <v>1</v>
      </c>
      <c r="X574" s="20" t="str">
        <f>IF(ISBLANK(V574),"",IF(V574&gt;W574,"1",IF(V574&lt;W574,"2",IF(V574=W574,"X"))))</f>
        <v>1</v>
      </c>
      <c r="Y574" s="23" t="str">
        <f>COUNTIF(F574:J574, "W")&amp;COUNTIF(F574:J574, "d")&amp;COUNTIF(F574:J574, "l")</f>
        <v>203</v>
      </c>
      <c r="Z574" s="13" t="str">
        <f>COUNTIF(K574:O574, "W")&amp;COUNTIF(K574:O574, "d")&amp;COUNTIF(K574:O574, "l")</f>
        <v>311</v>
      </c>
      <c r="AA574" s="23" t="str">
        <f>_xlfn.CONCAT(Y574,"-",Z574)</f>
        <v>203-311</v>
      </c>
      <c r="AB574" s="15" t="str">
        <f>_xlfn.CONCAT(AA574,"…",TEXT(U574,"+00;-00;+00;"))</f>
        <v>203-311…+06</v>
      </c>
      <c r="AC574" s="23" t="str">
        <f>_xlfn.CONCAT(TEXT(P574,"+00;-00;+00;"),"…",TEXT(Q574,"+00;-00;+00;"))</f>
        <v>+12…+06</v>
      </c>
      <c r="AD574" s="14" t="str">
        <f>IF(X574="","?","")</f>
        <v/>
      </c>
      <c r="AE574" s="15" t="str">
        <f>_xlfn.CONCAT(AA574,"…",TEXT(P574,"+00;-00;+00;"),"...",TEXT(Q574,"+00;-00;+00;"))</f>
        <v>203-311…+12...+06</v>
      </c>
      <c r="AF574" s="13" t="str">
        <f>_xlfn.CONCAT(R574,"…",TEXT(P574,"+00;-00;+00;"),"...",TEXT(Q574,"+00;-00;+00;"))</f>
        <v>LLLWW…+12...+06</v>
      </c>
    </row>
    <row r="575" spans="1:32" x14ac:dyDescent="0.25">
      <c r="A575" s="12" t="s">
        <v>986</v>
      </c>
      <c r="B575" s="13" t="s">
        <v>250</v>
      </c>
      <c r="C575" s="14">
        <v>1</v>
      </c>
      <c r="D575" s="13" t="s">
        <v>995</v>
      </c>
      <c r="E575" s="13" t="s">
        <v>996</v>
      </c>
      <c r="F575" s="15" t="s">
        <v>29</v>
      </c>
      <c r="G575" s="15" t="s">
        <v>31</v>
      </c>
      <c r="H575" s="15" t="s">
        <v>31</v>
      </c>
      <c r="I575" s="15" t="s">
        <v>30</v>
      </c>
      <c r="J575" s="15" t="s">
        <v>30</v>
      </c>
      <c r="K575" s="15" t="s">
        <v>31</v>
      </c>
      <c r="L575" s="15" t="s">
        <v>31</v>
      </c>
      <c r="M575" s="15" t="s">
        <v>31</v>
      </c>
      <c r="N575" s="15" t="s">
        <v>31</v>
      </c>
      <c r="O575" s="15" t="s">
        <v>29</v>
      </c>
      <c r="P575" s="18">
        <v>-5</v>
      </c>
      <c r="Q575" s="18">
        <v>-5</v>
      </c>
      <c r="R575" s="15" t="str">
        <f>_xlfn.CONCAT(F575,G575,H575,I575,J575)</f>
        <v>DLLWW</v>
      </c>
      <c r="S575" s="13" t="str">
        <f>_xlfn.CONCAT(K575,L575,M575,N575,O575)</f>
        <v>LLLLD</v>
      </c>
      <c r="T575" s="13" t="str">
        <f>_xlfn.CONCAT(R575,"***",S575)</f>
        <v>DLLWW***LLLLD</v>
      </c>
      <c r="U575" s="19">
        <f>(P575-Q575)</f>
        <v>0</v>
      </c>
      <c r="V575" s="14">
        <v>3</v>
      </c>
      <c r="W575" s="14">
        <v>1</v>
      </c>
      <c r="X575" s="20" t="str">
        <f>IF(ISBLANK(V575),"",IF(V575&gt;W575,"1",IF(V575&lt;W575,"2",IF(V575=W575,"X"))))</f>
        <v>1</v>
      </c>
      <c r="Y575" s="23" t="str">
        <f>COUNTIF(F575:J575, "W")&amp;COUNTIF(F575:J575, "d")&amp;COUNTIF(F575:J575, "l")</f>
        <v>212</v>
      </c>
      <c r="Z575" s="13" t="str">
        <f>COUNTIF(K575:O575, "W")&amp;COUNTIF(K575:O575, "d")&amp;COUNTIF(K575:O575, "l")</f>
        <v>014</v>
      </c>
      <c r="AA575" s="23" t="str">
        <f>_xlfn.CONCAT(Y575,"-",Z575)</f>
        <v>212-014</v>
      </c>
      <c r="AB575" s="15" t="str">
        <f>_xlfn.CONCAT(AA575,"…",TEXT(U575,"+00;-00;+00;"))</f>
        <v>212-014…+00</v>
      </c>
      <c r="AC575" s="23" t="str">
        <f>_xlfn.CONCAT(TEXT(P575,"+00;-00;+00;"),"…",TEXT(Q575,"+00;-00;+00;"))</f>
        <v>-05…-05</v>
      </c>
      <c r="AD575" s="14" t="str">
        <f>IF(X575="","?","")</f>
        <v/>
      </c>
      <c r="AE575" s="15" t="str">
        <f>_xlfn.CONCAT(AA575,"…",TEXT(P575,"+00;-00;+00;"),"...",TEXT(Q575,"+00;-00;+00;"))</f>
        <v>212-014…-05...-05</v>
      </c>
      <c r="AF575" s="13" t="str">
        <f>_xlfn.CONCAT(R575,"…",TEXT(P575,"+00;-00;+00;"),"...",TEXT(Q575,"+00;-00;+00;"))</f>
        <v>DLLWW…-05...-05</v>
      </c>
    </row>
    <row r="576" spans="1:32" x14ac:dyDescent="0.25">
      <c r="A576" s="12" t="s">
        <v>1052</v>
      </c>
      <c r="B576" s="13" t="s">
        <v>295</v>
      </c>
      <c r="C576" s="14">
        <v>1</v>
      </c>
      <c r="D576" s="13" t="s">
        <v>686</v>
      </c>
      <c r="E576" s="13" t="s">
        <v>688</v>
      </c>
      <c r="F576" s="15" t="s">
        <v>31</v>
      </c>
      <c r="G576" s="15" t="s">
        <v>31</v>
      </c>
      <c r="H576" s="15" t="s">
        <v>31</v>
      </c>
      <c r="I576" s="15" t="s">
        <v>31</v>
      </c>
      <c r="J576" s="15" t="s">
        <v>29</v>
      </c>
      <c r="K576" s="15" t="s">
        <v>31</v>
      </c>
      <c r="L576" s="15" t="s">
        <v>30</v>
      </c>
      <c r="M576" s="15" t="s">
        <v>31</v>
      </c>
      <c r="N576" s="15" t="s">
        <v>31</v>
      </c>
      <c r="O576" s="15" t="s">
        <v>31</v>
      </c>
      <c r="P576" s="18">
        <v>-22</v>
      </c>
      <c r="Q576" s="18">
        <v>-13</v>
      </c>
      <c r="R576" s="15" t="str">
        <f>_xlfn.CONCAT(F576,G576,H576,I576,J576)</f>
        <v>LLLLD</v>
      </c>
      <c r="S576" s="13" t="str">
        <f>_xlfn.CONCAT(K576,L576,M576,N576,O576)</f>
        <v>LWLLL</v>
      </c>
      <c r="T576" s="13" t="str">
        <f>_xlfn.CONCAT(R576,"***",S576)</f>
        <v>LLLLD***LWLLL</v>
      </c>
      <c r="U576" s="19">
        <f>(P576-Q576)</f>
        <v>-9</v>
      </c>
      <c r="V576" s="14">
        <v>2</v>
      </c>
      <c r="W576" s="14">
        <v>0</v>
      </c>
      <c r="X576" s="20" t="str">
        <f>IF(ISBLANK(V576),"",IF(V576&gt;W576,"1",IF(V576&lt;W576,"2",IF(V576=W576,"X"))))</f>
        <v>1</v>
      </c>
      <c r="Y576" s="23" t="str">
        <f>COUNTIF(F576:J576, "W")&amp;COUNTIF(F576:J576, "d")&amp;COUNTIF(F576:J576, "l")</f>
        <v>014</v>
      </c>
      <c r="Z576" s="13" t="str">
        <f>COUNTIF(K576:O576, "W")&amp;COUNTIF(K576:O576, "d")&amp;COUNTIF(K576:O576, "l")</f>
        <v>104</v>
      </c>
      <c r="AA576" s="23" t="str">
        <f>_xlfn.CONCAT(Y576,"-",Z576)</f>
        <v>014-104</v>
      </c>
      <c r="AB576" s="15" t="str">
        <f>_xlfn.CONCAT(AA576,"…",TEXT(U576,"+00;-00;+00;"))</f>
        <v>014-104…-09</v>
      </c>
      <c r="AC576" s="23" t="str">
        <f>_xlfn.CONCAT(TEXT(P576,"+00;-00;+00;"),"…",TEXT(Q576,"+00;-00;+00;"))</f>
        <v>-22…-13</v>
      </c>
      <c r="AD576" s="14" t="str">
        <f>IF(X576="","?","")</f>
        <v/>
      </c>
      <c r="AE576" s="15" t="str">
        <f>_xlfn.CONCAT(AA576,"…",TEXT(P576,"+00;-00;+00;"),"...",TEXT(Q576,"+00;-00;+00;"))</f>
        <v>014-104…-22...-13</v>
      </c>
      <c r="AF576" s="13" t="str">
        <f>_xlfn.CONCAT(R576,"…",TEXT(P576,"+00;-00;+00;"),"...",TEXT(Q576,"+00;-00;+00;"))</f>
        <v>LLLLD…-22...-13</v>
      </c>
    </row>
    <row r="577" spans="1:32" x14ac:dyDescent="0.25">
      <c r="A577" s="12" t="s">
        <v>1021</v>
      </c>
      <c r="B577" s="13" t="s">
        <v>339</v>
      </c>
      <c r="C577" s="14">
        <v>1</v>
      </c>
      <c r="D577" s="13" t="s">
        <v>602</v>
      </c>
      <c r="E577" s="13" t="s">
        <v>1024</v>
      </c>
      <c r="F577" s="15" t="s">
        <v>31</v>
      </c>
      <c r="G577" s="15" t="s">
        <v>31</v>
      </c>
      <c r="H577" s="15" t="s">
        <v>30</v>
      </c>
      <c r="I577" s="15" t="s">
        <v>30</v>
      </c>
      <c r="J577" s="15" t="s">
        <v>31</v>
      </c>
      <c r="K577" s="15" t="s">
        <v>31</v>
      </c>
      <c r="L577" s="15" t="s">
        <v>29</v>
      </c>
      <c r="M577" s="15" t="s">
        <v>30</v>
      </c>
      <c r="N577" s="15" t="s">
        <v>30</v>
      </c>
      <c r="O577" s="15" t="s">
        <v>29</v>
      </c>
      <c r="P577" s="18">
        <v>-8</v>
      </c>
      <c r="Q577" s="18">
        <v>6</v>
      </c>
      <c r="R577" s="15" t="str">
        <f>_xlfn.CONCAT(F577,G577,H577,I577,J577)</f>
        <v>LLWWL</v>
      </c>
      <c r="S577" s="13" t="str">
        <f>_xlfn.CONCAT(K577,L577,M577,N577,O577)</f>
        <v>LDWWD</v>
      </c>
      <c r="T577" s="13" t="str">
        <f>_xlfn.CONCAT(R577,"***",S577)</f>
        <v>LLWWL***LDWWD</v>
      </c>
      <c r="U577" s="19">
        <f>(P577-Q577)</f>
        <v>-14</v>
      </c>
      <c r="V577" s="14">
        <v>1</v>
      </c>
      <c r="W577" s="14">
        <v>3</v>
      </c>
      <c r="X577" s="20" t="str">
        <f>IF(ISBLANK(V577),"",IF(V577&gt;W577,"1",IF(V577&lt;W577,"2",IF(V577=W577,"X"))))</f>
        <v>2</v>
      </c>
      <c r="Y577" s="23" t="str">
        <f>COUNTIF(F577:J577, "W")&amp;COUNTIF(F577:J577, "d")&amp;COUNTIF(F577:J577, "l")</f>
        <v>203</v>
      </c>
      <c r="Z577" s="13" t="str">
        <f>COUNTIF(K577:O577, "W")&amp;COUNTIF(K577:O577, "d")&amp;COUNTIF(K577:O577, "l")</f>
        <v>221</v>
      </c>
      <c r="AA577" s="23" t="str">
        <f>_xlfn.CONCAT(Y577,"-",Z577)</f>
        <v>203-221</v>
      </c>
      <c r="AB577" s="15" t="str">
        <f>_xlfn.CONCAT(AA577,"…",TEXT(U577,"+00;-00;+00;"))</f>
        <v>203-221…-14</v>
      </c>
      <c r="AC577" s="23" t="str">
        <f>_xlfn.CONCAT(TEXT(P577,"+00;-00;+00;"),"…",TEXT(Q577,"+00;-00;+00;"))</f>
        <v>-08…+06</v>
      </c>
      <c r="AD577" s="14" t="str">
        <f>IF(X577="","?","")</f>
        <v/>
      </c>
      <c r="AE577" s="15" t="str">
        <f>_xlfn.CONCAT(AA577,"…",TEXT(P577,"+00;-00;+00;"),"...",TEXT(Q577,"+00;-00;+00;"))</f>
        <v>203-221…-08...+06</v>
      </c>
      <c r="AF577" s="13" t="str">
        <f>_xlfn.CONCAT(R577,"…",TEXT(P577,"+00;-00;+00;"),"...",TEXT(Q577,"+00;-00;+00;"))</f>
        <v>LLWWL…-08...+06</v>
      </c>
    </row>
    <row r="578" spans="1:32" x14ac:dyDescent="0.25">
      <c r="A578" s="12" t="s">
        <v>905</v>
      </c>
      <c r="B578" s="13" t="s">
        <v>7</v>
      </c>
      <c r="C578" s="14" t="s">
        <v>8</v>
      </c>
      <c r="D578" s="13" t="s">
        <v>622</v>
      </c>
      <c r="E578" s="13" t="s">
        <v>1047</v>
      </c>
      <c r="F578" s="15" t="s">
        <v>31</v>
      </c>
      <c r="G578" s="15" t="s">
        <v>29</v>
      </c>
      <c r="H578" s="15" t="s">
        <v>31</v>
      </c>
      <c r="I578" s="15" t="s">
        <v>31</v>
      </c>
      <c r="J578" s="15" t="s">
        <v>31</v>
      </c>
      <c r="K578" s="15" t="s">
        <v>31</v>
      </c>
      <c r="L578" s="15" t="s">
        <v>30</v>
      </c>
      <c r="M578" s="15" t="s">
        <v>30</v>
      </c>
      <c r="N578" s="15" t="s">
        <v>31</v>
      </c>
      <c r="O578" s="15" t="s">
        <v>30</v>
      </c>
      <c r="P578" s="18">
        <v>7</v>
      </c>
      <c r="Q578" s="18">
        <v>15</v>
      </c>
      <c r="R578" s="15" t="str">
        <f>_xlfn.CONCAT(F578,G578,H578,I578,J578)</f>
        <v>LDLLL</v>
      </c>
      <c r="S578" s="13" t="str">
        <f>_xlfn.CONCAT(K578,L578,M578,N578,O578)</f>
        <v>LWWLW</v>
      </c>
      <c r="T578" s="13" t="str">
        <f>_xlfn.CONCAT(R578,"***",S578)</f>
        <v>LDLLL***LWWLW</v>
      </c>
      <c r="U578" s="19">
        <f>(P578-Q578)</f>
        <v>-8</v>
      </c>
      <c r="V578" s="14">
        <v>4</v>
      </c>
      <c r="W578" s="14">
        <v>1</v>
      </c>
      <c r="X578" s="20" t="str">
        <f>IF(ISBLANK(V578),"",IF(V578&gt;W578,"1",IF(V578&lt;W578,"2",IF(V578=W578,"X"))))</f>
        <v>1</v>
      </c>
      <c r="Y578" s="23" t="str">
        <f>COUNTIF(F578:J578, "W")&amp;COUNTIF(F578:J578, "d")&amp;COUNTIF(F578:J578, "l")</f>
        <v>014</v>
      </c>
      <c r="Z578" s="13" t="str">
        <f>COUNTIF(K578:O578, "W")&amp;COUNTIF(K578:O578, "d")&amp;COUNTIF(K578:O578, "l")</f>
        <v>302</v>
      </c>
      <c r="AA578" s="23" t="str">
        <f>_xlfn.CONCAT(Y578,"-",Z578)</f>
        <v>014-302</v>
      </c>
      <c r="AB578" s="15" t="str">
        <f>_xlfn.CONCAT(AA578,"…",TEXT(U578,"+00;-00;+00;"))</f>
        <v>014-302…-08</v>
      </c>
      <c r="AC578" s="23" t="str">
        <f>_xlfn.CONCAT(TEXT(P578,"+00;-00;+00;"),"…",TEXT(Q578,"+00;-00;+00;"))</f>
        <v>+07…+15</v>
      </c>
      <c r="AD578" s="14" t="str">
        <f>IF(X578="","?","")</f>
        <v/>
      </c>
      <c r="AE578" s="15" t="str">
        <f>_xlfn.CONCAT(AA578,"…",TEXT(P578,"+00;-00;+00;"),"...",TEXT(Q578,"+00;-00;+00;"))</f>
        <v>014-302…+07...+15</v>
      </c>
      <c r="AF578" s="13" t="str">
        <f>_xlfn.CONCAT(R578,"…",TEXT(P578,"+00;-00;+00;"),"...",TEXT(Q578,"+00;-00;+00;"))</f>
        <v>LDLLL…+07...+15</v>
      </c>
    </row>
    <row r="579" spans="1:32" x14ac:dyDescent="0.25">
      <c r="A579" s="12" t="s">
        <v>905</v>
      </c>
      <c r="B579" s="13" t="s">
        <v>208</v>
      </c>
      <c r="C579" s="14">
        <v>1</v>
      </c>
      <c r="D579" s="13" t="s">
        <v>211</v>
      </c>
      <c r="E579" s="13" t="s">
        <v>225</v>
      </c>
      <c r="F579" s="15" t="s">
        <v>30</v>
      </c>
      <c r="G579" s="15" t="s">
        <v>31</v>
      </c>
      <c r="H579" s="15" t="s">
        <v>29</v>
      </c>
      <c r="I579" s="15" t="s">
        <v>29</v>
      </c>
      <c r="J579" s="15" t="s">
        <v>31</v>
      </c>
      <c r="K579" s="15" t="s">
        <v>31</v>
      </c>
      <c r="L579" s="15" t="s">
        <v>29</v>
      </c>
      <c r="M579" s="15" t="s">
        <v>29</v>
      </c>
      <c r="N579" s="15" t="s">
        <v>30</v>
      </c>
      <c r="O579" s="15" t="s">
        <v>29</v>
      </c>
      <c r="P579" s="18">
        <v>-14</v>
      </c>
      <c r="Q579" s="18">
        <v>-14</v>
      </c>
      <c r="R579" s="15" t="str">
        <f>_xlfn.CONCAT(F579,G579,H579,I579,J579)</f>
        <v>WLDDL</v>
      </c>
      <c r="S579" s="13" t="str">
        <f>_xlfn.CONCAT(K579,L579,M579,N579,O579)</f>
        <v>LDDWD</v>
      </c>
      <c r="T579" s="13" t="str">
        <f>_xlfn.CONCAT(R579,"***",S579)</f>
        <v>WLDDL***LDDWD</v>
      </c>
      <c r="U579" s="19">
        <f>(P579-Q579)</f>
        <v>0</v>
      </c>
      <c r="V579" s="14">
        <v>0</v>
      </c>
      <c r="W579" s="14">
        <v>0</v>
      </c>
      <c r="X579" s="20" t="str">
        <f>IF(ISBLANK(V579),"",IF(V579&gt;W579,"1",IF(V579&lt;W579,"2",IF(V579=W579,"X"))))</f>
        <v>X</v>
      </c>
      <c r="Y579" s="23" t="str">
        <f>COUNTIF(F579:J579, "W")&amp;COUNTIF(F579:J579, "d")&amp;COUNTIF(F579:J579, "l")</f>
        <v>122</v>
      </c>
      <c r="Z579" s="13" t="str">
        <f>COUNTIF(K579:O579, "W")&amp;COUNTIF(K579:O579, "d")&amp;COUNTIF(K579:O579, "l")</f>
        <v>131</v>
      </c>
      <c r="AA579" s="23" t="str">
        <f>_xlfn.CONCAT(Y579,"-",Z579)</f>
        <v>122-131</v>
      </c>
      <c r="AB579" s="15" t="str">
        <f>_xlfn.CONCAT(AA579,"…",TEXT(U579,"+00;-00;+00;"))</f>
        <v>122-131…+00</v>
      </c>
      <c r="AC579" s="23" t="str">
        <f>_xlfn.CONCAT(TEXT(P579,"+00;-00;+00;"),"…",TEXT(Q579,"+00;-00;+00;"))</f>
        <v>-14…-14</v>
      </c>
      <c r="AD579" s="14" t="str">
        <f>IF(X579="","?","")</f>
        <v/>
      </c>
      <c r="AE579" s="15" t="str">
        <f>_xlfn.CONCAT(AA579,"…",TEXT(P579,"+00;-00;+00;"),"...",TEXT(Q579,"+00;-00;+00;"))</f>
        <v>122-131…-14...-14</v>
      </c>
      <c r="AF579" s="13" t="str">
        <f>_xlfn.CONCAT(R579,"…",TEXT(P579,"+00;-00;+00;"),"...",TEXT(Q579,"+00;-00;+00;"))</f>
        <v>WLDDL…-14...-14</v>
      </c>
    </row>
    <row r="580" spans="1:32" x14ac:dyDescent="0.25">
      <c r="A580" s="13" t="s">
        <v>905</v>
      </c>
      <c r="B580" s="13" t="s">
        <v>414</v>
      </c>
      <c r="C580" s="14">
        <v>1</v>
      </c>
      <c r="D580" s="13" t="s">
        <v>913</v>
      </c>
      <c r="E580" s="13" t="s">
        <v>845</v>
      </c>
      <c r="F580" s="13" t="s">
        <v>30</v>
      </c>
      <c r="G580" s="13" t="s">
        <v>29</v>
      </c>
      <c r="H580" s="13" t="s">
        <v>29</v>
      </c>
      <c r="I580" s="13" t="s">
        <v>30</v>
      </c>
      <c r="J580" s="13" t="s">
        <v>31</v>
      </c>
      <c r="K580" s="13" t="s">
        <v>29</v>
      </c>
      <c r="L580" s="13" t="s">
        <v>29</v>
      </c>
      <c r="M580" s="13" t="s">
        <v>29</v>
      </c>
      <c r="N580" s="13" t="s">
        <v>30</v>
      </c>
      <c r="O580" s="13" t="s">
        <v>29</v>
      </c>
      <c r="P580" s="16">
        <v>16</v>
      </c>
      <c r="Q580" s="16">
        <v>14</v>
      </c>
      <c r="R580" s="13" t="str">
        <f>_xlfn.CONCAT(F580,G580,H580,I580,J580)</f>
        <v>WDDWL</v>
      </c>
      <c r="S580" s="13" t="str">
        <f>_xlfn.CONCAT(K580,L580,M580,N580,O580)</f>
        <v>DDDWD</v>
      </c>
      <c r="T580" s="13" t="str">
        <f>_xlfn.CONCAT(R580,"***",S580)</f>
        <v>WDDWL***DDDWD</v>
      </c>
      <c r="U580" s="21">
        <f>(P580-Q580)</f>
        <v>2</v>
      </c>
      <c r="V580" s="14">
        <v>4</v>
      </c>
      <c r="W580" s="14">
        <v>2</v>
      </c>
      <c r="X580" s="20" t="str">
        <f>IF(ISBLANK(V580),"",IF(V580&gt;W580,"1",IF(V580&lt;W580,"2",IF(V580=W580,"X"))))</f>
        <v>1</v>
      </c>
      <c r="Y580" s="23" t="str">
        <f>COUNTIF(F580:J580, "W")&amp;COUNTIF(F580:J580, "d")&amp;COUNTIF(F580:J580, "l")</f>
        <v>221</v>
      </c>
      <c r="Z580" s="13" t="str">
        <f>COUNTIF(K580:O580, "W")&amp;COUNTIF(K580:O580, "d")&amp;COUNTIF(K580:O580, "l")</f>
        <v>140</v>
      </c>
      <c r="AA580" s="23" t="str">
        <f>_xlfn.CONCAT(Y580,"-",Z580)</f>
        <v>221-140</v>
      </c>
      <c r="AB580" s="13" t="str">
        <f>_xlfn.CONCAT(AA580,"…",TEXT(U580,"+00;-00;+00;"))</f>
        <v>221-140…+02</v>
      </c>
      <c r="AC580" s="23" t="str">
        <f>_xlfn.CONCAT(TEXT(P580,"+00;-00;+00;"),"…",TEXT(Q580,"+00;-00;+00;"))</f>
        <v>+16…+14</v>
      </c>
      <c r="AD580" s="14" t="str">
        <f>IF(X580="","?","")</f>
        <v/>
      </c>
      <c r="AE580" s="15" t="str">
        <f>_xlfn.CONCAT(AA580,"…",TEXT(P580,"+00;-00;+00;"),"...",TEXT(Q580,"+00;-00;+00;"))</f>
        <v>221-140…+16...+14</v>
      </c>
      <c r="AF580" s="13" t="str">
        <f>_xlfn.CONCAT(R580,"…",TEXT(P580,"+00;-00;+00;"),"...",TEXT(Q580,"+00;-00;+00;"))</f>
        <v>WDDWL…+16...+14</v>
      </c>
    </row>
    <row r="581" spans="1:32" x14ac:dyDescent="0.25">
      <c r="A581" s="12" t="s">
        <v>953</v>
      </c>
      <c r="B581" s="13" t="s">
        <v>117</v>
      </c>
      <c r="C581" s="14" t="s">
        <v>0</v>
      </c>
      <c r="D581" s="13" t="s">
        <v>638</v>
      </c>
      <c r="E581" s="13" t="s">
        <v>636</v>
      </c>
      <c r="F581" s="15" t="s">
        <v>31</v>
      </c>
      <c r="G581" s="15" t="s">
        <v>30</v>
      </c>
      <c r="H581" s="15" t="s">
        <v>29</v>
      </c>
      <c r="I581" s="15" t="s">
        <v>31</v>
      </c>
      <c r="J581" s="15" t="s">
        <v>31</v>
      </c>
      <c r="K581" s="15" t="s">
        <v>29</v>
      </c>
      <c r="L581" s="15" t="s">
        <v>30</v>
      </c>
      <c r="M581" s="15" t="s">
        <v>31</v>
      </c>
      <c r="N581" s="15" t="s">
        <v>30</v>
      </c>
      <c r="O581" s="15" t="s">
        <v>29</v>
      </c>
      <c r="P581" s="18">
        <v>-18</v>
      </c>
      <c r="Q581" s="18">
        <v>5</v>
      </c>
      <c r="R581" s="15" t="str">
        <f>_xlfn.CONCAT(F581,G581,H581,I581,J581)</f>
        <v>LWDLL</v>
      </c>
      <c r="S581" s="13" t="str">
        <f>_xlfn.CONCAT(K581,L581,M581,N581,O581)</f>
        <v>DWLWD</v>
      </c>
      <c r="T581" s="13" t="str">
        <f>_xlfn.CONCAT(R581,"***",S581)</f>
        <v>LWDLL***DWLWD</v>
      </c>
      <c r="U581" s="19">
        <f>(P581-Q581)</f>
        <v>-23</v>
      </c>
      <c r="V581" s="14">
        <v>1</v>
      </c>
      <c r="W581" s="14">
        <v>2</v>
      </c>
      <c r="X581" s="20" t="str">
        <f>IF(ISBLANK(V581),"",IF(V581&gt;W581,"1",IF(V581&lt;W581,"2",IF(V581=W581,"X"))))</f>
        <v>2</v>
      </c>
      <c r="Y581" s="23" t="str">
        <f>COUNTIF(F581:J581, "W")&amp;COUNTIF(F581:J581, "d")&amp;COUNTIF(F581:J581, "l")</f>
        <v>113</v>
      </c>
      <c r="Z581" s="13" t="str">
        <f>COUNTIF(K581:O581, "W")&amp;COUNTIF(K581:O581, "d")&amp;COUNTIF(K581:O581, "l")</f>
        <v>221</v>
      </c>
      <c r="AA581" s="23" t="str">
        <f>_xlfn.CONCAT(Y581,"-",Z581)</f>
        <v>113-221</v>
      </c>
      <c r="AB581" s="15" t="str">
        <f>_xlfn.CONCAT(AA581,"…",TEXT(U581,"+00;-00;+00;"))</f>
        <v>113-221…-23</v>
      </c>
      <c r="AC581" s="23" t="str">
        <f>_xlfn.CONCAT(TEXT(P581,"+00;-00;+00;"),"…",TEXT(Q581,"+00;-00;+00;"))</f>
        <v>-18…+05</v>
      </c>
      <c r="AD581" s="14" t="str">
        <f>IF(X581="","?","")</f>
        <v/>
      </c>
      <c r="AE581" s="15" t="str">
        <f>_xlfn.CONCAT(AA581,"…",TEXT(P581,"+00;-00;+00;"),"...",TEXT(Q581,"+00;-00;+00;"))</f>
        <v>113-221…-18...+05</v>
      </c>
      <c r="AF581" s="13" t="str">
        <f>_xlfn.CONCAT(R581,"…",TEXT(P581,"+00;-00;+00;"),"...",TEXT(Q581,"+00;-00;+00;"))</f>
        <v>LWDLL…-18...+05</v>
      </c>
    </row>
    <row r="582" spans="1:32" x14ac:dyDescent="0.25">
      <c r="A582" s="12" t="s">
        <v>973</v>
      </c>
      <c r="B582" s="13" t="s">
        <v>59</v>
      </c>
      <c r="C582" s="14">
        <v>1</v>
      </c>
      <c r="D582" s="13" t="s">
        <v>81</v>
      </c>
      <c r="E582" s="13" t="s">
        <v>728</v>
      </c>
      <c r="F582" s="15" t="s">
        <v>29</v>
      </c>
      <c r="G582" s="15" t="s">
        <v>29</v>
      </c>
      <c r="H582" s="15" t="s">
        <v>31</v>
      </c>
      <c r="I582" s="15" t="s">
        <v>31</v>
      </c>
      <c r="J582" s="15" t="s">
        <v>29</v>
      </c>
      <c r="K582" s="15" t="s">
        <v>29</v>
      </c>
      <c r="L582" s="15" t="s">
        <v>31</v>
      </c>
      <c r="M582" s="15" t="s">
        <v>29</v>
      </c>
      <c r="N582" s="15" t="s">
        <v>31</v>
      </c>
      <c r="O582" s="15" t="s">
        <v>31</v>
      </c>
      <c r="P582" s="18">
        <v>-10</v>
      </c>
      <c r="Q582" s="18">
        <v>-8</v>
      </c>
      <c r="R582" s="15" t="str">
        <f>_xlfn.CONCAT(F582,G582,H582,I582,J582)</f>
        <v>DDLLD</v>
      </c>
      <c r="S582" s="13" t="str">
        <f>_xlfn.CONCAT(K582,L582,M582,N582,O582)</f>
        <v>DLDLL</v>
      </c>
      <c r="T582" s="13" t="str">
        <f>_xlfn.CONCAT(R582,"***",S582)</f>
        <v>DDLLD***DLDLL</v>
      </c>
      <c r="U582" s="19">
        <f>(P582-Q582)</f>
        <v>-2</v>
      </c>
      <c r="V582" s="14">
        <v>1</v>
      </c>
      <c r="W582" s="14">
        <v>1</v>
      </c>
      <c r="X582" s="20" t="str">
        <f>IF(ISBLANK(V582),"",IF(V582&gt;W582,"1",IF(V582&lt;W582,"2",IF(V582=W582,"X"))))</f>
        <v>X</v>
      </c>
      <c r="Y582" s="23" t="str">
        <f>COUNTIF(F582:J582, "W")&amp;COUNTIF(F582:J582, "d")&amp;COUNTIF(F582:J582, "l")</f>
        <v>032</v>
      </c>
      <c r="Z582" s="13" t="str">
        <f>COUNTIF(K582:O582, "W")&amp;COUNTIF(K582:O582, "d")&amp;COUNTIF(K582:O582, "l")</f>
        <v>023</v>
      </c>
      <c r="AA582" s="23" t="str">
        <f>_xlfn.CONCAT(Y582,"-",Z582)</f>
        <v>032-023</v>
      </c>
      <c r="AB582" s="15" t="str">
        <f>_xlfn.CONCAT(AA582,"…",TEXT(U582,"+00;-00;+00;"))</f>
        <v>032-023…-02</v>
      </c>
      <c r="AC582" s="23" t="str">
        <f>_xlfn.CONCAT(TEXT(P582,"+00;-00;+00;"),"…",TEXT(Q582,"+00;-00;+00;"))</f>
        <v>-10…-08</v>
      </c>
      <c r="AD582" s="14" t="str">
        <f>IF(X582="","?","")</f>
        <v/>
      </c>
      <c r="AE582" s="15" t="str">
        <f>_xlfn.CONCAT(AA582,"…",TEXT(P582,"+00;-00;+00;"),"...",TEXT(Q582,"+00;-00;+00;"))</f>
        <v>032-023…-10...-08</v>
      </c>
      <c r="AF582" s="13" t="str">
        <f>_xlfn.CONCAT(R582,"…",TEXT(P582,"+00;-00;+00;"),"...",TEXT(Q582,"+00;-00;+00;"))</f>
        <v>DDLLD…-10...-08</v>
      </c>
    </row>
    <row r="583" spans="1:32" x14ac:dyDescent="0.25">
      <c r="A583" s="12" t="s">
        <v>973</v>
      </c>
      <c r="B583" s="13" t="s">
        <v>59</v>
      </c>
      <c r="C583" s="14">
        <v>2</v>
      </c>
      <c r="D583" s="13" t="s">
        <v>110</v>
      </c>
      <c r="E583" s="13" t="s">
        <v>745</v>
      </c>
      <c r="F583" s="15" t="s">
        <v>31</v>
      </c>
      <c r="G583" s="15" t="s">
        <v>30</v>
      </c>
      <c r="H583" s="15" t="s">
        <v>31</v>
      </c>
      <c r="I583" s="15" t="s">
        <v>29</v>
      </c>
      <c r="J583" s="15" t="s">
        <v>29</v>
      </c>
      <c r="K583" s="15" t="s">
        <v>30</v>
      </c>
      <c r="L583" s="15" t="s">
        <v>29</v>
      </c>
      <c r="M583" s="15" t="s">
        <v>29</v>
      </c>
      <c r="N583" s="15" t="s">
        <v>31</v>
      </c>
      <c r="O583" s="15" t="s">
        <v>31</v>
      </c>
      <c r="P583" s="18">
        <v>8</v>
      </c>
      <c r="Q583" s="18">
        <v>-6</v>
      </c>
      <c r="R583" s="15" t="str">
        <f>_xlfn.CONCAT(F583,G583,H583,I583,J583)</f>
        <v>LWLDD</v>
      </c>
      <c r="S583" s="13" t="str">
        <f>_xlfn.CONCAT(K583,L583,M583,N583,O583)</f>
        <v>WDDLL</v>
      </c>
      <c r="T583" s="13" t="str">
        <f>_xlfn.CONCAT(R583,"***",S583)</f>
        <v>LWLDD***WDDLL</v>
      </c>
      <c r="U583" s="19">
        <f>(P583-Q583)</f>
        <v>14</v>
      </c>
      <c r="V583" s="14">
        <v>2</v>
      </c>
      <c r="W583" s="14">
        <v>2</v>
      </c>
      <c r="X583" s="20" t="str">
        <f>IF(ISBLANK(V583),"",IF(V583&gt;W583,"1",IF(V583&lt;W583,"2",IF(V583=W583,"X"))))</f>
        <v>X</v>
      </c>
      <c r="Y583" s="23" t="str">
        <f>COUNTIF(F583:J583, "W")&amp;COUNTIF(F583:J583, "d")&amp;COUNTIF(F583:J583, "l")</f>
        <v>122</v>
      </c>
      <c r="Z583" s="13" t="str">
        <f>COUNTIF(K583:O583, "W")&amp;COUNTIF(K583:O583, "d")&amp;COUNTIF(K583:O583, "l")</f>
        <v>122</v>
      </c>
      <c r="AA583" s="23" t="str">
        <f>_xlfn.CONCAT(Y583,"-",Z583)</f>
        <v>122-122</v>
      </c>
      <c r="AB583" s="15" t="str">
        <f>_xlfn.CONCAT(AA583,"…",TEXT(U583,"+00;-00;+00;"))</f>
        <v>122-122…+14</v>
      </c>
      <c r="AC583" s="23" t="str">
        <f>_xlfn.CONCAT(TEXT(P583,"+00;-00;+00;"),"…",TEXT(Q583,"+00;-00;+00;"))</f>
        <v>+08…-06</v>
      </c>
      <c r="AD583" s="14" t="str">
        <f>IF(X583="","?","")</f>
        <v/>
      </c>
      <c r="AE583" s="15" t="str">
        <f>_xlfn.CONCAT(AA583,"…",TEXT(P583,"+00;-00;+00;"),"...",TEXT(Q583,"+00;-00;+00;"))</f>
        <v>122-122…+08...-06</v>
      </c>
      <c r="AF583" s="13" t="str">
        <f>_xlfn.CONCAT(R583,"…",TEXT(P583,"+00;-00;+00;"),"...",TEXT(Q583,"+00;-00;+00;"))</f>
        <v>LWLDD…+08...-06</v>
      </c>
    </row>
    <row r="584" spans="1:32" x14ac:dyDescent="0.25">
      <c r="A584" s="12" t="s">
        <v>973</v>
      </c>
      <c r="B584" s="13" t="s">
        <v>59</v>
      </c>
      <c r="C584" s="14">
        <v>2</v>
      </c>
      <c r="D584" s="13" t="s">
        <v>742</v>
      </c>
      <c r="E584" s="13" t="s">
        <v>738</v>
      </c>
      <c r="F584" s="15" t="s">
        <v>31</v>
      </c>
      <c r="G584" s="15" t="s">
        <v>29</v>
      </c>
      <c r="H584" s="15" t="s">
        <v>29</v>
      </c>
      <c r="I584" s="15" t="s">
        <v>30</v>
      </c>
      <c r="J584" s="15" t="s">
        <v>30</v>
      </c>
      <c r="K584" s="15" t="s">
        <v>31</v>
      </c>
      <c r="L584" s="15" t="s">
        <v>31</v>
      </c>
      <c r="M584" s="15" t="s">
        <v>29</v>
      </c>
      <c r="N584" s="15" t="s">
        <v>30</v>
      </c>
      <c r="O584" s="15" t="s">
        <v>30</v>
      </c>
      <c r="P584" s="18">
        <v>18</v>
      </c>
      <c r="Q584" s="18">
        <v>-5</v>
      </c>
      <c r="R584" s="15" t="str">
        <f>_xlfn.CONCAT(F584,G584,H584,I584,J584)</f>
        <v>LDDWW</v>
      </c>
      <c r="S584" s="13" t="str">
        <f>_xlfn.CONCAT(K584,L584,M584,N584,O584)</f>
        <v>LLDWW</v>
      </c>
      <c r="T584" s="13" t="str">
        <f>_xlfn.CONCAT(R584,"***",S584)</f>
        <v>LDDWW***LLDWW</v>
      </c>
      <c r="U584" s="19">
        <f>(P584-Q584)</f>
        <v>23</v>
      </c>
      <c r="V584" s="14">
        <v>1</v>
      </c>
      <c r="W584" s="14">
        <v>1</v>
      </c>
      <c r="X584" s="20" t="str">
        <f>IF(ISBLANK(V584),"",IF(V584&gt;W584,"1",IF(V584&lt;W584,"2",IF(V584=W584,"X"))))</f>
        <v>X</v>
      </c>
      <c r="Y584" s="23" t="str">
        <f>COUNTIF(F584:J584, "W")&amp;COUNTIF(F584:J584, "d")&amp;COUNTIF(F584:J584, "l")</f>
        <v>221</v>
      </c>
      <c r="Z584" s="13" t="str">
        <f>COUNTIF(K584:O584, "W")&amp;COUNTIF(K584:O584, "d")&amp;COUNTIF(K584:O584, "l")</f>
        <v>212</v>
      </c>
      <c r="AA584" s="23" t="str">
        <f>_xlfn.CONCAT(Y584,"-",Z584)</f>
        <v>221-212</v>
      </c>
      <c r="AB584" s="15" t="str">
        <f>_xlfn.CONCAT(AA584,"…",TEXT(U584,"+00;-00;+00;"))</f>
        <v>221-212…+23</v>
      </c>
      <c r="AC584" s="23" t="str">
        <f>_xlfn.CONCAT(TEXT(P584,"+00;-00;+00;"),"…",TEXT(Q584,"+00;-00;+00;"))</f>
        <v>+18…-05</v>
      </c>
      <c r="AD584" s="14" t="str">
        <f>IF(X584="","?","")</f>
        <v/>
      </c>
      <c r="AE584" s="15" t="str">
        <f>_xlfn.CONCAT(AA584,"…",TEXT(P584,"+00;-00;+00;"),"...",TEXT(Q584,"+00;-00;+00;"))</f>
        <v>221-212…+18...-05</v>
      </c>
      <c r="AF584" s="13" t="str">
        <f>_xlfn.CONCAT(R584,"…",TEXT(P584,"+00;-00;+00;"),"...",TEXT(Q584,"+00;-00;+00;"))</f>
        <v>LDDWW…+18...-05</v>
      </c>
    </row>
    <row r="585" spans="1:32" x14ac:dyDescent="0.25">
      <c r="A585" s="12" t="s">
        <v>973</v>
      </c>
      <c r="B585" s="13" t="s">
        <v>318</v>
      </c>
      <c r="C585" s="14">
        <v>1</v>
      </c>
      <c r="D585" s="13" t="s">
        <v>335</v>
      </c>
      <c r="E585" s="13" t="s">
        <v>328</v>
      </c>
      <c r="F585" s="15" t="s">
        <v>30</v>
      </c>
      <c r="G585" s="15" t="s">
        <v>30</v>
      </c>
      <c r="H585" s="15" t="s">
        <v>29</v>
      </c>
      <c r="I585" s="15" t="s">
        <v>30</v>
      </c>
      <c r="J585" s="15" t="s">
        <v>30</v>
      </c>
      <c r="K585" s="15" t="s">
        <v>31</v>
      </c>
      <c r="L585" s="15" t="s">
        <v>30</v>
      </c>
      <c r="M585" s="15" t="s">
        <v>31</v>
      </c>
      <c r="N585" s="15" t="s">
        <v>29</v>
      </c>
      <c r="O585" s="15" t="s">
        <v>31</v>
      </c>
      <c r="P585" s="18">
        <v>15</v>
      </c>
      <c r="Q585" s="18">
        <v>-7</v>
      </c>
      <c r="R585" s="15" t="str">
        <f>_xlfn.CONCAT(F585,G585,H585,I585,J585)</f>
        <v>WWDWW</v>
      </c>
      <c r="S585" s="13" t="str">
        <f>_xlfn.CONCAT(K585,L585,M585,N585,O585)</f>
        <v>LWLDL</v>
      </c>
      <c r="T585" s="13" t="str">
        <f>_xlfn.CONCAT(R585,"***",S585)</f>
        <v>WWDWW***LWLDL</v>
      </c>
      <c r="U585" s="19">
        <f>(P585-Q585)</f>
        <v>22</v>
      </c>
      <c r="V585" s="14">
        <v>2</v>
      </c>
      <c r="W585" s="14">
        <v>2</v>
      </c>
      <c r="X585" s="20" t="str">
        <f>IF(ISBLANK(V585),"",IF(V585&gt;W585,"1",IF(V585&lt;W585,"2",IF(V585=W585,"X"))))</f>
        <v>X</v>
      </c>
      <c r="Y585" s="23" t="str">
        <f>COUNTIF(F585:J585, "W")&amp;COUNTIF(F585:J585, "d")&amp;COUNTIF(F585:J585, "l")</f>
        <v>410</v>
      </c>
      <c r="Z585" s="13" t="str">
        <f>COUNTIF(K585:O585, "W")&amp;COUNTIF(K585:O585, "d")&amp;COUNTIF(K585:O585, "l")</f>
        <v>113</v>
      </c>
      <c r="AA585" s="23" t="str">
        <f>_xlfn.CONCAT(Y585,"-",Z585)</f>
        <v>410-113</v>
      </c>
      <c r="AB585" s="15" t="str">
        <f>_xlfn.CONCAT(AA585,"…",TEXT(U585,"+00;-00;+00;"))</f>
        <v>410-113…+22</v>
      </c>
      <c r="AC585" s="23" t="str">
        <f>_xlfn.CONCAT(TEXT(P585,"+00;-00;+00;"),"…",TEXT(Q585,"+00;-00;+00;"))</f>
        <v>+15…-07</v>
      </c>
      <c r="AD585" s="14" t="str">
        <f>IF(X585="","?","")</f>
        <v/>
      </c>
      <c r="AE585" s="15" t="str">
        <f>_xlfn.CONCAT(AA585,"…",TEXT(P585,"+00;-00;+00;"),"...",TEXT(Q585,"+00;-00;+00;"))</f>
        <v>410-113…+15...-07</v>
      </c>
      <c r="AF585" s="13" t="str">
        <f>_xlfn.CONCAT(R585,"…",TEXT(P585,"+00;-00;+00;"),"...",TEXT(Q585,"+00;-00;+00;"))</f>
        <v>WWDWW…+15...-07</v>
      </c>
    </row>
    <row r="586" spans="1:32" x14ac:dyDescent="0.25">
      <c r="A586" s="12" t="s">
        <v>987</v>
      </c>
      <c r="B586" s="13" t="s">
        <v>250</v>
      </c>
      <c r="C586" s="14">
        <v>1</v>
      </c>
      <c r="D586" s="13" t="s">
        <v>997</v>
      </c>
      <c r="E586" s="13" t="s">
        <v>998</v>
      </c>
      <c r="F586" s="15" t="s">
        <v>30</v>
      </c>
      <c r="G586" s="15" t="s">
        <v>31</v>
      </c>
      <c r="H586" s="15" t="s">
        <v>31</v>
      </c>
      <c r="I586" s="15" t="s">
        <v>31</v>
      </c>
      <c r="J586" s="15" t="s">
        <v>31</v>
      </c>
      <c r="K586" s="15" t="s">
        <v>29</v>
      </c>
      <c r="L586" s="15" t="s">
        <v>29</v>
      </c>
      <c r="M586" s="15" t="s">
        <v>30</v>
      </c>
      <c r="N586" s="15" t="s">
        <v>31</v>
      </c>
      <c r="O586" s="15" t="s">
        <v>31</v>
      </c>
      <c r="P586" s="18">
        <v>-4</v>
      </c>
      <c r="Q586" s="18">
        <v>-7</v>
      </c>
      <c r="R586" s="15" t="str">
        <f>_xlfn.CONCAT(F586,G586,H586,I586,J586)</f>
        <v>WLLLL</v>
      </c>
      <c r="S586" s="13" t="str">
        <f>_xlfn.CONCAT(K586,L586,M586,N586,O586)</f>
        <v>DDWLL</v>
      </c>
      <c r="T586" s="13" t="str">
        <f>_xlfn.CONCAT(R586,"***",S586)</f>
        <v>WLLLL***DDWLL</v>
      </c>
      <c r="U586" s="19">
        <f>(P586-Q586)</f>
        <v>3</v>
      </c>
      <c r="V586" s="14">
        <v>2</v>
      </c>
      <c r="W586" s="14">
        <v>2</v>
      </c>
      <c r="X586" s="20" t="str">
        <f>IF(ISBLANK(V586),"",IF(V586&gt;W586,"1",IF(V586&lt;W586,"2",IF(V586=W586,"X"))))</f>
        <v>X</v>
      </c>
      <c r="Y586" s="23" t="str">
        <f>COUNTIF(F586:J586, "W")&amp;COUNTIF(F586:J586, "d")&amp;COUNTIF(F586:J586, "l")</f>
        <v>104</v>
      </c>
      <c r="Z586" s="13" t="str">
        <f>COUNTIF(K586:O586, "W")&amp;COUNTIF(K586:O586, "d")&amp;COUNTIF(K586:O586, "l")</f>
        <v>122</v>
      </c>
      <c r="AA586" s="23" t="str">
        <f>_xlfn.CONCAT(Y586,"-",Z586)</f>
        <v>104-122</v>
      </c>
      <c r="AB586" s="15" t="str">
        <f>_xlfn.CONCAT(AA586,"…",TEXT(U586,"+00;-00;+00;"))</f>
        <v>104-122…+03</v>
      </c>
      <c r="AC586" s="23" t="str">
        <f>_xlfn.CONCAT(TEXT(P586,"+00;-00;+00;"),"…",TEXT(Q586,"+00;-00;+00;"))</f>
        <v>-04…-07</v>
      </c>
      <c r="AD586" s="14" t="str">
        <f>IF(X586="","?","")</f>
        <v/>
      </c>
      <c r="AE586" s="15" t="str">
        <f>_xlfn.CONCAT(AA586,"…",TEXT(P586,"+00;-00;+00;"),"...",TEXT(Q586,"+00;-00;+00;"))</f>
        <v>104-122…-04...-07</v>
      </c>
      <c r="AF586" s="13" t="str">
        <f>_xlfn.CONCAT(R586,"…",TEXT(P586,"+00;-00;+00;"),"...",TEXT(Q586,"+00;-00;+00;"))</f>
        <v>WLLLL…-04...-07</v>
      </c>
    </row>
    <row r="587" spans="1:32" x14ac:dyDescent="0.25">
      <c r="A587" s="12" t="s">
        <v>974</v>
      </c>
      <c r="B587" s="13" t="s">
        <v>318</v>
      </c>
      <c r="C587" s="14">
        <v>1</v>
      </c>
      <c r="D587" s="13" t="s">
        <v>977</v>
      </c>
      <c r="E587" s="13" t="s">
        <v>762</v>
      </c>
      <c r="F587" s="15" t="s">
        <v>29</v>
      </c>
      <c r="G587" s="15" t="s">
        <v>30</v>
      </c>
      <c r="H587" s="15" t="s">
        <v>31</v>
      </c>
      <c r="I587" s="15" t="s">
        <v>31</v>
      </c>
      <c r="J587" s="15" t="s">
        <v>31</v>
      </c>
      <c r="K587" s="15" t="s">
        <v>30</v>
      </c>
      <c r="L587" s="15" t="s">
        <v>29</v>
      </c>
      <c r="M587" s="15" t="s">
        <v>30</v>
      </c>
      <c r="N587" s="15" t="s">
        <v>30</v>
      </c>
      <c r="O587" s="15" t="s">
        <v>30</v>
      </c>
      <c r="P587" s="18">
        <v>-8</v>
      </c>
      <c r="Q587" s="18">
        <v>20</v>
      </c>
      <c r="R587" s="15" t="str">
        <f>_xlfn.CONCAT(F587,G587,H587,I587,J587)</f>
        <v>DWLLL</v>
      </c>
      <c r="S587" s="13" t="str">
        <f>_xlfn.CONCAT(K587,L587,M587,N587,O587)</f>
        <v>WDWWW</v>
      </c>
      <c r="T587" s="13" t="str">
        <f>_xlfn.CONCAT(R587,"***",S587)</f>
        <v>DWLLL***WDWWW</v>
      </c>
      <c r="U587" s="19">
        <f>(P587-Q587)</f>
        <v>-28</v>
      </c>
      <c r="V587" s="14">
        <v>1</v>
      </c>
      <c r="W587" s="14">
        <v>3</v>
      </c>
      <c r="X587" s="20" t="str">
        <f>IF(ISBLANK(V587),"",IF(V587&gt;W587,"1",IF(V587&lt;W587,"2",IF(V587=W587,"X"))))</f>
        <v>2</v>
      </c>
      <c r="Y587" s="23" t="str">
        <f>COUNTIF(F587:J587, "W")&amp;COUNTIF(F587:J587, "d")&amp;COUNTIF(F587:J587, "l")</f>
        <v>113</v>
      </c>
      <c r="Z587" s="13" t="str">
        <f>COUNTIF(K587:O587, "W")&amp;COUNTIF(K587:O587, "d")&amp;COUNTIF(K587:O587, "l")</f>
        <v>410</v>
      </c>
      <c r="AA587" s="23" t="str">
        <f>_xlfn.CONCAT(Y587,"-",Z587)</f>
        <v>113-410</v>
      </c>
      <c r="AB587" s="15" t="str">
        <f>_xlfn.CONCAT(AA587,"…",TEXT(U587,"+00;-00;+00;"))</f>
        <v>113-410…-28</v>
      </c>
      <c r="AC587" s="23" t="str">
        <f>_xlfn.CONCAT(TEXT(P587,"+00;-00;+00;"),"…",TEXT(Q587,"+00;-00;+00;"))</f>
        <v>-08…+20</v>
      </c>
      <c r="AD587" s="14" t="str">
        <f>IF(X587="","?","")</f>
        <v/>
      </c>
      <c r="AE587" s="15" t="str">
        <f>_xlfn.CONCAT(AA587,"…",TEXT(P587,"+00;-00;+00;"),"...",TEXT(Q587,"+00;-00;+00;"))</f>
        <v>113-410…-08...+20</v>
      </c>
      <c r="AF587" s="13" t="str">
        <f>_xlfn.CONCAT(R587,"…",TEXT(P587,"+00;-00;+00;"),"...",TEXT(Q587,"+00;-00;+00;"))</f>
        <v>DWLLL…-08...+20</v>
      </c>
    </row>
    <row r="588" spans="1:32" x14ac:dyDescent="0.25">
      <c r="A588" s="12" t="s">
        <v>1027</v>
      </c>
      <c r="B588" s="13" t="s">
        <v>208</v>
      </c>
      <c r="C588" s="14">
        <v>3</v>
      </c>
      <c r="D588" s="13" t="s">
        <v>1044</v>
      </c>
      <c r="E588" s="13" t="s">
        <v>1045</v>
      </c>
      <c r="F588" s="15" t="s">
        <v>29</v>
      </c>
      <c r="G588" s="15" t="s">
        <v>29</v>
      </c>
      <c r="H588" s="15" t="s">
        <v>29</v>
      </c>
      <c r="I588" s="15" t="s">
        <v>30</v>
      </c>
      <c r="J588" s="15" t="s">
        <v>31</v>
      </c>
      <c r="K588" s="15" t="s">
        <v>30</v>
      </c>
      <c r="L588" s="15" t="s">
        <v>30</v>
      </c>
      <c r="M588" s="15" t="s">
        <v>30</v>
      </c>
      <c r="N588" s="15" t="s">
        <v>30</v>
      </c>
      <c r="O588" s="15" t="s">
        <v>30</v>
      </c>
      <c r="P588" s="18">
        <v>3</v>
      </c>
      <c r="Q588" s="18">
        <v>11</v>
      </c>
      <c r="R588" s="15" t="str">
        <f>_xlfn.CONCAT(F588,G588,H588,I588,J588)</f>
        <v>DDDWL</v>
      </c>
      <c r="S588" s="13" t="str">
        <f>_xlfn.CONCAT(K588,L588,M588,N588,O588)</f>
        <v>WWWWW</v>
      </c>
      <c r="T588" s="13" t="str">
        <f>_xlfn.CONCAT(R588,"***",S588)</f>
        <v>DDDWL***WWWWW</v>
      </c>
      <c r="U588" s="19">
        <f>(P588-Q588)</f>
        <v>-8</v>
      </c>
      <c r="V588" s="14">
        <v>3</v>
      </c>
      <c r="W588" s="14">
        <v>1</v>
      </c>
      <c r="X588" s="20" t="str">
        <f>IF(ISBLANK(V588),"",IF(V588&gt;W588,"1",IF(V588&lt;W588,"2",IF(V588=W588,"X"))))</f>
        <v>1</v>
      </c>
      <c r="Y588" s="23" t="str">
        <f>COUNTIF(F588:J588, "W")&amp;COUNTIF(F588:J588, "d")&amp;COUNTIF(F588:J588, "l")</f>
        <v>131</v>
      </c>
      <c r="Z588" s="13" t="str">
        <f>COUNTIF(K588:O588, "W")&amp;COUNTIF(K588:O588, "d")&amp;COUNTIF(K588:O588, "l")</f>
        <v>500</v>
      </c>
      <c r="AA588" s="23" t="str">
        <f>_xlfn.CONCAT(Y588,"-",Z588)</f>
        <v>131-500</v>
      </c>
      <c r="AB588" s="15" t="str">
        <f>_xlfn.CONCAT(AA588,"…",TEXT(U588,"+00;-00;+00;"))</f>
        <v>131-500…-08</v>
      </c>
      <c r="AC588" s="23" t="str">
        <f>_xlfn.CONCAT(TEXT(P588,"+00;-00;+00;"),"…",TEXT(Q588,"+00;-00;+00;"))</f>
        <v>+03…+11</v>
      </c>
      <c r="AD588" s="14" t="str">
        <f>IF(X588="","?","")</f>
        <v/>
      </c>
      <c r="AE588" s="15" t="str">
        <f>_xlfn.CONCAT(AA588,"…",TEXT(P588,"+00;-00;+00;"),"...",TEXT(Q588,"+00;-00;+00;"))</f>
        <v>131-500…+03...+11</v>
      </c>
      <c r="AF588" s="13" t="str">
        <f>_xlfn.CONCAT(R588,"…",TEXT(P588,"+00;-00;+00;"),"...",TEXT(Q588,"+00;-00;+00;"))</f>
        <v>DDDWL…+03...+11</v>
      </c>
    </row>
    <row r="589" spans="1:32" x14ac:dyDescent="0.25">
      <c r="A589" s="12" t="s">
        <v>954</v>
      </c>
      <c r="B589" s="13" t="s">
        <v>117</v>
      </c>
      <c r="C589" s="14" t="s">
        <v>0</v>
      </c>
      <c r="D589" s="13" t="s">
        <v>138</v>
      </c>
      <c r="E589" s="13" t="s">
        <v>958</v>
      </c>
      <c r="F589" s="15" t="s">
        <v>30</v>
      </c>
      <c r="G589" s="15" t="s">
        <v>30</v>
      </c>
      <c r="H589" s="15" t="s">
        <v>29</v>
      </c>
      <c r="I589" s="15" t="s">
        <v>30</v>
      </c>
      <c r="J589" s="15" t="s">
        <v>31</v>
      </c>
      <c r="K589" s="15" t="s">
        <v>30</v>
      </c>
      <c r="L589" s="15" t="s">
        <v>31</v>
      </c>
      <c r="M589" s="15" t="s">
        <v>30</v>
      </c>
      <c r="N589" s="15" t="s">
        <v>31</v>
      </c>
      <c r="O589" s="15" t="s">
        <v>31</v>
      </c>
      <c r="P589" s="18">
        <v>11</v>
      </c>
      <c r="Q589" s="18">
        <v>6</v>
      </c>
      <c r="R589" s="15" t="str">
        <f>_xlfn.CONCAT(F589,G589,H589,I589,J589)</f>
        <v>WWDWL</v>
      </c>
      <c r="S589" s="13" t="str">
        <f>_xlfn.CONCAT(K589,L589,M589,N589,O589)</f>
        <v>WLWLL</v>
      </c>
      <c r="T589" s="13" t="str">
        <f>_xlfn.CONCAT(R589,"***",S589)</f>
        <v>WWDWL***WLWLL</v>
      </c>
      <c r="U589" s="19">
        <f>(P589-Q589)</f>
        <v>5</v>
      </c>
      <c r="V589" s="14">
        <v>1</v>
      </c>
      <c r="W589" s="14">
        <v>1</v>
      </c>
      <c r="X589" s="20" t="str">
        <f>IF(ISBLANK(V589),"",IF(V589&gt;W589,"1",IF(V589&lt;W589,"2",IF(V589=W589,"X"))))</f>
        <v>X</v>
      </c>
      <c r="Y589" s="23" t="str">
        <f>COUNTIF(F589:J589, "W")&amp;COUNTIF(F589:J589, "d")&amp;COUNTIF(F589:J589, "l")</f>
        <v>311</v>
      </c>
      <c r="Z589" s="13" t="str">
        <f>COUNTIF(K589:O589, "W")&amp;COUNTIF(K589:O589, "d")&amp;COUNTIF(K589:O589, "l")</f>
        <v>203</v>
      </c>
      <c r="AA589" s="23" t="str">
        <f>_xlfn.CONCAT(Y589,"-",Z589)</f>
        <v>311-203</v>
      </c>
      <c r="AB589" s="15" t="str">
        <f>_xlfn.CONCAT(AA589,"…",TEXT(U589,"+00;-00;+00;"))</f>
        <v>311-203…+05</v>
      </c>
      <c r="AC589" s="23" t="str">
        <f>_xlfn.CONCAT(TEXT(P589,"+00;-00;+00;"),"…",TEXT(Q589,"+00;-00;+00;"))</f>
        <v>+11…+06</v>
      </c>
      <c r="AD589" s="14" t="str">
        <f>IF(X589="","?","")</f>
        <v/>
      </c>
      <c r="AE589" s="15" t="str">
        <f>_xlfn.CONCAT(AA589,"…",TEXT(P589,"+00;-00;+00;"),"...",TEXT(Q589,"+00;-00;+00;"))</f>
        <v>311-203…+11...+06</v>
      </c>
      <c r="AF589" s="13" t="str">
        <f>_xlfn.CONCAT(R589,"…",TEXT(P589,"+00;-00;+00;"),"...",TEXT(Q589,"+00;-00;+00;"))</f>
        <v>WWDWL…+11...+06</v>
      </c>
    </row>
    <row r="590" spans="1:32" x14ac:dyDescent="0.25">
      <c r="A590" s="12" t="s">
        <v>1009</v>
      </c>
      <c r="B590" s="13" t="s">
        <v>59</v>
      </c>
      <c r="C590" s="14">
        <v>2</v>
      </c>
      <c r="D590" s="13" t="s">
        <v>746</v>
      </c>
      <c r="E590" s="13" t="s">
        <v>105</v>
      </c>
      <c r="F590" s="15" t="s">
        <v>31</v>
      </c>
      <c r="G590" s="15" t="s">
        <v>31</v>
      </c>
      <c r="H590" s="15" t="s">
        <v>30</v>
      </c>
      <c r="I590" s="15" t="s">
        <v>29</v>
      </c>
      <c r="J590" s="15" t="s">
        <v>30</v>
      </c>
      <c r="K590" s="15" t="s">
        <v>30</v>
      </c>
      <c r="L590" s="15" t="s">
        <v>29</v>
      </c>
      <c r="M590" s="15" t="s">
        <v>29</v>
      </c>
      <c r="N590" s="15" t="s">
        <v>30</v>
      </c>
      <c r="O590" s="15" t="s">
        <v>30</v>
      </c>
      <c r="P590" s="18">
        <v>-5</v>
      </c>
      <c r="Q590" s="18">
        <v>4</v>
      </c>
      <c r="R590" s="15" t="str">
        <f>_xlfn.CONCAT(F590,G590,H590,I590,J590)</f>
        <v>LLWDW</v>
      </c>
      <c r="S590" s="13" t="str">
        <f>_xlfn.CONCAT(K590,L590,M590,N590,O590)</f>
        <v>WDDWW</v>
      </c>
      <c r="T590" s="13" t="str">
        <f>_xlfn.CONCAT(R590,"***",S590)</f>
        <v>LLWDW***WDDWW</v>
      </c>
      <c r="U590" s="19">
        <f>(P590-Q590)</f>
        <v>-9</v>
      </c>
      <c r="V590" s="14">
        <v>1</v>
      </c>
      <c r="W590" s="14">
        <v>0</v>
      </c>
      <c r="X590" s="20" t="str">
        <f>IF(ISBLANK(V590),"",IF(V590&gt;W590,"1",IF(V590&lt;W590,"2",IF(V590=W590,"X"))))</f>
        <v>1</v>
      </c>
      <c r="Y590" s="23" t="str">
        <f>COUNTIF(F590:J590, "W")&amp;COUNTIF(F590:J590, "d")&amp;COUNTIF(F590:J590, "l")</f>
        <v>212</v>
      </c>
      <c r="Z590" s="13" t="str">
        <f>COUNTIF(K590:O590, "W")&amp;COUNTIF(K590:O590, "d")&amp;COUNTIF(K590:O590, "l")</f>
        <v>320</v>
      </c>
      <c r="AA590" s="23" t="str">
        <f>_xlfn.CONCAT(Y590,"-",Z590)</f>
        <v>212-320</v>
      </c>
      <c r="AB590" s="15" t="str">
        <f>_xlfn.CONCAT(AA590,"…",TEXT(U590,"+00;-00;+00;"))</f>
        <v>212-320…-09</v>
      </c>
      <c r="AC590" s="23" t="str">
        <f>_xlfn.CONCAT(TEXT(P590,"+00;-00;+00;"),"…",TEXT(Q590,"+00;-00;+00;"))</f>
        <v>-05…+04</v>
      </c>
      <c r="AD590" s="14" t="str">
        <f>IF(X590="","?","")</f>
        <v/>
      </c>
      <c r="AE590" s="15" t="str">
        <f>_xlfn.CONCAT(AA590,"…",TEXT(P590,"+00;-00;+00;"),"...",TEXT(Q590,"+00;-00;+00;"))</f>
        <v>212-320…-05...+04</v>
      </c>
      <c r="AF590" s="13" t="str">
        <f>_xlfn.CONCAT(R590,"…",TEXT(P590,"+00;-00;+00;"),"...",TEXT(Q590,"+00;-00;+00;"))</f>
        <v>LLWDW…-05...+04</v>
      </c>
    </row>
    <row r="591" spans="1:32" x14ac:dyDescent="0.25">
      <c r="A591" s="12" t="s">
        <v>1009</v>
      </c>
      <c r="B591" s="13" t="s">
        <v>59</v>
      </c>
      <c r="C591" s="14">
        <v>1</v>
      </c>
      <c r="D591" s="13" t="s">
        <v>69</v>
      </c>
      <c r="E591" s="13" t="s">
        <v>723</v>
      </c>
      <c r="F591" s="15" t="s">
        <v>30</v>
      </c>
      <c r="G591" s="15" t="s">
        <v>29</v>
      </c>
      <c r="H591" s="15" t="s">
        <v>30</v>
      </c>
      <c r="I591" s="15" t="s">
        <v>30</v>
      </c>
      <c r="J591" s="15" t="s">
        <v>31</v>
      </c>
      <c r="K591" s="15" t="s">
        <v>30</v>
      </c>
      <c r="L591" s="15" t="s">
        <v>29</v>
      </c>
      <c r="M591" s="15" t="s">
        <v>30</v>
      </c>
      <c r="N591" s="15" t="s">
        <v>30</v>
      </c>
      <c r="O591" s="15" t="s">
        <v>30</v>
      </c>
      <c r="P591" s="18">
        <v>14</v>
      </c>
      <c r="Q591" s="18">
        <v>16</v>
      </c>
      <c r="R591" s="15" t="str">
        <f>_xlfn.CONCAT(F591,G591,H591,I591,J591)</f>
        <v>WDWWL</v>
      </c>
      <c r="S591" s="13" t="str">
        <f>_xlfn.CONCAT(K591,L591,M591,N591,O591)</f>
        <v>WDWWW</v>
      </c>
      <c r="T591" s="13" t="str">
        <f>_xlfn.CONCAT(R591,"***",S591)</f>
        <v>WDWWL***WDWWW</v>
      </c>
      <c r="U591" s="19">
        <f>(P591-Q591)</f>
        <v>-2</v>
      </c>
      <c r="V591" s="14">
        <v>2</v>
      </c>
      <c r="W591" s="14">
        <v>4</v>
      </c>
      <c r="X591" s="20" t="str">
        <f>IF(ISBLANK(V591),"",IF(V591&gt;W591,"1",IF(V591&lt;W591,"2",IF(V591=W591,"X"))))</f>
        <v>2</v>
      </c>
      <c r="Y591" s="23" t="str">
        <f>COUNTIF(F591:J591, "W")&amp;COUNTIF(F591:J591, "d")&amp;COUNTIF(F591:J591, "l")</f>
        <v>311</v>
      </c>
      <c r="Z591" s="13" t="str">
        <f>COUNTIF(K591:O591, "W")&amp;COUNTIF(K591:O591, "d")&amp;COUNTIF(K591:O591, "l")</f>
        <v>410</v>
      </c>
      <c r="AA591" s="23" t="str">
        <f>_xlfn.CONCAT(Y591,"-",Z591)</f>
        <v>311-410</v>
      </c>
      <c r="AB591" s="15" t="str">
        <f>_xlfn.CONCAT(AA591,"…",TEXT(U591,"+00;-00;+00;"))</f>
        <v>311-410…-02</v>
      </c>
      <c r="AC591" s="23" t="str">
        <f>_xlfn.CONCAT(TEXT(P591,"+00;-00;+00;"),"…",TEXT(Q591,"+00;-00;+00;"))</f>
        <v>+14…+16</v>
      </c>
      <c r="AD591" s="14" t="str">
        <f>IF(X591="","?","")</f>
        <v/>
      </c>
      <c r="AE591" s="15" t="str">
        <f>_xlfn.CONCAT(AA591,"…",TEXT(P591,"+00;-00;+00;"),"...",TEXT(Q591,"+00;-00;+00;"))</f>
        <v>311-410…+14...+16</v>
      </c>
      <c r="AF591" s="13" t="str">
        <f>_xlfn.CONCAT(R591,"…",TEXT(P591,"+00;-00;+00;"),"...",TEXT(Q591,"+00;-00;+00;"))</f>
        <v>WDWWL…+14...+16</v>
      </c>
    </row>
    <row r="592" spans="1:32" x14ac:dyDescent="0.25">
      <c r="A592" s="12" t="s">
        <v>988</v>
      </c>
      <c r="B592" s="13" t="s">
        <v>250</v>
      </c>
      <c r="C592" s="14">
        <v>1</v>
      </c>
      <c r="D592" s="13" t="s">
        <v>653</v>
      </c>
      <c r="E592" s="13" t="s">
        <v>999</v>
      </c>
      <c r="F592" s="15" t="s">
        <v>31</v>
      </c>
      <c r="G592" s="15" t="s">
        <v>30</v>
      </c>
      <c r="H592" s="15" t="s">
        <v>30</v>
      </c>
      <c r="I592" s="15" t="s">
        <v>31</v>
      </c>
      <c r="J592" s="15" t="s">
        <v>31</v>
      </c>
      <c r="K592" s="15" t="s">
        <v>30</v>
      </c>
      <c r="L592" s="15" t="s">
        <v>31</v>
      </c>
      <c r="M592" s="15" t="s">
        <v>31</v>
      </c>
      <c r="N592" s="15" t="s">
        <v>31</v>
      </c>
      <c r="O592" s="15" t="s">
        <v>30</v>
      </c>
      <c r="P592" s="18">
        <v>-3</v>
      </c>
      <c r="Q592" s="18">
        <v>-16</v>
      </c>
      <c r="R592" s="15" t="str">
        <f>_xlfn.CONCAT(F592,G592,H592,I592,J592)</f>
        <v>LWWLL</v>
      </c>
      <c r="S592" s="13" t="str">
        <f>_xlfn.CONCAT(K592,L592,M592,N592,O592)</f>
        <v>WLLLW</v>
      </c>
      <c r="T592" s="13" t="str">
        <f>_xlfn.CONCAT(R592,"***",S592)</f>
        <v>LWWLL***WLLLW</v>
      </c>
      <c r="U592" s="19">
        <f>(P592-Q592)</f>
        <v>13</v>
      </c>
      <c r="V592" s="14">
        <v>4</v>
      </c>
      <c r="W592" s="14">
        <v>0</v>
      </c>
      <c r="X592" s="20" t="str">
        <f>IF(ISBLANK(V592),"",IF(V592&gt;W592,"1",IF(V592&lt;W592,"2",IF(V592=W592,"X"))))</f>
        <v>1</v>
      </c>
      <c r="Y592" s="23" t="str">
        <f>COUNTIF(F592:J592, "W")&amp;COUNTIF(F592:J592, "d")&amp;COUNTIF(F592:J592, "l")</f>
        <v>203</v>
      </c>
      <c r="Z592" s="13" t="str">
        <f>COUNTIF(K592:O592, "W")&amp;COUNTIF(K592:O592, "d")&amp;COUNTIF(K592:O592, "l")</f>
        <v>203</v>
      </c>
      <c r="AA592" s="23" t="str">
        <f>_xlfn.CONCAT(Y592,"-",Z592)</f>
        <v>203-203</v>
      </c>
      <c r="AB592" s="15" t="str">
        <f>_xlfn.CONCAT(AA592,"…",TEXT(U592,"+00;-00;+00;"))</f>
        <v>203-203…+13</v>
      </c>
      <c r="AC592" s="23" t="str">
        <f>_xlfn.CONCAT(TEXT(P592,"+00;-00;+00;"),"…",TEXT(Q592,"+00;-00;+00;"))</f>
        <v>-03…-16</v>
      </c>
      <c r="AD592" s="14" t="str">
        <f>IF(X592="","?","")</f>
        <v/>
      </c>
      <c r="AE592" s="15" t="str">
        <f>_xlfn.CONCAT(AA592,"…",TEXT(P592,"+00;-00;+00;"),"...",TEXT(Q592,"+00;-00;+00;"))</f>
        <v>203-203…-03...-16</v>
      </c>
      <c r="AF592" s="13" t="str">
        <f>_xlfn.CONCAT(R592,"…",TEXT(P592,"+00;-00;+00;"),"...",TEXT(Q592,"+00;-00;+00;"))</f>
        <v>LWWLL…-03...-16</v>
      </c>
    </row>
    <row r="593" spans="1:32" x14ac:dyDescent="0.25">
      <c r="A593" s="12" t="s">
        <v>1022</v>
      </c>
      <c r="B593" s="13" t="s">
        <v>339</v>
      </c>
      <c r="C593" s="14">
        <v>1</v>
      </c>
      <c r="D593" s="13" t="s">
        <v>1025</v>
      </c>
      <c r="E593" s="13" t="s">
        <v>362</v>
      </c>
      <c r="F593" s="15" t="s">
        <v>29</v>
      </c>
      <c r="G593" s="15" t="s">
        <v>30</v>
      </c>
      <c r="H593" s="15" t="s">
        <v>31</v>
      </c>
      <c r="I593" s="15" t="s">
        <v>29</v>
      </c>
      <c r="J593" s="15" t="s">
        <v>31</v>
      </c>
      <c r="K593" s="15" t="s">
        <v>31</v>
      </c>
      <c r="L593" s="15" t="s">
        <v>29</v>
      </c>
      <c r="M593" s="15" t="s">
        <v>31</v>
      </c>
      <c r="N593" s="15" t="s">
        <v>29</v>
      </c>
      <c r="O593" s="15" t="s">
        <v>30</v>
      </c>
      <c r="P593" s="18">
        <v>-5</v>
      </c>
      <c r="Q593" s="18">
        <v>-7</v>
      </c>
      <c r="R593" s="15" t="str">
        <f>_xlfn.CONCAT(F593,G593,H593,I593,J593)</f>
        <v>DWLDL</v>
      </c>
      <c r="S593" s="13" t="str">
        <f>_xlfn.CONCAT(K593,L593,M593,N593,O593)</f>
        <v>LDLDW</v>
      </c>
      <c r="T593" s="13" t="str">
        <f>_xlfn.CONCAT(R593,"***",S593)</f>
        <v>DWLDL***LDLDW</v>
      </c>
      <c r="U593" s="19">
        <f>(P593-Q593)</f>
        <v>2</v>
      </c>
      <c r="V593" s="14">
        <v>0</v>
      </c>
      <c r="W593" s="14">
        <v>1</v>
      </c>
      <c r="X593" s="20" t="str">
        <f>IF(ISBLANK(V593),"",IF(V593&gt;W593,"1",IF(V593&lt;W593,"2",IF(V593=W593,"X"))))</f>
        <v>2</v>
      </c>
      <c r="Y593" s="23" t="str">
        <f>COUNTIF(F593:J593, "W")&amp;COUNTIF(F593:J593, "d")&amp;COUNTIF(F593:J593, "l")</f>
        <v>122</v>
      </c>
      <c r="Z593" s="13" t="str">
        <f>COUNTIF(K593:O593, "W")&amp;COUNTIF(K593:O593, "d")&amp;COUNTIF(K593:O593, "l")</f>
        <v>122</v>
      </c>
      <c r="AA593" s="23" t="str">
        <f>_xlfn.CONCAT(Y593,"-",Z593)</f>
        <v>122-122</v>
      </c>
      <c r="AB593" s="15" t="str">
        <f>_xlfn.CONCAT(AA593,"…",TEXT(U593,"+00;-00;+00;"))</f>
        <v>122-122…+02</v>
      </c>
      <c r="AC593" s="23" t="str">
        <f>_xlfn.CONCAT(TEXT(P593,"+00;-00;+00;"),"…",TEXT(Q593,"+00;-00;+00;"))</f>
        <v>-05…-07</v>
      </c>
      <c r="AD593" s="14" t="str">
        <f>IF(X593="","?","")</f>
        <v/>
      </c>
      <c r="AE593" s="15" t="str">
        <f>_xlfn.CONCAT(AA593,"…",TEXT(P593,"+00;-00;+00;"),"...",TEXT(Q593,"+00;-00;+00;"))</f>
        <v>122-122…-05...-07</v>
      </c>
      <c r="AF593" s="13" t="str">
        <f>_xlfn.CONCAT(R593,"…",TEXT(P593,"+00;-00;+00;"),"...",TEXT(Q593,"+00;-00;+00;"))</f>
        <v>DWLDL…-05...-07</v>
      </c>
    </row>
    <row r="594" spans="1:32" x14ac:dyDescent="0.25">
      <c r="A594" s="12" t="s">
        <v>1022</v>
      </c>
      <c r="B594" s="13" t="s">
        <v>339</v>
      </c>
      <c r="C594" s="14">
        <v>1</v>
      </c>
      <c r="D594" s="13" t="s">
        <v>347</v>
      </c>
      <c r="E594" s="13" t="s">
        <v>355</v>
      </c>
      <c r="F594" s="15" t="s">
        <v>29</v>
      </c>
      <c r="G594" s="15" t="s">
        <v>30</v>
      </c>
      <c r="H594" s="15" t="s">
        <v>31</v>
      </c>
      <c r="I594" s="15" t="s">
        <v>29</v>
      </c>
      <c r="J594" s="15" t="s">
        <v>30</v>
      </c>
      <c r="K594" s="15" t="s">
        <v>30</v>
      </c>
      <c r="L594" s="15" t="s">
        <v>29</v>
      </c>
      <c r="M594" s="15" t="s">
        <v>30</v>
      </c>
      <c r="N594" s="15" t="s">
        <v>31</v>
      </c>
      <c r="O594" s="15" t="s">
        <v>31</v>
      </c>
      <c r="P594" s="18">
        <v>0</v>
      </c>
      <c r="Q594" s="18">
        <v>-5</v>
      </c>
      <c r="R594" s="15" t="str">
        <f>_xlfn.CONCAT(F594,G594,H594,I594,J594)</f>
        <v>DWLDW</v>
      </c>
      <c r="S594" s="13" t="str">
        <f>_xlfn.CONCAT(K594,L594,M594,N594,O594)</f>
        <v>WDWLL</v>
      </c>
      <c r="T594" s="13" t="str">
        <f>_xlfn.CONCAT(R594,"***",S594)</f>
        <v>DWLDW***WDWLL</v>
      </c>
      <c r="U594" s="19">
        <f>(P594-Q594)</f>
        <v>5</v>
      </c>
      <c r="V594" s="14">
        <v>1</v>
      </c>
      <c r="W594" s="14">
        <v>1</v>
      </c>
      <c r="X594" s="20" t="str">
        <f>IF(ISBLANK(V594),"",IF(V594&gt;W594,"1",IF(V594&lt;W594,"2",IF(V594=W594,"X"))))</f>
        <v>X</v>
      </c>
      <c r="Y594" s="23" t="str">
        <f>COUNTIF(F594:J594, "W")&amp;COUNTIF(F594:J594, "d")&amp;COUNTIF(F594:J594, "l")</f>
        <v>221</v>
      </c>
      <c r="Z594" s="13" t="str">
        <f>COUNTIF(K594:O594, "W")&amp;COUNTIF(K594:O594, "d")&amp;COUNTIF(K594:O594, "l")</f>
        <v>212</v>
      </c>
      <c r="AA594" s="23" t="str">
        <f>_xlfn.CONCAT(Y594,"-",Z594)</f>
        <v>221-212</v>
      </c>
      <c r="AB594" s="15" t="str">
        <f>_xlfn.CONCAT(AA594,"…",TEXT(U594,"+00;-00;+00;"))</f>
        <v>221-212…+05</v>
      </c>
      <c r="AC594" s="23" t="str">
        <f>_xlfn.CONCAT(TEXT(P594,"+00;-00;+00;"),"…",TEXT(Q594,"+00;-00;+00;"))</f>
        <v>+00…-05</v>
      </c>
      <c r="AD594" s="14" t="str">
        <f>IF(X594="","?","")</f>
        <v/>
      </c>
      <c r="AE594" s="15" t="str">
        <f>_xlfn.CONCAT(AA594,"…",TEXT(P594,"+00;-00;+00;"),"...",TEXT(Q594,"+00;-00;+00;"))</f>
        <v>221-212…+00...-05</v>
      </c>
      <c r="AF594" s="13" t="str">
        <f>_xlfn.CONCAT(R594,"…",TEXT(P594,"+00;-00;+00;"),"...",TEXT(Q594,"+00;-00;+00;"))</f>
        <v>DWLDW…+00...-05</v>
      </c>
    </row>
    <row r="595" spans="1:32" x14ac:dyDescent="0.25">
      <c r="A595" s="12" t="s">
        <v>1057</v>
      </c>
      <c r="B595" s="13" t="s">
        <v>117</v>
      </c>
      <c r="C595" s="14" t="s">
        <v>0</v>
      </c>
      <c r="D595" s="13" t="s">
        <v>632</v>
      </c>
      <c r="E595" s="13" t="s">
        <v>635</v>
      </c>
      <c r="F595" s="15" t="s">
        <v>29</v>
      </c>
      <c r="G595" s="15" t="s">
        <v>31</v>
      </c>
      <c r="H595" s="15" t="s">
        <v>30</v>
      </c>
      <c r="I595" s="15" t="s">
        <v>31</v>
      </c>
      <c r="J595" s="15" t="s">
        <v>31</v>
      </c>
      <c r="K595" s="15" t="s">
        <v>29</v>
      </c>
      <c r="L595" s="15" t="s">
        <v>29</v>
      </c>
      <c r="M595" s="15" t="s">
        <v>29</v>
      </c>
      <c r="N595" s="15" t="s">
        <v>31</v>
      </c>
      <c r="O595" s="15" t="s">
        <v>31</v>
      </c>
      <c r="P595" s="18">
        <v>-17</v>
      </c>
      <c r="Q595" s="18">
        <v>-3</v>
      </c>
      <c r="R595" s="15" t="str">
        <f>_xlfn.CONCAT(F595,G595,H595,I595,J595)</f>
        <v>DLWLL</v>
      </c>
      <c r="S595" s="13" t="str">
        <f>_xlfn.CONCAT(K595,L595,M595,N595,O595)</f>
        <v>DDDLL</v>
      </c>
      <c r="T595" s="13" t="str">
        <f>_xlfn.CONCAT(R595,"***",S595)</f>
        <v>DLWLL***DDDLL</v>
      </c>
      <c r="U595" s="19">
        <f>(P595-Q595)</f>
        <v>-14</v>
      </c>
      <c r="V595" s="14">
        <v>1</v>
      </c>
      <c r="W595" s="14">
        <v>1</v>
      </c>
      <c r="X595" s="20" t="str">
        <f>IF(ISBLANK(V595),"",IF(V595&gt;W595,"1",IF(V595&lt;W595,"2",IF(V595=W595,"X"))))</f>
        <v>X</v>
      </c>
      <c r="Y595" s="23" t="str">
        <f>COUNTIF(F595:J595, "W")&amp;COUNTIF(F595:J595, "d")&amp;COUNTIF(F595:J595, "l")</f>
        <v>113</v>
      </c>
      <c r="Z595" s="13" t="str">
        <f>COUNTIF(K595:O595, "W")&amp;COUNTIF(K595:O595, "d")&amp;COUNTIF(K595:O595, "l")</f>
        <v>032</v>
      </c>
      <c r="AA595" s="23" t="str">
        <f>_xlfn.CONCAT(Y595,"-",Z595)</f>
        <v>113-032</v>
      </c>
      <c r="AB595" s="15" t="str">
        <f>_xlfn.CONCAT(AA595,"…",TEXT(U595,"+00;-00;+00;"))</f>
        <v>113-032…-14</v>
      </c>
      <c r="AC595" s="23" t="str">
        <f>_xlfn.CONCAT(TEXT(P595,"+00;-00;+00;"),"…",TEXT(Q595,"+00;-00;+00;"))</f>
        <v>-17…-03</v>
      </c>
      <c r="AD595" s="14" t="str">
        <f>IF(X595="","?","")</f>
        <v/>
      </c>
      <c r="AE595" s="15" t="str">
        <f>_xlfn.CONCAT(AA595,"…",TEXT(P595,"+00;-00;+00;"),"...",TEXT(Q595,"+00;-00;+00;"))</f>
        <v>113-032…-17...-03</v>
      </c>
      <c r="AF595" s="13" t="str">
        <f>_xlfn.CONCAT(R595,"…",TEXT(P595,"+00;-00;+00;"),"...",TEXT(Q595,"+00;-00;+00;"))</f>
        <v>DLWLL…-17...-03</v>
      </c>
    </row>
    <row r="596" spans="1:32" x14ac:dyDescent="0.25">
      <c r="A596" s="12" t="s">
        <v>955</v>
      </c>
      <c r="B596" s="13" t="s">
        <v>117</v>
      </c>
      <c r="C596" s="14" t="s">
        <v>0</v>
      </c>
      <c r="D596" s="13" t="s">
        <v>959</v>
      </c>
      <c r="E596" s="13" t="s">
        <v>960</v>
      </c>
      <c r="F596" s="15" t="s">
        <v>31</v>
      </c>
      <c r="G596" s="15" t="s">
        <v>29</v>
      </c>
      <c r="H596" s="15" t="s">
        <v>31</v>
      </c>
      <c r="I596" s="15" t="s">
        <v>30</v>
      </c>
      <c r="J596" s="15" t="s">
        <v>30</v>
      </c>
      <c r="K596" s="15" t="s">
        <v>31</v>
      </c>
      <c r="L596" s="15" t="s">
        <v>30</v>
      </c>
      <c r="M596" s="15" t="s">
        <v>29</v>
      </c>
      <c r="N596" s="15" t="s">
        <v>31</v>
      </c>
      <c r="O596" s="15" t="s">
        <v>29</v>
      </c>
      <c r="P596" s="18">
        <v>-13</v>
      </c>
      <c r="Q596" s="18">
        <v>-5</v>
      </c>
      <c r="R596" s="15" t="str">
        <f>_xlfn.CONCAT(F596,G596,H596,I596,J596)</f>
        <v>LDLWW</v>
      </c>
      <c r="S596" s="13" t="str">
        <f>_xlfn.CONCAT(K596,L596,M596,N596,O596)</f>
        <v>LWDLD</v>
      </c>
      <c r="T596" s="13" t="str">
        <f>_xlfn.CONCAT(R596,"***",S596)</f>
        <v>LDLWW***LWDLD</v>
      </c>
      <c r="U596" s="19">
        <f>(P596-Q596)</f>
        <v>-8</v>
      </c>
      <c r="V596" s="14">
        <v>2</v>
      </c>
      <c r="W596" s="14">
        <v>1</v>
      </c>
      <c r="X596" s="20" t="str">
        <f>IF(ISBLANK(V596),"",IF(V596&gt;W596,"1",IF(V596&lt;W596,"2",IF(V596=W596,"X"))))</f>
        <v>1</v>
      </c>
      <c r="Y596" s="23" t="str">
        <f>COUNTIF(F596:J596, "W")&amp;COUNTIF(F596:J596, "d")&amp;COUNTIF(F596:J596, "l")</f>
        <v>212</v>
      </c>
      <c r="Z596" s="13" t="str">
        <f>COUNTIF(K596:O596, "W")&amp;COUNTIF(K596:O596, "d")&amp;COUNTIF(K596:O596, "l")</f>
        <v>122</v>
      </c>
      <c r="AA596" s="23" t="str">
        <f>_xlfn.CONCAT(Y596,"-",Z596)</f>
        <v>212-122</v>
      </c>
      <c r="AB596" s="15" t="str">
        <f>_xlfn.CONCAT(AA596,"…",TEXT(U596,"+00;-00;+00;"))</f>
        <v>212-122…-08</v>
      </c>
      <c r="AC596" s="23" t="str">
        <f>_xlfn.CONCAT(TEXT(P596,"+00;-00;+00;"),"…",TEXT(Q596,"+00;-00;+00;"))</f>
        <v>-13…-05</v>
      </c>
      <c r="AD596" s="14" t="str">
        <f>IF(X596="","?","")</f>
        <v/>
      </c>
      <c r="AE596" s="15" t="str">
        <f>_xlfn.CONCAT(AA596,"…",TEXT(P596,"+00;-00;+00;"),"...",TEXT(Q596,"+00;-00;+00;"))</f>
        <v>212-122…-13...-05</v>
      </c>
      <c r="AF596" s="13" t="str">
        <f>_xlfn.CONCAT(R596,"…",TEXT(P596,"+00;-00;+00;"),"...",TEXT(Q596,"+00;-00;+00;"))</f>
        <v>LDLWW…-13...-05</v>
      </c>
    </row>
    <row r="597" spans="1:32" x14ac:dyDescent="0.25">
      <c r="A597" s="12" t="s">
        <v>1010</v>
      </c>
      <c r="B597" s="13" t="s">
        <v>59</v>
      </c>
      <c r="C597" s="14">
        <v>1</v>
      </c>
      <c r="D597" s="13" t="s">
        <v>1011</v>
      </c>
      <c r="E597" s="13" t="s">
        <v>72</v>
      </c>
      <c r="F597" s="15" t="s">
        <v>31</v>
      </c>
      <c r="G597" s="15" t="s">
        <v>29</v>
      </c>
      <c r="H597" s="15" t="s">
        <v>31</v>
      </c>
      <c r="I597" s="15" t="s">
        <v>29</v>
      </c>
      <c r="J597" s="15" t="s">
        <v>29</v>
      </c>
      <c r="K597" s="15" t="s">
        <v>29</v>
      </c>
      <c r="L597" s="15" t="s">
        <v>29</v>
      </c>
      <c r="M597" s="15" t="s">
        <v>31</v>
      </c>
      <c r="N597" s="15" t="s">
        <v>29</v>
      </c>
      <c r="O597" s="15" t="s">
        <v>31</v>
      </c>
      <c r="P597" s="18">
        <v>-6</v>
      </c>
      <c r="Q597" s="18">
        <v>-10</v>
      </c>
      <c r="R597" s="15" t="str">
        <f>_xlfn.CONCAT(F597,G597,H597,I597,J597)</f>
        <v>LDLDD</v>
      </c>
      <c r="S597" s="13" t="str">
        <f>_xlfn.CONCAT(K597,L597,M597,N597,O597)</f>
        <v>DDLDL</v>
      </c>
      <c r="T597" s="13" t="str">
        <f>_xlfn.CONCAT(R597,"***",S597)</f>
        <v>LDLDD***DDLDL</v>
      </c>
      <c r="U597" s="19">
        <f>(P597-Q597)</f>
        <v>4</v>
      </c>
      <c r="V597" s="14">
        <v>0</v>
      </c>
      <c r="W597" s="14">
        <v>0</v>
      </c>
      <c r="X597" s="20" t="str">
        <f>IF(ISBLANK(V597),"",IF(V597&gt;W597,"1",IF(V597&lt;W597,"2",IF(V597=W597,"X"))))</f>
        <v>X</v>
      </c>
      <c r="Y597" s="23" t="str">
        <f>COUNTIF(F597:J597, "W")&amp;COUNTIF(F597:J597, "d")&amp;COUNTIF(F597:J597, "l")</f>
        <v>032</v>
      </c>
      <c r="Z597" s="13" t="str">
        <f>COUNTIF(K597:O597, "W")&amp;COUNTIF(K597:O597, "d")&amp;COUNTIF(K597:O597, "l")</f>
        <v>032</v>
      </c>
      <c r="AA597" s="23" t="str">
        <f>_xlfn.CONCAT(Y597,"-",Z597)</f>
        <v>032-032</v>
      </c>
      <c r="AB597" s="15" t="str">
        <f>_xlfn.CONCAT(AA597,"…",TEXT(U597,"+00;-00;+00;"))</f>
        <v>032-032…+04</v>
      </c>
      <c r="AC597" s="23" t="str">
        <f>_xlfn.CONCAT(TEXT(P597,"+00;-00;+00;"),"…",TEXT(Q597,"+00;-00;+00;"))</f>
        <v>-06…-10</v>
      </c>
      <c r="AD597" s="14" t="str">
        <f>IF(X597="","?","")</f>
        <v/>
      </c>
      <c r="AE597" s="15" t="str">
        <f>_xlfn.CONCAT(AA597,"…",TEXT(P597,"+00;-00;+00;"),"...",TEXT(Q597,"+00;-00;+00;"))</f>
        <v>032-032…-06...-10</v>
      </c>
      <c r="AF597" s="13" t="str">
        <f>_xlfn.CONCAT(R597,"…",TEXT(P597,"+00;-00;+00;"),"...",TEXT(Q597,"+00;-00;+00;"))</f>
        <v>LDLDD…-06...-10</v>
      </c>
    </row>
    <row r="598" spans="1:32" x14ac:dyDescent="0.25">
      <c r="A598" s="12" t="s">
        <v>1010</v>
      </c>
      <c r="B598" s="13" t="s">
        <v>59</v>
      </c>
      <c r="C598" s="14">
        <v>2</v>
      </c>
      <c r="D598" s="13" t="s">
        <v>739</v>
      </c>
      <c r="E598" s="13" t="s">
        <v>747</v>
      </c>
      <c r="F598" s="15" t="s">
        <v>30</v>
      </c>
      <c r="G598" s="15" t="s">
        <v>29</v>
      </c>
      <c r="H598" s="15" t="s">
        <v>31</v>
      </c>
      <c r="I598" s="15" t="s">
        <v>31</v>
      </c>
      <c r="J598" s="15" t="s">
        <v>31</v>
      </c>
      <c r="K598" s="15" t="s">
        <v>31</v>
      </c>
      <c r="L598" s="15" t="s">
        <v>31</v>
      </c>
      <c r="M598" s="15" t="s">
        <v>29</v>
      </c>
      <c r="N598" s="15" t="s">
        <v>31</v>
      </c>
      <c r="O598" s="15" t="s">
        <v>30</v>
      </c>
      <c r="P598" s="18">
        <v>2</v>
      </c>
      <c r="Q598" s="18">
        <v>-15</v>
      </c>
      <c r="R598" s="15" t="str">
        <f>_xlfn.CONCAT(F598,G598,H598,I598,J598)</f>
        <v>WDLLL</v>
      </c>
      <c r="S598" s="13" t="str">
        <f>_xlfn.CONCAT(K598,L598,M598,N598,O598)</f>
        <v>LLDLW</v>
      </c>
      <c r="T598" s="13" t="str">
        <f>_xlfn.CONCAT(R598,"***",S598)</f>
        <v>WDLLL***LLDLW</v>
      </c>
      <c r="U598" s="19">
        <f>(P598-Q598)</f>
        <v>17</v>
      </c>
      <c r="V598" s="14">
        <v>1</v>
      </c>
      <c r="W598" s="14">
        <v>0</v>
      </c>
      <c r="X598" s="20" t="str">
        <f>IF(ISBLANK(V598),"",IF(V598&gt;W598,"1",IF(V598&lt;W598,"2",IF(V598=W598,"X"))))</f>
        <v>1</v>
      </c>
      <c r="Y598" s="23" t="str">
        <f>COUNTIF(F598:J598, "W")&amp;COUNTIF(F598:J598, "d")&amp;COUNTIF(F598:J598, "l")</f>
        <v>113</v>
      </c>
      <c r="Z598" s="13" t="str">
        <f>COUNTIF(K598:O598, "W")&amp;COUNTIF(K598:O598, "d")&amp;COUNTIF(K598:O598, "l")</f>
        <v>113</v>
      </c>
      <c r="AA598" s="23" t="str">
        <f>_xlfn.CONCAT(Y598,"-",Z598)</f>
        <v>113-113</v>
      </c>
      <c r="AB598" s="15" t="str">
        <f>_xlfn.CONCAT(AA598,"…",TEXT(U598,"+00;-00;+00;"))</f>
        <v>113-113…+17</v>
      </c>
      <c r="AC598" s="23" t="str">
        <f>_xlfn.CONCAT(TEXT(P598,"+00;-00;+00;"),"…",TEXT(Q598,"+00;-00;+00;"))</f>
        <v>+02…-15</v>
      </c>
      <c r="AD598" s="14" t="str">
        <f>IF(X598="","?","")</f>
        <v/>
      </c>
      <c r="AE598" s="15" t="str">
        <f>_xlfn.CONCAT(AA598,"…",TEXT(P598,"+00;-00;+00;"),"...",TEXT(Q598,"+00;-00;+00;"))</f>
        <v>113-113…+02...-15</v>
      </c>
      <c r="AF598" s="13" t="str">
        <f>_xlfn.CONCAT(R598,"…",TEXT(P598,"+00;-00;+00;"),"...",TEXT(Q598,"+00;-00;+00;"))</f>
        <v>WDLLL…+02...-15</v>
      </c>
    </row>
    <row r="599" spans="1:32" x14ac:dyDescent="0.25">
      <c r="A599" s="12" t="s">
        <v>1010</v>
      </c>
      <c r="B599" s="13" t="s">
        <v>7</v>
      </c>
      <c r="C599" s="14">
        <v>1</v>
      </c>
      <c r="D599" s="13" t="s">
        <v>1061</v>
      </c>
      <c r="E599" s="13" t="s">
        <v>524</v>
      </c>
      <c r="F599" s="15" t="s">
        <v>30</v>
      </c>
      <c r="G599" s="15" t="s">
        <v>30</v>
      </c>
      <c r="H599" s="15" t="s">
        <v>31</v>
      </c>
      <c r="I599" s="15" t="s">
        <v>29</v>
      </c>
      <c r="J599" s="15" t="s">
        <v>30</v>
      </c>
      <c r="K599" s="15" t="s">
        <v>29</v>
      </c>
      <c r="L599" s="15" t="s">
        <v>30</v>
      </c>
      <c r="M599" s="15" t="s">
        <v>30</v>
      </c>
      <c r="N599" s="15" t="s">
        <v>30</v>
      </c>
      <c r="O599" s="15" t="s">
        <v>30</v>
      </c>
      <c r="P599" s="18">
        <v>16</v>
      </c>
      <c r="Q599" s="18">
        <v>19</v>
      </c>
      <c r="R599" s="15" t="str">
        <f>_xlfn.CONCAT(F599,G599,H599,I599,J599)</f>
        <v>WWLDW</v>
      </c>
      <c r="S599" s="13" t="str">
        <f>_xlfn.CONCAT(K599,L599,M599,N599,O599)</f>
        <v>DWWWW</v>
      </c>
      <c r="T599" s="13" t="str">
        <f>_xlfn.CONCAT(R599,"***",S599)</f>
        <v>WWLDW***DWWWW</v>
      </c>
      <c r="U599" s="19">
        <f>(P599-Q599)</f>
        <v>-3</v>
      </c>
      <c r="V599" s="14">
        <v>2</v>
      </c>
      <c r="W599" s="14">
        <v>0</v>
      </c>
      <c r="X599" s="20" t="str">
        <f>IF(ISBLANK(V599),"",IF(V599&gt;W599,"1",IF(V599&lt;W599,"2",IF(V599=W599,"X"))))</f>
        <v>1</v>
      </c>
      <c r="Y599" s="23" t="str">
        <f>COUNTIF(F599:J599, "W")&amp;COUNTIF(F599:J599, "d")&amp;COUNTIF(F599:J599, "l")</f>
        <v>311</v>
      </c>
      <c r="Z599" s="13" t="str">
        <f>COUNTIF(K599:O599, "W")&amp;COUNTIF(K599:O599, "d")&amp;COUNTIF(K599:O599, "l")</f>
        <v>410</v>
      </c>
      <c r="AA599" s="23" t="str">
        <f>_xlfn.CONCAT(Y599,"-",Z599)</f>
        <v>311-410</v>
      </c>
      <c r="AB599" s="15" t="str">
        <f>_xlfn.CONCAT(AA599,"…",TEXT(U599,"+00;-00;+00;"))</f>
        <v>311-410…-03</v>
      </c>
      <c r="AC599" s="23" t="str">
        <f>_xlfn.CONCAT(TEXT(P599,"+00;-00;+00;"),"…",TEXT(Q599,"+00;-00;+00;"))</f>
        <v>+16…+19</v>
      </c>
      <c r="AD599" s="14" t="str">
        <f>IF(X599="","?","")</f>
        <v/>
      </c>
      <c r="AE599" s="15" t="str">
        <f>_xlfn.CONCAT(AA599,"…",TEXT(P599,"+00;-00;+00;"),"...",TEXT(Q599,"+00;-00;+00;"))</f>
        <v>311-410…+16...+19</v>
      </c>
      <c r="AF599" s="13" t="str">
        <f>_xlfn.CONCAT(R599,"…",TEXT(P599,"+00;-00;+00;"),"...",TEXT(Q599,"+00;-00;+00;"))</f>
        <v>WWLDW…+16...+19</v>
      </c>
    </row>
    <row r="600" spans="1:32" x14ac:dyDescent="0.25">
      <c r="A600" s="12" t="s">
        <v>989</v>
      </c>
      <c r="B600" s="13" t="s">
        <v>250</v>
      </c>
      <c r="C600" s="14">
        <v>1</v>
      </c>
      <c r="D600" s="13" t="s">
        <v>1000</v>
      </c>
      <c r="E600" s="13" t="s">
        <v>651</v>
      </c>
      <c r="F600" s="15" t="s">
        <v>31</v>
      </c>
      <c r="G600" s="15" t="s">
        <v>29</v>
      </c>
      <c r="H600" s="15" t="s">
        <v>31</v>
      </c>
      <c r="I600" s="15" t="s">
        <v>29</v>
      </c>
      <c r="J600" s="15" t="s">
        <v>31</v>
      </c>
      <c r="K600" s="15" t="s">
        <v>29</v>
      </c>
      <c r="L600" s="15" t="s">
        <v>30</v>
      </c>
      <c r="M600" s="15" t="s">
        <v>30</v>
      </c>
      <c r="N600" s="15" t="s">
        <v>30</v>
      </c>
      <c r="O600" s="15" t="s">
        <v>29</v>
      </c>
      <c r="P600" s="18">
        <v>-1</v>
      </c>
      <c r="Q600" s="18">
        <v>4</v>
      </c>
      <c r="R600" s="15" t="str">
        <f>_xlfn.CONCAT(F600,G600,H600,I600,J600)</f>
        <v>LDLDL</v>
      </c>
      <c r="S600" s="13" t="str">
        <f>_xlfn.CONCAT(K600,L600,M600,N600,O600)</f>
        <v>DWWWD</v>
      </c>
      <c r="T600" s="13" t="str">
        <f>_xlfn.CONCAT(R600,"***",S600)</f>
        <v>LDLDL***DWWWD</v>
      </c>
      <c r="U600" s="19">
        <f>(P600-Q600)</f>
        <v>-5</v>
      </c>
      <c r="V600" s="14">
        <v>1</v>
      </c>
      <c r="W600" s="14">
        <v>1</v>
      </c>
      <c r="X600" s="20" t="str">
        <f>IF(ISBLANK(V600),"",IF(V600&gt;W600,"1",IF(V600&lt;W600,"2",IF(V600=W600,"X"))))</f>
        <v>X</v>
      </c>
      <c r="Y600" s="23" t="str">
        <f>COUNTIF(F600:J600, "W")&amp;COUNTIF(F600:J600, "d")&amp;COUNTIF(F600:J600, "l")</f>
        <v>023</v>
      </c>
      <c r="Z600" s="13" t="str">
        <f>COUNTIF(K600:O600, "W")&amp;COUNTIF(K600:O600, "d")&amp;COUNTIF(K600:O600, "l")</f>
        <v>320</v>
      </c>
      <c r="AA600" s="23" t="str">
        <f>_xlfn.CONCAT(Y600,"-",Z600)</f>
        <v>023-320</v>
      </c>
      <c r="AB600" s="15" t="str">
        <f>_xlfn.CONCAT(AA600,"…",TEXT(U600,"+00;-00;+00;"))</f>
        <v>023-320…-05</v>
      </c>
      <c r="AC600" s="23" t="str">
        <f>_xlfn.CONCAT(TEXT(P600,"+00;-00;+00;"),"…",TEXT(Q600,"+00;-00;+00;"))</f>
        <v>-01…+04</v>
      </c>
      <c r="AD600" s="14" t="str">
        <f>IF(X600="","?","")</f>
        <v/>
      </c>
      <c r="AE600" s="15" t="str">
        <f>_xlfn.CONCAT(AA600,"…",TEXT(P600,"+00;-00;+00;"),"...",TEXT(Q600,"+00;-00;+00;"))</f>
        <v>023-320…-01...+04</v>
      </c>
      <c r="AF600" s="13" t="str">
        <f>_xlfn.CONCAT(R600,"…",TEXT(P600,"+00;-00;+00;"),"...",TEXT(Q600,"+00;-00;+00;"))</f>
        <v>LDLDL…-01...+04</v>
      </c>
    </row>
    <row r="601" spans="1:32" x14ac:dyDescent="0.25">
      <c r="A601" s="12" t="s">
        <v>1056</v>
      </c>
      <c r="B601" s="13" t="s">
        <v>7</v>
      </c>
      <c r="C601" s="14" t="s">
        <v>32</v>
      </c>
      <c r="D601" s="13" t="s">
        <v>53</v>
      </c>
      <c r="E601" s="13" t="s">
        <v>874</v>
      </c>
      <c r="F601" s="15" t="s">
        <v>31</v>
      </c>
      <c r="G601" s="15" t="s">
        <v>31</v>
      </c>
      <c r="H601" s="15" t="s">
        <v>31</v>
      </c>
      <c r="I601" s="15" t="s">
        <v>31</v>
      </c>
      <c r="J601" s="15" t="s">
        <v>29</v>
      </c>
      <c r="K601" s="15" t="s">
        <v>30</v>
      </c>
      <c r="L601" s="15" t="s">
        <v>29</v>
      </c>
      <c r="M601" s="15" t="s">
        <v>31</v>
      </c>
      <c r="N601" s="15" t="s">
        <v>29</v>
      </c>
      <c r="O601" s="15" t="s">
        <v>31</v>
      </c>
      <c r="P601" s="18">
        <v>-9</v>
      </c>
      <c r="Q601" s="18">
        <v>0</v>
      </c>
      <c r="R601" s="15" t="str">
        <f>_xlfn.CONCAT(F601,G601,H601,I601,J601)</f>
        <v>LLLLD</v>
      </c>
      <c r="S601" s="13" t="str">
        <f>_xlfn.CONCAT(K601,L601,M601,N601,O601)</f>
        <v>WDLDL</v>
      </c>
      <c r="T601" s="13" t="str">
        <f>_xlfn.CONCAT(R601,"***",S601)</f>
        <v>LLLLD***WDLDL</v>
      </c>
      <c r="U601" s="19">
        <f>(P601-Q601)</f>
        <v>-9</v>
      </c>
      <c r="V601" s="14">
        <v>1</v>
      </c>
      <c r="W601" s="14">
        <v>1</v>
      </c>
      <c r="X601" s="20" t="str">
        <f>IF(ISBLANK(V601),"",IF(V601&gt;W601,"1",IF(V601&lt;W601,"2",IF(V601=W601,"X"))))</f>
        <v>X</v>
      </c>
      <c r="Y601" s="23" t="str">
        <f>COUNTIF(F601:J601, "W")&amp;COUNTIF(F601:J601, "d")&amp;COUNTIF(F601:J601, "l")</f>
        <v>014</v>
      </c>
      <c r="Z601" s="13" t="str">
        <f>COUNTIF(K601:O601, "W")&amp;COUNTIF(K601:O601, "d")&amp;COUNTIF(K601:O601, "l")</f>
        <v>122</v>
      </c>
      <c r="AA601" s="23" t="str">
        <f>_xlfn.CONCAT(Y601,"-",Z601)</f>
        <v>014-122</v>
      </c>
      <c r="AB601" s="15" t="str">
        <f>_xlfn.CONCAT(AA601,"…",TEXT(U601,"+00;-00;+00;"))</f>
        <v>014-122…-09</v>
      </c>
      <c r="AC601" s="23" t="str">
        <f>_xlfn.CONCAT(TEXT(P601,"+00;-00;+00;"),"…",TEXT(Q601,"+00;-00;+00;"))</f>
        <v>-09…+00</v>
      </c>
      <c r="AD601" s="14" t="str">
        <f>IF(X601="","?","")</f>
        <v/>
      </c>
      <c r="AE601" s="15" t="str">
        <f>_xlfn.CONCAT(AA601,"…",TEXT(P601,"+00;-00;+00;"),"...",TEXT(Q601,"+00;-00;+00;"))</f>
        <v>014-122…-09...+00</v>
      </c>
      <c r="AF601" s="13" t="str">
        <f>_xlfn.CONCAT(R601,"…",TEXT(P601,"+00;-00;+00;"),"...",TEXT(Q601,"+00;-00;+00;"))</f>
        <v>LLLLD…-09...+00</v>
      </c>
    </row>
    <row r="602" spans="1:32" x14ac:dyDescent="0.25">
      <c r="A602" s="12" t="s">
        <v>1056</v>
      </c>
      <c r="B602" s="13" t="s">
        <v>7</v>
      </c>
      <c r="C602" s="14" t="s">
        <v>32</v>
      </c>
      <c r="D602" s="13" t="s">
        <v>492</v>
      </c>
      <c r="E602" s="13" t="s">
        <v>57</v>
      </c>
      <c r="F602" s="15" t="s">
        <v>31</v>
      </c>
      <c r="G602" s="15" t="s">
        <v>29</v>
      </c>
      <c r="H602" s="15" t="s">
        <v>31</v>
      </c>
      <c r="I602" s="15" t="s">
        <v>29</v>
      </c>
      <c r="J602" s="15" t="s">
        <v>31</v>
      </c>
      <c r="K602" s="15" t="s">
        <v>31</v>
      </c>
      <c r="L602" s="15" t="s">
        <v>31</v>
      </c>
      <c r="M602" s="15" t="s">
        <v>30</v>
      </c>
      <c r="N602" s="15" t="s">
        <v>30</v>
      </c>
      <c r="O602" s="15" t="s">
        <v>31</v>
      </c>
      <c r="P602" s="18">
        <v>-21</v>
      </c>
      <c r="Q602" s="18">
        <v>10</v>
      </c>
      <c r="R602" s="15" t="str">
        <f>_xlfn.CONCAT(F602,G602,H602,I602,J602)</f>
        <v>LDLDL</v>
      </c>
      <c r="S602" s="13" t="str">
        <f>_xlfn.CONCAT(K602,L602,M602,N602,O602)</f>
        <v>LLWWL</v>
      </c>
      <c r="T602" s="13" t="str">
        <f>_xlfn.CONCAT(R602,"***",S602)</f>
        <v>LDLDL***LLWWL</v>
      </c>
      <c r="U602" s="19">
        <f>(P602-Q602)</f>
        <v>-31</v>
      </c>
      <c r="V602" s="14">
        <v>0</v>
      </c>
      <c r="W602" s="14">
        <v>2</v>
      </c>
      <c r="X602" s="20" t="str">
        <f>IF(ISBLANK(V602),"",IF(V602&gt;W602,"1",IF(V602&lt;W602,"2",IF(V602=W602,"X"))))</f>
        <v>2</v>
      </c>
      <c r="Y602" s="23" t="str">
        <f>COUNTIF(F602:J602, "W")&amp;COUNTIF(F602:J602, "d")&amp;COUNTIF(F602:J602, "l")</f>
        <v>023</v>
      </c>
      <c r="Z602" s="13" t="str">
        <f>COUNTIF(K602:O602, "W")&amp;COUNTIF(K602:O602, "d")&amp;COUNTIF(K602:O602, "l")</f>
        <v>203</v>
      </c>
      <c r="AA602" s="23" t="str">
        <f>_xlfn.CONCAT(Y602,"-",Z602)</f>
        <v>023-203</v>
      </c>
      <c r="AB602" s="15" t="str">
        <f>_xlfn.CONCAT(AA602,"…",TEXT(U602,"+00;-00;+00;"))</f>
        <v>023-203…-31</v>
      </c>
      <c r="AC602" s="23" t="str">
        <f>_xlfn.CONCAT(TEXT(P602,"+00;-00;+00;"),"…",TEXT(Q602,"+00;-00;+00;"))</f>
        <v>-21…+10</v>
      </c>
      <c r="AD602" s="14" t="str">
        <f>IF(X602="","?","")</f>
        <v/>
      </c>
      <c r="AE602" s="15" t="str">
        <f>_xlfn.CONCAT(AA602,"…",TEXT(P602,"+00;-00;+00;"),"...",TEXT(Q602,"+00;-00;+00;"))</f>
        <v>023-203…-21...+10</v>
      </c>
      <c r="AF602" s="13" t="str">
        <f>_xlfn.CONCAT(R602,"…",TEXT(P602,"+00;-00;+00;"),"...",TEXT(Q602,"+00;-00;+00;"))</f>
        <v>LDLDL…-21...+10</v>
      </c>
    </row>
    <row r="603" spans="1:32" x14ac:dyDescent="0.25">
      <c r="A603" s="12" t="s">
        <v>1056</v>
      </c>
      <c r="B603" s="13" t="s">
        <v>7</v>
      </c>
      <c r="C603" s="14" t="s">
        <v>32</v>
      </c>
      <c r="D603" s="13" t="s">
        <v>872</v>
      </c>
      <c r="E603" s="13" t="s">
        <v>494</v>
      </c>
      <c r="F603" s="15" t="s">
        <v>29</v>
      </c>
      <c r="G603" s="15" t="s">
        <v>29</v>
      </c>
      <c r="H603" s="15" t="s">
        <v>30</v>
      </c>
      <c r="I603" s="15" t="s">
        <v>29</v>
      </c>
      <c r="J603" s="15" t="s">
        <v>31</v>
      </c>
      <c r="K603" s="15" t="s">
        <v>29</v>
      </c>
      <c r="L603" s="15" t="s">
        <v>31</v>
      </c>
      <c r="M603" s="15" t="s">
        <v>31</v>
      </c>
      <c r="N603" s="15" t="s">
        <v>31</v>
      </c>
      <c r="O603" s="15" t="s">
        <v>30</v>
      </c>
      <c r="P603" s="18">
        <v>-13</v>
      </c>
      <c r="Q603" s="18">
        <v>-8</v>
      </c>
      <c r="R603" s="15" t="str">
        <f>_xlfn.CONCAT(F603,G603,H603,I603,J603)</f>
        <v>DDWDL</v>
      </c>
      <c r="S603" s="13" t="str">
        <f>_xlfn.CONCAT(K603,L603,M603,N603,O603)</f>
        <v>DLLLW</v>
      </c>
      <c r="T603" s="13" t="str">
        <f>_xlfn.CONCAT(R603,"***",S603)</f>
        <v>DDWDL***DLLLW</v>
      </c>
      <c r="U603" s="19">
        <f>(P603-Q603)</f>
        <v>-5</v>
      </c>
      <c r="V603" s="14">
        <v>1</v>
      </c>
      <c r="W603" s="14">
        <v>3</v>
      </c>
      <c r="X603" s="20" t="str">
        <f>IF(ISBLANK(V603),"",IF(V603&gt;W603,"1",IF(V603&lt;W603,"2",IF(V603=W603,"X"))))</f>
        <v>2</v>
      </c>
      <c r="Y603" s="23" t="str">
        <f>COUNTIF(F603:J603, "W")&amp;COUNTIF(F603:J603, "d")&amp;COUNTIF(F603:J603, "l")</f>
        <v>131</v>
      </c>
      <c r="Z603" s="13" t="str">
        <f>COUNTIF(K603:O603, "W")&amp;COUNTIF(K603:O603, "d")&amp;COUNTIF(K603:O603, "l")</f>
        <v>113</v>
      </c>
      <c r="AA603" s="23" t="str">
        <f>_xlfn.CONCAT(Y603,"-",Z603)</f>
        <v>131-113</v>
      </c>
      <c r="AB603" s="15" t="str">
        <f>_xlfn.CONCAT(AA603,"…",TEXT(U603,"+00;-00;+00;"))</f>
        <v>131-113…-05</v>
      </c>
      <c r="AC603" s="23" t="str">
        <f>_xlfn.CONCAT(TEXT(P603,"+00;-00;+00;"),"…",TEXT(Q603,"+00;-00;+00;"))</f>
        <v>-13…-08</v>
      </c>
      <c r="AD603" s="14" t="str">
        <f>IF(X603="","?","")</f>
        <v/>
      </c>
      <c r="AE603" s="15" t="str">
        <f>_xlfn.CONCAT(AA603,"…",TEXT(P603,"+00;-00;+00;"),"...",TEXT(Q603,"+00;-00;+00;"))</f>
        <v>131-113…-13...-08</v>
      </c>
      <c r="AF603" s="13" t="str">
        <f>_xlfn.CONCAT(R603,"…",TEXT(P603,"+00;-00;+00;"),"...",TEXT(Q603,"+00;-00;+00;"))</f>
        <v>DDWDL…-13...-08</v>
      </c>
    </row>
    <row r="604" spans="1:32" x14ac:dyDescent="0.25">
      <c r="A604" s="12" t="s">
        <v>1056</v>
      </c>
      <c r="B604" s="13" t="s">
        <v>7</v>
      </c>
      <c r="C604" s="14" t="s">
        <v>32</v>
      </c>
      <c r="D604" s="13" t="s">
        <v>1058</v>
      </c>
      <c r="E604" s="13" t="s">
        <v>503</v>
      </c>
      <c r="F604" s="15" t="s">
        <v>31</v>
      </c>
      <c r="G604" s="15" t="s">
        <v>31</v>
      </c>
      <c r="H604" s="15" t="s">
        <v>30</v>
      </c>
      <c r="I604" s="15" t="s">
        <v>30</v>
      </c>
      <c r="J604" s="15" t="s">
        <v>31</v>
      </c>
      <c r="K604" s="15" t="s">
        <v>29</v>
      </c>
      <c r="L604" s="15" t="s">
        <v>31</v>
      </c>
      <c r="M604" s="15" t="s">
        <v>31</v>
      </c>
      <c r="N604" s="15" t="s">
        <v>30</v>
      </c>
      <c r="O604" s="15" t="s">
        <v>29</v>
      </c>
      <c r="P604" s="18">
        <v>-1</v>
      </c>
      <c r="Q604" s="18">
        <v>-1</v>
      </c>
      <c r="R604" s="15" t="str">
        <f>_xlfn.CONCAT(F604,G604,H604,I604,J604)</f>
        <v>LLWWL</v>
      </c>
      <c r="S604" s="13" t="str">
        <f>_xlfn.CONCAT(K604,L604,M604,N604,O604)</f>
        <v>DLLWD</v>
      </c>
      <c r="T604" s="13" t="str">
        <f>_xlfn.CONCAT(R604,"***",S604)</f>
        <v>LLWWL***DLLWD</v>
      </c>
      <c r="U604" s="19">
        <f>(P604-Q604)</f>
        <v>0</v>
      </c>
      <c r="V604" s="14">
        <v>2</v>
      </c>
      <c r="W604" s="14">
        <v>1</v>
      </c>
      <c r="X604" s="20" t="str">
        <f>IF(ISBLANK(V604),"",IF(V604&gt;W604,"1",IF(V604&lt;W604,"2",IF(V604=W604,"X"))))</f>
        <v>1</v>
      </c>
      <c r="Y604" s="23" t="str">
        <f>COUNTIF(F604:J604, "W")&amp;COUNTIF(F604:J604, "d")&amp;COUNTIF(F604:J604, "l")</f>
        <v>203</v>
      </c>
      <c r="Z604" s="13" t="str">
        <f>COUNTIF(K604:O604, "W")&amp;COUNTIF(K604:O604, "d")&amp;COUNTIF(K604:O604, "l")</f>
        <v>122</v>
      </c>
      <c r="AA604" s="23" t="str">
        <f>_xlfn.CONCAT(Y604,"-",Z604)</f>
        <v>203-122</v>
      </c>
      <c r="AB604" s="15" t="str">
        <f>_xlfn.CONCAT(AA604,"…",TEXT(U604,"+00;-00;+00;"))</f>
        <v>203-122…+00</v>
      </c>
      <c r="AC604" s="23" t="str">
        <f>_xlfn.CONCAT(TEXT(P604,"+00;-00;+00;"),"…",TEXT(Q604,"+00;-00;+00;"))</f>
        <v>-01…-01</v>
      </c>
      <c r="AD604" s="14" t="str">
        <f>IF(X604="","?","")</f>
        <v/>
      </c>
      <c r="AE604" s="15" t="str">
        <f>_xlfn.CONCAT(AA604,"…",TEXT(P604,"+00;-00;+00;"),"...",TEXT(Q604,"+00;-00;+00;"))</f>
        <v>203-122…-01...-01</v>
      </c>
      <c r="AF604" s="13" t="str">
        <f>_xlfn.CONCAT(R604,"…",TEXT(P604,"+00;-00;+00;"),"...",TEXT(Q604,"+00;-00;+00;"))</f>
        <v>LLWWL…-01...-01</v>
      </c>
    </row>
    <row r="605" spans="1:32" x14ac:dyDescent="0.25">
      <c r="A605" s="12" t="s">
        <v>1056</v>
      </c>
      <c r="B605" s="13" t="s">
        <v>7</v>
      </c>
      <c r="C605" s="14" t="s">
        <v>32</v>
      </c>
      <c r="D605" s="13" t="s">
        <v>657</v>
      </c>
      <c r="E605" s="13" t="s">
        <v>506</v>
      </c>
      <c r="F605" s="15" t="s">
        <v>29</v>
      </c>
      <c r="G605" s="15" t="s">
        <v>30</v>
      </c>
      <c r="H605" s="15" t="s">
        <v>30</v>
      </c>
      <c r="I605" s="15" t="s">
        <v>31</v>
      </c>
      <c r="J605" s="15" t="s">
        <v>30</v>
      </c>
      <c r="K605" s="15" t="s">
        <v>30</v>
      </c>
      <c r="L605" s="15" t="s">
        <v>30</v>
      </c>
      <c r="M605" s="15" t="s">
        <v>30</v>
      </c>
      <c r="N605" s="15" t="s">
        <v>31</v>
      </c>
      <c r="O605" s="15" t="s">
        <v>30</v>
      </c>
      <c r="P605" s="18">
        <v>5</v>
      </c>
      <c r="Q605" s="18">
        <v>18</v>
      </c>
      <c r="R605" s="15" t="str">
        <f>_xlfn.CONCAT(F605,G605,H605,I605,J605)</f>
        <v>DWWLW</v>
      </c>
      <c r="S605" s="13" t="str">
        <f>_xlfn.CONCAT(K605,L605,M605,N605,O605)</f>
        <v>WWWLW</v>
      </c>
      <c r="T605" s="13" t="str">
        <f>_xlfn.CONCAT(R605,"***",S605)</f>
        <v>DWWLW***WWWLW</v>
      </c>
      <c r="U605" s="19">
        <f>(P605-Q605)</f>
        <v>-13</v>
      </c>
      <c r="V605" s="14">
        <v>1</v>
      </c>
      <c r="W605" s="14">
        <v>2</v>
      </c>
      <c r="X605" s="20" t="str">
        <f>IF(ISBLANK(V605),"",IF(V605&gt;W605,"1",IF(V605&lt;W605,"2",IF(V605=W605,"X"))))</f>
        <v>2</v>
      </c>
      <c r="Y605" s="23" t="str">
        <f>COUNTIF(F605:J605, "W")&amp;COUNTIF(F605:J605, "d")&amp;COUNTIF(F605:J605, "l")</f>
        <v>311</v>
      </c>
      <c r="Z605" s="13" t="str">
        <f>COUNTIF(K605:O605, "W")&amp;COUNTIF(K605:O605, "d")&amp;COUNTIF(K605:O605, "l")</f>
        <v>401</v>
      </c>
      <c r="AA605" s="23" t="str">
        <f>_xlfn.CONCAT(Y605,"-",Z605)</f>
        <v>311-401</v>
      </c>
      <c r="AB605" s="15" t="str">
        <f>_xlfn.CONCAT(AA605,"…",TEXT(U605,"+00;-00;+00;"))</f>
        <v>311-401…-13</v>
      </c>
      <c r="AC605" s="23" t="str">
        <f>_xlfn.CONCAT(TEXT(P605,"+00;-00;+00;"),"…",TEXT(Q605,"+00;-00;+00;"))</f>
        <v>+05…+18</v>
      </c>
      <c r="AD605" s="14" t="str">
        <f>IF(X605="","?","")</f>
        <v/>
      </c>
      <c r="AE605" s="15" t="str">
        <f>_xlfn.CONCAT(AA605,"…",TEXT(P605,"+00;-00;+00;"),"...",TEXT(Q605,"+00;-00;+00;"))</f>
        <v>311-401…+05...+18</v>
      </c>
      <c r="AF605" s="13" t="str">
        <f>_xlfn.CONCAT(R605,"…",TEXT(P605,"+00;-00;+00;"),"...",TEXT(Q605,"+00;-00;+00;"))</f>
        <v>DWWLW…+05...+18</v>
      </c>
    </row>
    <row r="606" spans="1:32" x14ac:dyDescent="0.25">
      <c r="A606" s="12" t="s">
        <v>1060</v>
      </c>
      <c r="B606" s="13" t="s">
        <v>7</v>
      </c>
      <c r="C606" s="14">
        <v>1</v>
      </c>
      <c r="D606" s="13" t="s">
        <v>531</v>
      </c>
      <c r="E606" s="13" t="s">
        <v>523</v>
      </c>
      <c r="F606" s="15" t="s">
        <v>31</v>
      </c>
      <c r="G606" s="15" t="s">
        <v>30</v>
      </c>
      <c r="H606" s="15" t="s">
        <v>30</v>
      </c>
      <c r="I606" s="15" t="s">
        <v>31</v>
      </c>
      <c r="J606" s="15" t="s">
        <v>29</v>
      </c>
      <c r="K606" s="15" t="s">
        <v>31</v>
      </c>
      <c r="L606" s="15" t="s">
        <v>29</v>
      </c>
      <c r="M606" s="15" t="s">
        <v>31</v>
      </c>
      <c r="N606" s="15" t="s">
        <v>30</v>
      </c>
      <c r="O606" s="15" t="s">
        <v>30</v>
      </c>
      <c r="P606" s="18">
        <v>-10</v>
      </c>
      <c r="Q606" s="18">
        <v>10</v>
      </c>
      <c r="R606" s="15" t="str">
        <f>_xlfn.CONCAT(F606,G606,H606,I606,J606)</f>
        <v>LWWLD</v>
      </c>
      <c r="S606" s="13" t="str">
        <f>_xlfn.CONCAT(K606,L606,M606,N606,O606)</f>
        <v>LDLWW</v>
      </c>
      <c r="T606" s="13" t="str">
        <f>_xlfn.CONCAT(R606,"***",S606)</f>
        <v>LWWLD***LDLWW</v>
      </c>
      <c r="U606" s="19">
        <f>(P606-Q606)</f>
        <v>-20</v>
      </c>
      <c r="V606" s="14">
        <v>1</v>
      </c>
      <c r="W606" s="14">
        <v>1</v>
      </c>
      <c r="X606" s="20" t="str">
        <f>IF(ISBLANK(V606),"",IF(V606&gt;W606,"1",IF(V606&lt;W606,"2",IF(V606=W606,"X"))))</f>
        <v>X</v>
      </c>
      <c r="Y606" s="23" t="str">
        <f>COUNTIF(F606:J606, "W")&amp;COUNTIF(F606:J606, "d")&amp;COUNTIF(F606:J606, "l")</f>
        <v>212</v>
      </c>
      <c r="Z606" s="13" t="str">
        <f>COUNTIF(K606:O606, "W")&amp;COUNTIF(K606:O606, "d")&amp;COUNTIF(K606:O606, "l")</f>
        <v>212</v>
      </c>
      <c r="AA606" s="23" t="str">
        <f>_xlfn.CONCAT(Y606,"-",Z606)</f>
        <v>212-212</v>
      </c>
      <c r="AB606" s="15" t="str">
        <f>_xlfn.CONCAT(AA606,"…",TEXT(U606,"+00;-00;+00;"))</f>
        <v>212-212…-20</v>
      </c>
      <c r="AC606" s="23" t="str">
        <f>_xlfn.CONCAT(TEXT(P606,"+00;-00;+00;"),"…",TEXT(Q606,"+00;-00;+00;"))</f>
        <v>-10…+10</v>
      </c>
      <c r="AD606" s="14" t="str">
        <f>IF(X606="","?","")</f>
        <v/>
      </c>
      <c r="AE606" s="15" t="str">
        <f>_xlfn.CONCAT(AA606,"…",TEXT(P606,"+00;-00;+00;"),"...",TEXT(Q606,"+00;-00;+00;"))</f>
        <v>212-212…-10...+10</v>
      </c>
      <c r="AF606" s="13" t="str">
        <f>_xlfn.CONCAT(R606,"…",TEXT(P606,"+00;-00;+00;"),"...",TEXT(Q606,"+00;-00;+00;"))</f>
        <v>LWWLD…-10...+10</v>
      </c>
    </row>
    <row r="607" spans="1:32" x14ac:dyDescent="0.25">
      <c r="A607" s="12" t="s">
        <v>1060</v>
      </c>
      <c r="B607" s="13" t="s">
        <v>7</v>
      </c>
      <c r="C607" s="14" t="s">
        <v>32</v>
      </c>
      <c r="D607" s="13" t="s">
        <v>504</v>
      </c>
      <c r="E607" s="13" t="s">
        <v>36</v>
      </c>
      <c r="F607" s="15" t="s">
        <v>30</v>
      </c>
      <c r="G607" s="15" t="s">
        <v>29</v>
      </c>
      <c r="H607" s="15" t="s">
        <v>31</v>
      </c>
      <c r="I607" s="15" t="s">
        <v>31</v>
      </c>
      <c r="J607" s="15" t="s">
        <v>30</v>
      </c>
      <c r="K607" s="15" t="s">
        <v>30</v>
      </c>
      <c r="L607" s="15" t="s">
        <v>30</v>
      </c>
      <c r="M607" s="15" t="s">
        <v>30</v>
      </c>
      <c r="N607" s="15" t="s">
        <v>29</v>
      </c>
      <c r="O607" s="15" t="s">
        <v>30</v>
      </c>
      <c r="P607" s="18">
        <v>8</v>
      </c>
      <c r="Q607" s="18">
        <v>16</v>
      </c>
      <c r="R607" s="15" t="str">
        <f>_xlfn.CONCAT(F607,G607,H607,I607,J607)</f>
        <v>WDLLW</v>
      </c>
      <c r="S607" s="13" t="str">
        <f>_xlfn.CONCAT(K607,L607,M607,N607,O607)</f>
        <v>WWWDW</v>
      </c>
      <c r="T607" s="13" t="str">
        <f>_xlfn.CONCAT(R607,"***",S607)</f>
        <v>WDLLW***WWWDW</v>
      </c>
      <c r="U607" s="19">
        <f>(P607-Q607)</f>
        <v>-8</v>
      </c>
      <c r="V607" s="14">
        <v>1</v>
      </c>
      <c r="W607" s="14">
        <v>0</v>
      </c>
      <c r="X607" s="20" t="str">
        <f>IF(ISBLANK(V607),"",IF(V607&gt;W607,"1",IF(V607&lt;W607,"2",IF(V607=W607,"X"))))</f>
        <v>1</v>
      </c>
      <c r="Y607" s="23" t="str">
        <f>COUNTIF(F607:J607, "W")&amp;COUNTIF(F607:J607, "d")&amp;COUNTIF(F607:J607, "l")</f>
        <v>212</v>
      </c>
      <c r="Z607" s="13" t="str">
        <f>COUNTIF(K607:O607, "W")&amp;COUNTIF(K607:O607, "d")&amp;COUNTIF(K607:O607, "l")</f>
        <v>410</v>
      </c>
      <c r="AA607" s="23" t="str">
        <f>_xlfn.CONCAT(Y607,"-",Z607)</f>
        <v>212-410</v>
      </c>
      <c r="AB607" s="15" t="str">
        <f>_xlfn.CONCAT(AA607,"…",TEXT(U607,"+00;-00;+00;"))</f>
        <v>212-410…-08</v>
      </c>
      <c r="AC607" s="23" t="str">
        <f>_xlfn.CONCAT(TEXT(P607,"+00;-00;+00;"),"…",TEXT(Q607,"+00;-00;+00;"))</f>
        <v>+08…+16</v>
      </c>
      <c r="AD607" s="14" t="str">
        <f>IF(X607="","?","")</f>
        <v/>
      </c>
      <c r="AE607" s="15" t="str">
        <f>_xlfn.CONCAT(AA607,"…",TEXT(P607,"+00;-00;+00;"),"...",TEXT(Q607,"+00;-00;+00;"))</f>
        <v>212-410…+08...+16</v>
      </c>
      <c r="AF607" s="13" t="str">
        <f>_xlfn.CONCAT(R607,"…",TEXT(P607,"+00;-00;+00;"),"...",TEXT(Q607,"+00;-00;+00;"))</f>
        <v>WDLLW…+08...+16</v>
      </c>
    </row>
    <row r="608" spans="1:32" x14ac:dyDescent="0.25">
      <c r="A608" s="12" t="s">
        <v>1059</v>
      </c>
      <c r="B608" s="13" t="s">
        <v>7</v>
      </c>
      <c r="C608" s="14" t="s">
        <v>32</v>
      </c>
      <c r="D608" s="13" t="s">
        <v>489</v>
      </c>
      <c r="E608" s="13" t="s">
        <v>501</v>
      </c>
      <c r="F608" s="15" t="s">
        <v>30</v>
      </c>
      <c r="G608" s="15" t="s">
        <v>31</v>
      </c>
      <c r="H608" s="15" t="s">
        <v>31</v>
      </c>
      <c r="I608" s="15" t="s">
        <v>30</v>
      </c>
      <c r="J608" s="15" t="s">
        <v>31</v>
      </c>
      <c r="K608" s="15" t="s">
        <v>31</v>
      </c>
      <c r="L608" s="15" t="s">
        <v>29</v>
      </c>
      <c r="M608" s="15" t="s">
        <v>31</v>
      </c>
      <c r="N608" s="15" t="s">
        <v>30</v>
      </c>
      <c r="O608" s="15" t="s">
        <v>31</v>
      </c>
      <c r="P608" s="18">
        <v>5</v>
      </c>
      <c r="Q608" s="18">
        <v>-6</v>
      </c>
      <c r="R608" s="15" t="str">
        <f>_xlfn.CONCAT(F608,G608,H608,I608,J608)</f>
        <v>WLLWL</v>
      </c>
      <c r="S608" s="13" t="str">
        <f>_xlfn.CONCAT(K608,L608,M608,N608,O608)</f>
        <v>LDLWL</v>
      </c>
      <c r="T608" s="13" t="str">
        <f>_xlfn.CONCAT(R608,"***",S608)</f>
        <v>WLLWL***LDLWL</v>
      </c>
      <c r="U608" s="19">
        <f>(P608-Q608)</f>
        <v>11</v>
      </c>
      <c r="V608" s="14">
        <v>0</v>
      </c>
      <c r="W608" s="14">
        <v>1</v>
      </c>
      <c r="X608" s="20" t="str">
        <f>IF(ISBLANK(V608),"",IF(V608&gt;W608,"1",IF(V608&lt;W608,"2",IF(V608=W608,"X"))))</f>
        <v>2</v>
      </c>
      <c r="Y608" s="23" t="str">
        <f>COUNTIF(F608:J608, "W")&amp;COUNTIF(F608:J608, "d")&amp;COUNTIF(F608:J608, "l")</f>
        <v>203</v>
      </c>
      <c r="Z608" s="13" t="str">
        <f>COUNTIF(K608:O608, "W")&amp;COUNTIF(K608:O608, "d")&amp;COUNTIF(K608:O608, "l")</f>
        <v>113</v>
      </c>
      <c r="AA608" s="23" t="str">
        <f>_xlfn.CONCAT(Y608,"-",Z608)</f>
        <v>203-113</v>
      </c>
      <c r="AB608" s="15" t="str">
        <f>_xlfn.CONCAT(AA608,"…",TEXT(U608,"+00;-00;+00;"))</f>
        <v>203-113…+11</v>
      </c>
      <c r="AC608" s="23" t="str">
        <f>_xlfn.CONCAT(TEXT(P608,"+00;-00;+00;"),"…",TEXT(Q608,"+00;-00;+00;"))</f>
        <v>+05…-06</v>
      </c>
      <c r="AD608" s="14" t="str">
        <f>IF(X608="","?","")</f>
        <v/>
      </c>
      <c r="AE608" s="15" t="str">
        <f>_xlfn.CONCAT(AA608,"…",TEXT(P608,"+00;-00;+00;"),"...",TEXT(Q608,"+00;-00;+00;"))</f>
        <v>203-113…+05...-06</v>
      </c>
      <c r="AF608" s="13" t="str">
        <f>_xlfn.CONCAT(R608,"…",TEXT(P608,"+00;-00;+00;"),"...",TEXT(Q608,"+00;-00;+00;"))</f>
        <v>WLLWL…+05...-06</v>
      </c>
    </row>
    <row r="609" spans="1:32" x14ac:dyDescent="0.25">
      <c r="A609" s="12" t="s">
        <v>1059</v>
      </c>
      <c r="B609" s="13" t="s">
        <v>7</v>
      </c>
      <c r="C609" s="14" t="s">
        <v>32</v>
      </c>
      <c r="D609" s="13" t="s">
        <v>659</v>
      </c>
      <c r="E609" s="13" t="s">
        <v>56</v>
      </c>
      <c r="F609" s="15" t="s">
        <v>31</v>
      </c>
      <c r="G609" s="15" t="s">
        <v>31</v>
      </c>
      <c r="H609" s="15" t="s">
        <v>30</v>
      </c>
      <c r="I609" s="15" t="s">
        <v>31</v>
      </c>
      <c r="J609" s="15" t="s">
        <v>30</v>
      </c>
      <c r="K609" s="15" t="s">
        <v>31</v>
      </c>
      <c r="L609" s="15" t="s">
        <v>31</v>
      </c>
      <c r="M609" s="15" t="s">
        <v>30</v>
      </c>
      <c r="N609" s="15" t="s">
        <v>29</v>
      </c>
      <c r="O609" s="15" t="s">
        <v>30</v>
      </c>
      <c r="P609" s="18">
        <v>0</v>
      </c>
      <c r="Q609" s="18">
        <v>3</v>
      </c>
      <c r="R609" s="15" t="str">
        <f>_xlfn.CONCAT(F609,G609,H609,I609,J609)</f>
        <v>LLWLW</v>
      </c>
      <c r="S609" s="13" t="str">
        <f>_xlfn.CONCAT(K609,L609,M609,N609,O609)</f>
        <v>LLWDW</v>
      </c>
      <c r="T609" s="13" t="str">
        <f>_xlfn.CONCAT(R609,"***",S609)</f>
        <v>LLWLW***LLWDW</v>
      </c>
      <c r="U609" s="19">
        <f>(P609-Q609)</f>
        <v>-3</v>
      </c>
      <c r="V609" s="14">
        <v>1</v>
      </c>
      <c r="W609" s="14">
        <v>2</v>
      </c>
      <c r="X609" s="20" t="str">
        <f>IF(ISBLANK(V609),"",IF(V609&gt;W609,"1",IF(V609&lt;W609,"2",IF(V609=W609,"X"))))</f>
        <v>2</v>
      </c>
      <c r="Y609" s="23" t="str">
        <f>COUNTIF(F609:J609, "W")&amp;COUNTIF(F609:J609, "d")&amp;COUNTIF(F609:J609, "l")</f>
        <v>203</v>
      </c>
      <c r="Z609" s="13" t="str">
        <f>COUNTIF(K609:O609, "W")&amp;COUNTIF(K609:O609, "d")&amp;COUNTIF(K609:O609, "l")</f>
        <v>212</v>
      </c>
      <c r="AA609" s="23" t="str">
        <f>_xlfn.CONCAT(Y609,"-",Z609)</f>
        <v>203-212</v>
      </c>
      <c r="AB609" s="15" t="str">
        <f>_xlfn.CONCAT(AA609,"…",TEXT(U609,"+00;-00;+00;"))</f>
        <v>203-212…-03</v>
      </c>
      <c r="AC609" s="23" t="str">
        <f>_xlfn.CONCAT(TEXT(P609,"+00;-00;+00;"),"…",TEXT(Q609,"+00;-00;+00;"))</f>
        <v>+00…+03</v>
      </c>
      <c r="AD609" s="14" t="str">
        <f>IF(X609="","?","")</f>
        <v/>
      </c>
      <c r="AE609" s="15" t="str">
        <f>_xlfn.CONCAT(AA609,"…",TEXT(P609,"+00;-00;+00;"),"...",TEXT(Q609,"+00;-00;+00;"))</f>
        <v>203-212…+00...+03</v>
      </c>
      <c r="AF609" s="13" t="str">
        <f>_xlfn.CONCAT(R609,"…",TEXT(P609,"+00;-00;+00;"),"...",TEXT(Q609,"+00;-00;+00;"))</f>
        <v>LLWLW…+00...+03</v>
      </c>
    </row>
    <row r="610" spans="1:32" x14ac:dyDescent="0.25">
      <c r="A610" s="12" t="s">
        <v>1059</v>
      </c>
      <c r="B610" s="13" t="s">
        <v>7</v>
      </c>
      <c r="C610" s="14" t="s">
        <v>32</v>
      </c>
      <c r="D610" s="13" t="s">
        <v>873</v>
      </c>
      <c r="E610" s="13" t="s">
        <v>507</v>
      </c>
      <c r="F610" s="15" t="s">
        <v>30</v>
      </c>
      <c r="G610" s="15" t="s">
        <v>30</v>
      </c>
      <c r="H610" s="15" t="s">
        <v>29</v>
      </c>
      <c r="I610" s="15" t="s">
        <v>30</v>
      </c>
      <c r="J610" s="15" t="s">
        <v>31</v>
      </c>
      <c r="K610" s="15" t="s">
        <v>31</v>
      </c>
      <c r="L610" s="15" t="s">
        <v>29</v>
      </c>
      <c r="M610" s="15" t="s">
        <v>31</v>
      </c>
      <c r="N610" s="15" t="s">
        <v>31</v>
      </c>
      <c r="O610" s="15" t="s">
        <v>30</v>
      </c>
      <c r="P610" s="18">
        <v>26</v>
      </c>
      <c r="Q610" s="18">
        <v>-6</v>
      </c>
      <c r="R610" s="15" t="str">
        <f>_xlfn.CONCAT(F610,G610,H610,I610,J610)</f>
        <v>WWDWL</v>
      </c>
      <c r="S610" s="13" t="str">
        <f>_xlfn.CONCAT(K610,L610,M610,N610,O610)</f>
        <v>LDLLW</v>
      </c>
      <c r="T610" s="13" t="str">
        <f>_xlfn.CONCAT(R610,"***",S610)</f>
        <v>WWDWL***LDLLW</v>
      </c>
      <c r="U610" s="19">
        <f>(P610-Q610)</f>
        <v>32</v>
      </c>
      <c r="V610" s="14">
        <v>3</v>
      </c>
      <c r="W610" s="14">
        <v>2</v>
      </c>
      <c r="X610" s="20" t="str">
        <f>IF(ISBLANK(V610),"",IF(V610&gt;W610,"1",IF(V610&lt;W610,"2",IF(V610=W610,"X"))))</f>
        <v>1</v>
      </c>
      <c r="Y610" s="23" t="str">
        <f>COUNTIF(F610:J610, "W")&amp;COUNTIF(F610:J610, "d")&amp;COUNTIF(F610:J610, "l")</f>
        <v>311</v>
      </c>
      <c r="Z610" s="13" t="str">
        <f>COUNTIF(K610:O610, "W")&amp;COUNTIF(K610:O610, "d")&amp;COUNTIF(K610:O610, "l")</f>
        <v>113</v>
      </c>
      <c r="AA610" s="23" t="str">
        <f>_xlfn.CONCAT(Y610,"-",Z610)</f>
        <v>311-113</v>
      </c>
      <c r="AB610" s="15" t="str">
        <f>_xlfn.CONCAT(AA610,"…",TEXT(U610,"+00;-00;+00;"))</f>
        <v>311-113…+32</v>
      </c>
      <c r="AC610" s="23" t="str">
        <f>_xlfn.CONCAT(TEXT(P610,"+00;-00;+00;"),"…",TEXT(Q610,"+00;-00;+00;"))</f>
        <v>+26…-06</v>
      </c>
      <c r="AD610" s="14" t="str">
        <f>IF(X610="","?","")</f>
        <v/>
      </c>
      <c r="AE610" s="15" t="str">
        <f>_xlfn.CONCAT(AA610,"…",TEXT(P610,"+00;-00;+00;"),"...",TEXT(Q610,"+00;-00;+00;"))</f>
        <v>311-113…+26...-06</v>
      </c>
      <c r="AF610" s="13" t="str">
        <f>_xlfn.CONCAT(R610,"…",TEXT(P610,"+00;-00;+00;"),"...",TEXT(Q610,"+00;-00;+00;"))</f>
        <v>WWDWL…+26...-06</v>
      </c>
    </row>
    <row r="611" spans="1:32" x14ac:dyDescent="0.25">
      <c r="A611" s="12" t="s">
        <v>1059</v>
      </c>
      <c r="B611" s="13" t="s">
        <v>7</v>
      </c>
      <c r="C611" s="14" t="s">
        <v>32</v>
      </c>
      <c r="D611" s="13" t="s">
        <v>48</v>
      </c>
      <c r="E611" s="13" t="s">
        <v>491</v>
      </c>
      <c r="F611" s="15" t="s">
        <v>30</v>
      </c>
      <c r="G611" s="15" t="s">
        <v>30</v>
      </c>
      <c r="H611" s="15" t="s">
        <v>30</v>
      </c>
      <c r="I611" s="15" t="s">
        <v>31</v>
      </c>
      <c r="J611" s="15" t="s">
        <v>29</v>
      </c>
      <c r="K611" s="15" t="s">
        <v>31</v>
      </c>
      <c r="L611" s="15" t="s">
        <v>30</v>
      </c>
      <c r="M611" s="15" t="s">
        <v>31</v>
      </c>
      <c r="N611" s="15" t="s">
        <v>30</v>
      </c>
      <c r="O611" s="15" t="s">
        <v>31</v>
      </c>
      <c r="P611" s="18">
        <v>-11</v>
      </c>
      <c r="Q611" s="18">
        <v>-2</v>
      </c>
      <c r="R611" s="15" t="str">
        <f>_xlfn.CONCAT(F611,G611,H611,I611,J611)</f>
        <v>WWWLD</v>
      </c>
      <c r="S611" s="13" t="str">
        <f>_xlfn.CONCAT(K611,L611,M611,N611,O611)</f>
        <v>LWLWL</v>
      </c>
      <c r="T611" s="13" t="str">
        <f>_xlfn.CONCAT(R611,"***",S611)</f>
        <v>WWWLD***LWLWL</v>
      </c>
      <c r="U611" s="19">
        <f>(P611-Q611)</f>
        <v>-9</v>
      </c>
      <c r="V611" s="14">
        <v>0</v>
      </c>
      <c r="W611" s="14">
        <v>0</v>
      </c>
      <c r="X611" s="20" t="str">
        <f>IF(ISBLANK(V611),"",IF(V611&gt;W611,"1",IF(V611&lt;W611,"2",IF(V611=W611,"X"))))</f>
        <v>X</v>
      </c>
      <c r="Y611" s="23" t="str">
        <f>COUNTIF(F611:J611, "W")&amp;COUNTIF(F611:J611, "d")&amp;COUNTIF(F611:J611, "l")</f>
        <v>311</v>
      </c>
      <c r="Z611" s="13" t="str">
        <f>COUNTIF(K611:O611, "W")&amp;COUNTIF(K611:O611, "d")&amp;COUNTIF(K611:O611, "l")</f>
        <v>203</v>
      </c>
      <c r="AA611" s="23" t="str">
        <f>_xlfn.CONCAT(Y611,"-",Z611)</f>
        <v>311-203</v>
      </c>
      <c r="AB611" s="15" t="str">
        <f>_xlfn.CONCAT(AA611,"…",TEXT(U611,"+00;-00;+00;"))</f>
        <v>311-203…-09</v>
      </c>
      <c r="AC611" s="23" t="str">
        <f>_xlfn.CONCAT(TEXT(P611,"+00;-00;+00;"),"…",TEXT(Q611,"+00;-00;+00;"))</f>
        <v>-11…-02</v>
      </c>
      <c r="AD611" s="14" t="str">
        <f>IF(X611="","?","")</f>
        <v/>
      </c>
      <c r="AE611" s="15" t="str">
        <f>_xlfn.CONCAT(AA611,"…",TEXT(P611,"+00;-00;+00;"),"...",TEXT(Q611,"+00;-00;+00;"))</f>
        <v>311-203…-11...-02</v>
      </c>
      <c r="AF611" s="13" t="str">
        <f>_xlfn.CONCAT(R611,"…",TEXT(P611,"+00;-00;+00;"),"...",TEXT(Q611,"+00;-00;+00;"))</f>
        <v>WWWLD…-11...-02</v>
      </c>
    </row>
    <row r="612" spans="1:32" x14ac:dyDescent="0.25">
      <c r="A612" s="12" t="s">
        <v>1059</v>
      </c>
      <c r="B612" s="13" t="s">
        <v>7</v>
      </c>
      <c r="C612" s="14" t="s">
        <v>32</v>
      </c>
      <c r="D612" s="13" t="s">
        <v>496</v>
      </c>
      <c r="E612" s="13" t="s">
        <v>38</v>
      </c>
      <c r="F612" s="15" t="s">
        <v>29</v>
      </c>
      <c r="G612" s="15" t="s">
        <v>30</v>
      </c>
      <c r="H612" s="15" t="s">
        <v>31</v>
      </c>
      <c r="I612" s="15" t="s">
        <v>30</v>
      </c>
      <c r="J612" s="15" t="s">
        <v>30</v>
      </c>
      <c r="K612" s="15" t="s">
        <v>30</v>
      </c>
      <c r="L612" s="15" t="s">
        <v>30</v>
      </c>
      <c r="M612" s="15" t="s">
        <v>29</v>
      </c>
      <c r="N612" s="15" t="s">
        <v>31</v>
      </c>
      <c r="O612" s="15" t="s">
        <v>31</v>
      </c>
      <c r="P612" s="18">
        <v>-2</v>
      </c>
      <c r="Q612" s="18">
        <v>-18</v>
      </c>
      <c r="R612" s="15" t="str">
        <f>_xlfn.CONCAT(F612,G612,H612,I612,J612)</f>
        <v>DWLWW</v>
      </c>
      <c r="S612" s="13" t="str">
        <f>_xlfn.CONCAT(K612,L612,M612,N612,O612)</f>
        <v>WWDLL</v>
      </c>
      <c r="T612" s="13" t="str">
        <f>_xlfn.CONCAT(R612,"***",S612)</f>
        <v>DWLWW***WWDLL</v>
      </c>
      <c r="U612" s="19">
        <f>(P612-Q612)</f>
        <v>16</v>
      </c>
      <c r="V612" s="14">
        <v>3</v>
      </c>
      <c r="W612" s="14">
        <v>1</v>
      </c>
      <c r="X612" s="20" t="str">
        <f>IF(ISBLANK(V612),"",IF(V612&gt;W612,"1",IF(V612&lt;W612,"2",IF(V612=W612,"X"))))</f>
        <v>1</v>
      </c>
      <c r="Y612" s="23" t="str">
        <f>COUNTIF(F612:J612, "W")&amp;COUNTIF(F612:J612, "d")&amp;COUNTIF(F612:J612, "l")</f>
        <v>311</v>
      </c>
      <c r="Z612" s="13" t="str">
        <f>COUNTIF(K612:O612, "W")&amp;COUNTIF(K612:O612, "d")&amp;COUNTIF(K612:O612, "l")</f>
        <v>212</v>
      </c>
      <c r="AA612" s="23" t="str">
        <f>_xlfn.CONCAT(Y612,"-",Z612)</f>
        <v>311-212</v>
      </c>
      <c r="AB612" s="15" t="str">
        <f>_xlfn.CONCAT(AA612,"…",TEXT(U612,"+00;-00;+00;"))</f>
        <v>311-212…+16</v>
      </c>
      <c r="AC612" s="23" t="str">
        <f>_xlfn.CONCAT(TEXT(P612,"+00;-00;+00;"),"…",TEXT(Q612,"+00;-00;+00;"))</f>
        <v>-02…-18</v>
      </c>
      <c r="AD612" s="14" t="str">
        <f>IF(X612="","?","")</f>
        <v/>
      </c>
      <c r="AE612" s="15" t="str">
        <f>_xlfn.CONCAT(AA612,"…",TEXT(P612,"+00;-00;+00;"),"...",TEXT(Q612,"+00;-00;+00;"))</f>
        <v>311-212…-02...-18</v>
      </c>
      <c r="AF612" s="13" t="str">
        <f>_xlfn.CONCAT(R612,"…",TEXT(P612,"+00;-00;+00;"),"...",TEXT(Q612,"+00;-00;+00;"))</f>
        <v>DWLWW…-02...-18</v>
      </c>
    </row>
    <row r="613" spans="1:32" x14ac:dyDescent="0.25">
      <c r="A613" s="12" t="s">
        <v>1059</v>
      </c>
      <c r="B613" s="13" t="s">
        <v>7</v>
      </c>
      <c r="C613" s="14" t="s">
        <v>32</v>
      </c>
      <c r="D613" s="13" t="s">
        <v>870</v>
      </c>
      <c r="E613" s="13" t="s">
        <v>660</v>
      </c>
      <c r="F613" s="15" t="s">
        <v>30</v>
      </c>
      <c r="G613" s="15" t="s">
        <v>31</v>
      </c>
      <c r="H613" s="15" t="s">
        <v>30</v>
      </c>
      <c r="I613" s="15" t="s">
        <v>30</v>
      </c>
      <c r="J613" s="15" t="s">
        <v>29</v>
      </c>
      <c r="K613" s="15" t="s">
        <v>29</v>
      </c>
      <c r="L613" s="15" t="s">
        <v>30</v>
      </c>
      <c r="M613" s="15" t="s">
        <v>30</v>
      </c>
      <c r="N613" s="15" t="s">
        <v>29</v>
      </c>
      <c r="O613" s="15" t="s">
        <v>30</v>
      </c>
      <c r="P613" s="18">
        <v>3</v>
      </c>
      <c r="Q613" s="18">
        <v>4</v>
      </c>
      <c r="R613" s="15" t="str">
        <f>_xlfn.CONCAT(F613,G613,H613,I613,J613)</f>
        <v>WLWWD</v>
      </c>
      <c r="S613" s="13" t="str">
        <f>_xlfn.CONCAT(K613,L613,M613,N613,O613)</f>
        <v>DWWDW</v>
      </c>
      <c r="T613" s="13" t="str">
        <f>_xlfn.CONCAT(R613,"***",S613)</f>
        <v>WLWWD***DWWDW</v>
      </c>
      <c r="U613" s="19">
        <f>(P613-Q613)</f>
        <v>-1</v>
      </c>
      <c r="V613" s="14">
        <v>1</v>
      </c>
      <c r="W613" s="14">
        <v>1</v>
      </c>
      <c r="X613" s="20" t="str">
        <f>IF(ISBLANK(V613),"",IF(V613&gt;W613,"1",IF(V613&lt;W613,"2",IF(V613=W613,"X"))))</f>
        <v>X</v>
      </c>
      <c r="Y613" s="23" t="str">
        <f>COUNTIF(F613:J613, "W")&amp;COUNTIF(F613:J613, "d")&amp;COUNTIF(F613:J613, "l")</f>
        <v>311</v>
      </c>
      <c r="Z613" s="13" t="str">
        <f>COUNTIF(K613:O613, "W")&amp;COUNTIF(K613:O613, "d")&amp;COUNTIF(K613:O613, "l")</f>
        <v>320</v>
      </c>
      <c r="AA613" s="23" t="str">
        <f>_xlfn.CONCAT(Y613,"-",Z613)</f>
        <v>311-320</v>
      </c>
      <c r="AB613" s="15" t="str">
        <f>_xlfn.CONCAT(AA613,"…",TEXT(U613,"+00;-00;+00;"))</f>
        <v>311-320…-01</v>
      </c>
      <c r="AC613" s="23" t="str">
        <f>_xlfn.CONCAT(TEXT(P613,"+00;-00;+00;"),"…",TEXT(Q613,"+00;-00;+00;"))</f>
        <v>+03…+04</v>
      </c>
      <c r="AD613" s="14" t="str">
        <f>IF(X613="","?","")</f>
        <v/>
      </c>
      <c r="AE613" s="15" t="str">
        <f>_xlfn.CONCAT(AA613,"…",TEXT(P613,"+00;-00;+00;"),"...",TEXT(Q613,"+00;-00;+00;"))</f>
        <v>311-320…+03...+04</v>
      </c>
      <c r="AF613" s="13" t="str">
        <f>_xlfn.CONCAT(R613,"…",TEXT(P613,"+00;-00;+00;"),"...",TEXT(Q613,"+00;-00;+00;"))</f>
        <v>WLWWD…+03...+04</v>
      </c>
    </row>
    <row r="614" spans="1:32" x14ac:dyDescent="0.25">
      <c r="A614" s="12" t="s">
        <v>1175</v>
      </c>
      <c r="B614" s="13" t="s">
        <v>414</v>
      </c>
      <c r="C614" s="14">
        <v>1</v>
      </c>
      <c r="D614" s="13" t="s">
        <v>909</v>
      </c>
      <c r="E614" s="13" t="s">
        <v>908</v>
      </c>
      <c r="F614" s="15" t="s">
        <v>29</v>
      </c>
      <c r="G614" s="15" t="s">
        <v>30</v>
      </c>
      <c r="H614" s="15" t="s">
        <v>31</v>
      </c>
      <c r="I614" s="15" t="s">
        <v>31</v>
      </c>
      <c r="J614" s="15" t="s">
        <v>30</v>
      </c>
      <c r="K614" s="15" t="s">
        <v>29</v>
      </c>
      <c r="L614" s="15" t="s">
        <v>31</v>
      </c>
      <c r="M614" s="15" t="s">
        <v>29</v>
      </c>
      <c r="N614" s="15" t="s">
        <v>31</v>
      </c>
      <c r="O614" s="15" t="s">
        <v>30</v>
      </c>
      <c r="P614" s="18">
        <v>-2</v>
      </c>
      <c r="Q614" s="18">
        <v>-3</v>
      </c>
      <c r="R614" s="15" t="str">
        <f>_xlfn.CONCAT(F614,G614,H614,I614,J614)</f>
        <v>DWLLW</v>
      </c>
      <c r="S614" s="13" t="str">
        <f>_xlfn.CONCAT(K614,L614,M614,N614,O614)</f>
        <v>DLDLW</v>
      </c>
      <c r="T614" s="13" t="str">
        <f>_xlfn.CONCAT(R614,"***",S614)</f>
        <v>DWLLW***DLDLW</v>
      </c>
      <c r="U614" s="19">
        <f>(P614-Q614)</f>
        <v>1</v>
      </c>
      <c r="V614" s="14"/>
      <c r="W614" s="14"/>
      <c r="X614" s="20" t="str">
        <f>IF(ISBLANK(V614),"",IF(V614&gt;W614,"1",IF(V614&lt;W614,"2",IF(V614=W614,"X"))))</f>
        <v/>
      </c>
      <c r="Y614" s="23" t="str">
        <f>COUNTIF(F614:J614, "W")&amp;COUNTIF(F614:J614, "d")&amp;COUNTIF(F614:J614, "l")</f>
        <v>212</v>
      </c>
      <c r="Z614" s="13" t="str">
        <f>COUNTIF(K614:O614, "W")&amp;COUNTIF(K614:O614, "d")&amp;COUNTIF(K614:O614, "l")</f>
        <v>122</v>
      </c>
      <c r="AA614" s="23" t="str">
        <f>_xlfn.CONCAT(Y614,"-",Z614)</f>
        <v>212-122</v>
      </c>
      <c r="AB614" s="15" t="str">
        <f>_xlfn.CONCAT(AA614,"…",TEXT(U614,"+00;-00;+00;"))</f>
        <v>212-122…+01</v>
      </c>
      <c r="AC614" s="23" t="str">
        <f>_xlfn.CONCAT(TEXT(P614,"+00;-00;+00;"),"…",TEXT(Q614,"+00;-00;+00;"))</f>
        <v>-02…-03</v>
      </c>
      <c r="AD614" s="14" t="str">
        <f>IF(X614="","?","")</f>
        <v>?</v>
      </c>
      <c r="AE614" s="15" t="str">
        <f>_xlfn.CONCAT(AA614,"…",TEXT(P614,"+00;-00;+00;"),"...",TEXT(Q614,"+00;-00;+00;"))</f>
        <v>212-122…-02...-03</v>
      </c>
      <c r="AF614" s="13" t="str">
        <f>_xlfn.CONCAT(R614,"…",TEXT(P614,"+00;-00;+00;"),"...",TEXT(Q614,"+00;-00;+00;"))</f>
        <v>DWLLW…-02...-03</v>
      </c>
    </row>
    <row r="615" spans="1:32" x14ac:dyDescent="0.25">
      <c r="A615" s="12" t="s">
        <v>1150</v>
      </c>
      <c r="B615" s="13" t="s">
        <v>208</v>
      </c>
      <c r="C615" s="14">
        <v>2</v>
      </c>
      <c r="D615" s="13" t="s">
        <v>237</v>
      </c>
      <c r="E615" s="13" t="s">
        <v>238</v>
      </c>
      <c r="F615" s="15" t="s">
        <v>30</v>
      </c>
      <c r="G615" s="15" t="s">
        <v>30</v>
      </c>
      <c r="H615" s="15" t="s">
        <v>31</v>
      </c>
      <c r="I615" s="15" t="s">
        <v>31</v>
      </c>
      <c r="J615" s="15" t="s">
        <v>30</v>
      </c>
      <c r="K615" s="15" t="s">
        <v>31</v>
      </c>
      <c r="L615" s="15" t="s">
        <v>29</v>
      </c>
      <c r="M615" s="15" t="s">
        <v>31</v>
      </c>
      <c r="N615" s="15" t="s">
        <v>30</v>
      </c>
      <c r="O615" s="15" t="s">
        <v>29</v>
      </c>
      <c r="P615" s="18">
        <v>-3</v>
      </c>
      <c r="Q615" s="18">
        <v>-8</v>
      </c>
      <c r="R615" s="15" t="str">
        <f>_xlfn.CONCAT(F615,G615,H615,I615,J615)</f>
        <v>WWLLW</v>
      </c>
      <c r="S615" s="13" t="str">
        <f>_xlfn.CONCAT(K615,L615,M615,N615,O615)</f>
        <v>LDLWD</v>
      </c>
      <c r="T615" s="13" t="str">
        <f>_xlfn.CONCAT(R615,"***",S615)</f>
        <v>WWLLW***LDLWD</v>
      </c>
      <c r="U615" s="19">
        <f>(P615-Q615)</f>
        <v>5</v>
      </c>
      <c r="V615" s="14"/>
      <c r="W615" s="14"/>
      <c r="X615" s="20" t="str">
        <f>IF(ISBLANK(V615),"",IF(V615&gt;W615,"1",IF(V615&lt;W615,"2",IF(V615=W615,"X"))))</f>
        <v/>
      </c>
      <c r="Y615" s="23" t="str">
        <f>COUNTIF(F615:J615, "W")&amp;COUNTIF(F615:J615, "d")&amp;COUNTIF(F615:J615, "l")</f>
        <v>302</v>
      </c>
      <c r="Z615" s="13" t="str">
        <f>COUNTIF(K615:O615, "W")&amp;COUNTIF(K615:O615, "d")&amp;COUNTIF(K615:O615, "l")</f>
        <v>122</v>
      </c>
      <c r="AA615" s="23" t="str">
        <f>_xlfn.CONCAT(Y615,"-",Z615)</f>
        <v>302-122</v>
      </c>
      <c r="AB615" s="15" t="str">
        <f>_xlfn.CONCAT(AA615,"…",TEXT(U615,"+00;-00;+00;"))</f>
        <v>302-122…+05</v>
      </c>
      <c r="AC615" s="23" t="str">
        <f>_xlfn.CONCAT(TEXT(P615,"+00;-00;+00;"),"…",TEXT(Q615,"+00;-00;+00;"))</f>
        <v>-03…-08</v>
      </c>
      <c r="AD615" s="14" t="str">
        <f>IF(X615="","?","")</f>
        <v>?</v>
      </c>
      <c r="AE615" s="15" t="str">
        <f>_xlfn.CONCAT(AA615,"…",TEXT(P615,"+00;-00;+00;"),"...",TEXT(Q615,"+00;-00;+00;"))</f>
        <v>302-122…-03...-08</v>
      </c>
      <c r="AF615" s="13" t="str">
        <f>_xlfn.CONCAT(R615,"…",TEXT(P615,"+00;-00;+00;"),"...",TEXT(Q615,"+00;-00;+00;"))</f>
        <v>WWLLW…-03...-08</v>
      </c>
    </row>
    <row r="616" spans="1:32" x14ac:dyDescent="0.25">
      <c r="A616" s="12" t="s">
        <v>1150</v>
      </c>
      <c r="B616" s="13" t="s">
        <v>208</v>
      </c>
      <c r="C616" s="14">
        <v>2</v>
      </c>
      <c r="D616" s="13" t="s">
        <v>581</v>
      </c>
      <c r="E616" s="13" t="s">
        <v>1153</v>
      </c>
      <c r="F616" s="15" t="s">
        <v>30</v>
      </c>
      <c r="G616" s="15" t="s">
        <v>30</v>
      </c>
      <c r="H616" s="15" t="s">
        <v>31</v>
      </c>
      <c r="I616" s="15" t="s">
        <v>31</v>
      </c>
      <c r="J616" s="15" t="s">
        <v>30</v>
      </c>
      <c r="K616" s="15" t="s">
        <v>29</v>
      </c>
      <c r="L616" s="15" t="s">
        <v>30</v>
      </c>
      <c r="M616" s="15" t="s">
        <v>30</v>
      </c>
      <c r="N616" s="15" t="s">
        <v>30</v>
      </c>
      <c r="O616" s="15" t="s">
        <v>30</v>
      </c>
      <c r="P616" s="18">
        <v>-4</v>
      </c>
      <c r="Q616" s="18">
        <v>7</v>
      </c>
      <c r="R616" s="15" t="str">
        <f>_xlfn.CONCAT(F616,G616,H616,I616,J616)</f>
        <v>WWLLW</v>
      </c>
      <c r="S616" s="13" t="str">
        <f>_xlfn.CONCAT(K616,L616,M616,N616,O616)</f>
        <v>DWWWW</v>
      </c>
      <c r="T616" s="13" t="str">
        <f>_xlfn.CONCAT(R616,"***",S616)</f>
        <v>WWLLW***DWWWW</v>
      </c>
      <c r="U616" s="19">
        <f>(P616-Q616)</f>
        <v>-11</v>
      </c>
      <c r="V616" s="14"/>
      <c r="W616" s="14"/>
      <c r="X616" s="20" t="str">
        <f>IF(ISBLANK(V616),"",IF(V616&gt;W616,"1",IF(V616&lt;W616,"2",IF(V616=W616,"X"))))</f>
        <v/>
      </c>
      <c r="Y616" s="23" t="str">
        <f>COUNTIF(F616:J616, "W")&amp;COUNTIF(F616:J616, "d")&amp;COUNTIF(F616:J616, "l")</f>
        <v>302</v>
      </c>
      <c r="Z616" s="13" t="str">
        <f>COUNTIF(K616:O616, "W")&amp;COUNTIF(K616:O616, "d")&amp;COUNTIF(K616:O616, "l")</f>
        <v>410</v>
      </c>
      <c r="AA616" s="23" t="str">
        <f>_xlfn.CONCAT(Y616,"-",Z616)</f>
        <v>302-410</v>
      </c>
      <c r="AB616" s="15" t="str">
        <f>_xlfn.CONCAT(AA616,"…",TEXT(U616,"+00;-00;+00;"))</f>
        <v>302-410…-11</v>
      </c>
      <c r="AC616" s="23" t="str">
        <f>_xlfn.CONCAT(TEXT(P616,"+00;-00;+00;"),"…",TEXT(Q616,"+00;-00;+00;"))</f>
        <v>-04…+07</v>
      </c>
      <c r="AD616" s="14" t="str">
        <f>IF(X616="","?","")</f>
        <v>?</v>
      </c>
      <c r="AE616" s="15" t="str">
        <f>_xlfn.CONCAT(AA616,"…",TEXT(P616,"+00;-00;+00;"),"...",TEXT(Q616,"+00;-00;+00;"))</f>
        <v>302-410…-04...+07</v>
      </c>
      <c r="AF616" s="13" t="str">
        <f>_xlfn.CONCAT(R616,"…",TEXT(P616,"+00;-00;+00;"),"...",TEXT(Q616,"+00;-00;+00;"))</f>
        <v>WWLLW…-04...+07</v>
      </c>
    </row>
    <row r="617" spans="1:32" x14ac:dyDescent="0.25">
      <c r="A617" s="12" t="s">
        <v>1106</v>
      </c>
      <c r="B617" s="13" t="s">
        <v>250</v>
      </c>
      <c r="C617" s="14">
        <v>2</v>
      </c>
      <c r="D617" s="13" t="s">
        <v>1005</v>
      </c>
      <c r="E617" s="13" t="s">
        <v>1004</v>
      </c>
      <c r="F617" s="15" t="s">
        <v>29</v>
      </c>
      <c r="G617" s="15" t="s">
        <v>30</v>
      </c>
      <c r="H617" s="15" t="s">
        <v>31</v>
      </c>
      <c r="I617" s="15" t="s">
        <v>30</v>
      </c>
      <c r="J617" s="15" t="s">
        <v>31</v>
      </c>
      <c r="K617" s="15" t="s">
        <v>31</v>
      </c>
      <c r="L617" s="15" t="s">
        <v>29</v>
      </c>
      <c r="M617" s="15" t="s">
        <v>30</v>
      </c>
      <c r="N617" s="15" t="s">
        <v>29</v>
      </c>
      <c r="O617" s="15" t="s">
        <v>30</v>
      </c>
      <c r="P617" s="18">
        <v>-2</v>
      </c>
      <c r="Q617" s="18">
        <v>5</v>
      </c>
      <c r="R617" s="15" t="str">
        <f>_xlfn.CONCAT(F617,G617,H617,I617,J617)</f>
        <v>DWLWL</v>
      </c>
      <c r="S617" s="13" t="str">
        <f>_xlfn.CONCAT(K617,L617,M617,N617,O617)</f>
        <v>LDWDW</v>
      </c>
      <c r="T617" s="13" t="str">
        <f>_xlfn.CONCAT(R617,"***",S617)</f>
        <v>DWLWL***LDWDW</v>
      </c>
      <c r="U617" s="19">
        <f>(P617-Q617)</f>
        <v>-7</v>
      </c>
      <c r="V617" s="14"/>
      <c r="W617" s="14"/>
      <c r="X617" s="20" t="str">
        <f>IF(ISBLANK(V617),"",IF(V617&gt;W617,"1",IF(V617&lt;W617,"2",IF(V617=W617,"X"))))</f>
        <v/>
      </c>
      <c r="Y617" s="23" t="str">
        <f>COUNTIF(F617:J617, "W")&amp;COUNTIF(F617:J617, "d")&amp;COUNTIF(F617:J617, "l")</f>
        <v>212</v>
      </c>
      <c r="Z617" s="13" t="str">
        <f>COUNTIF(K617:O617, "W")&amp;COUNTIF(K617:O617, "d")&amp;COUNTIF(K617:O617, "l")</f>
        <v>221</v>
      </c>
      <c r="AA617" s="23" t="str">
        <f>_xlfn.CONCAT(Y617,"-",Z617)</f>
        <v>212-221</v>
      </c>
      <c r="AB617" s="15" t="str">
        <f>_xlfn.CONCAT(AA617,"…",TEXT(U617,"+00;-00;+00;"))</f>
        <v>212-221…-07</v>
      </c>
      <c r="AC617" s="23" t="str">
        <f>_xlfn.CONCAT(TEXT(P617,"+00;-00;+00;"),"…",TEXT(Q617,"+00;-00;+00;"))</f>
        <v>-02…+05</v>
      </c>
      <c r="AD617" s="14" t="str">
        <f>IF(X617="","?","")</f>
        <v>?</v>
      </c>
      <c r="AE617" s="15" t="str">
        <f>_xlfn.CONCAT(AA617,"…",TEXT(P617,"+00;-00;+00;"),"...",TEXT(Q617,"+00;-00;+00;"))</f>
        <v>212-221…-02...+05</v>
      </c>
      <c r="AF617" s="13" t="str">
        <f>_xlfn.CONCAT(R617,"…",TEXT(P617,"+00;-00;+00;"),"...",TEXT(Q617,"+00;-00;+00;"))</f>
        <v>DWLWL…-02...+05</v>
      </c>
    </row>
    <row r="618" spans="1:32" x14ac:dyDescent="0.25">
      <c r="A618" s="12" t="s">
        <v>1106</v>
      </c>
      <c r="B618" s="13" t="s">
        <v>208</v>
      </c>
      <c r="C618" s="14">
        <v>3</v>
      </c>
      <c r="D618" s="13" t="s">
        <v>1163</v>
      </c>
      <c r="E618" s="13" t="s">
        <v>1031</v>
      </c>
      <c r="F618" s="15" t="s">
        <v>31</v>
      </c>
      <c r="G618" s="15" t="s">
        <v>31</v>
      </c>
      <c r="H618" s="15" t="s">
        <v>30</v>
      </c>
      <c r="I618" s="15" t="s">
        <v>30</v>
      </c>
      <c r="J618" s="15" t="s">
        <v>30</v>
      </c>
      <c r="K618" s="15" t="s">
        <v>31</v>
      </c>
      <c r="L618" s="15" t="s">
        <v>31</v>
      </c>
      <c r="M618" s="15" t="s">
        <v>29</v>
      </c>
      <c r="N618" s="15" t="s">
        <v>29</v>
      </c>
      <c r="O618" s="15" t="s">
        <v>31</v>
      </c>
      <c r="P618" s="18">
        <v>-2</v>
      </c>
      <c r="Q618" s="18">
        <v>-14</v>
      </c>
      <c r="R618" s="15" t="str">
        <f>_xlfn.CONCAT(F618,G618,H618,I618,J618)</f>
        <v>LLWWW</v>
      </c>
      <c r="S618" s="13" t="str">
        <f>_xlfn.CONCAT(K618,L618,M618,N618,O618)</f>
        <v>LLDDL</v>
      </c>
      <c r="T618" s="13" t="str">
        <f>_xlfn.CONCAT(R618,"***",S618)</f>
        <v>LLWWW***LLDDL</v>
      </c>
      <c r="U618" s="19">
        <f>(P618-Q618)</f>
        <v>12</v>
      </c>
      <c r="V618" s="14"/>
      <c r="W618" s="14"/>
      <c r="X618" s="20" t="str">
        <f>IF(ISBLANK(V618),"",IF(V618&gt;W618,"1",IF(V618&lt;W618,"2",IF(V618=W618,"X"))))</f>
        <v/>
      </c>
      <c r="Y618" s="23" t="str">
        <f>COUNTIF(F618:J618, "W")&amp;COUNTIF(F618:J618, "d")&amp;COUNTIF(F618:J618, "l")</f>
        <v>302</v>
      </c>
      <c r="Z618" s="13" t="str">
        <f>COUNTIF(K618:O618, "W")&amp;COUNTIF(K618:O618, "d")&amp;COUNTIF(K618:O618, "l")</f>
        <v>023</v>
      </c>
      <c r="AA618" s="23" t="str">
        <f>_xlfn.CONCAT(Y618,"-",Z618)</f>
        <v>302-023</v>
      </c>
      <c r="AB618" s="15" t="str">
        <f>_xlfn.CONCAT(AA618,"…",TEXT(U618,"+00;-00;+00;"))</f>
        <v>302-023…+12</v>
      </c>
      <c r="AC618" s="23" t="str">
        <f>_xlfn.CONCAT(TEXT(P618,"+00;-00;+00;"),"…",TEXT(Q618,"+00;-00;+00;"))</f>
        <v>-02…-14</v>
      </c>
      <c r="AD618" s="14" t="str">
        <f>IF(X618="","?","")</f>
        <v>?</v>
      </c>
      <c r="AE618" s="15" t="str">
        <f>_xlfn.CONCAT(AA618,"…",TEXT(P618,"+00;-00;+00;"),"...",TEXT(Q618,"+00;-00;+00;"))</f>
        <v>302-023…-02...-14</v>
      </c>
      <c r="AF618" s="13" t="str">
        <f>_xlfn.CONCAT(R618,"…",TEXT(P618,"+00;-00;+00;"),"...",TEXT(Q618,"+00;-00;+00;"))</f>
        <v>LLWWW…-02...-14</v>
      </c>
    </row>
    <row r="619" spans="1:32" x14ac:dyDescent="0.25">
      <c r="A619" s="12" t="s">
        <v>1125</v>
      </c>
      <c r="B619" s="13" t="s">
        <v>295</v>
      </c>
      <c r="C619" s="14">
        <v>1</v>
      </c>
      <c r="D619" s="13" t="s">
        <v>980</v>
      </c>
      <c r="E619" s="13" t="s">
        <v>685</v>
      </c>
      <c r="F619" s="15" t="s">
        <v>30</v>
      </c>
      <c r="G619" s="15" t="s">
        <v>30</v>
      </c>
      <c r="H619" s="15" t="s">
        <v>31</v>
      </c>
      <c r="I619" s="15" t="s">
        <v>29</v>
      </c>
      <c r="J619" s="15" t="s">
        <v>29</v>
      </c>
      <c r="K619" s="15" t="s">
        <v>30</v>
      </c>
      <c r="L619" s="15" t="s">
        <v>30</v>
      </c>
      <c r="M619" s="15" t="s">
        <v>31</v>
      </c>
      <c r="N619" s="15" t="s">
        <v>30</v>
      </c>
      <c r="O619" s="15" t="s">
        <v>31</v>
      </c>
      <c r="P619" s="18">
        <v>0</v>
      </c>
      <c r="Q619" s="18">
        <v>-8</v>
      </c>
      <c r="R619" s="15" t="str">
        <f>_xlfn.CONCAT(F619,G619,H619,I619,J619)</f>
        <v>WWLDD</v>
      </c>
      <c r="S619" s="13" t="str">
        <f>_xlfn.CONCAT(K619,L619,M619,N619,O619)</f>
        <v>WWLWL</v>
      </c>
      <c r="T619" s="13" t="str">
        <f>_xlfn.CONCAT(R619,"***",S619)</f>
        <v>WWLDD***WWLWL</v>
      </c>
      <c r="U619" s="19">
        <f>(P619-Q619)</f>
        <v>8</v>
      </c>
      <c r="V619" s="14"/>
      <c r="W619" s="14"/>
      <c r="X619" s="20" t="str">
        <f>IF(ISBLANK(V619),"",IF(V619&gt;W619,"1",IF(V619&lt;W619,"2",IF(V619=W619,"X"))))</f>
        <v/>
      </c>
      <c r="Y619" s="23" t="str">
        <f>COUNTIF(F619:J619, "W")&amp;COUNTIF(F619:J619, "d")&amp;COUNTIF(F619:J619, "l")</f>
        <v>221</v>
      </c>
      <c r="Z619" s="13" t="str">
        <f>COUNTIF(K619:O619, "W")&amp;COUNTIF(K619:O619, "d")&amp;COUNTIF(K619:O619, "l")</f>
        <v>302</v>
      </c>
      <c r="AA619" s="23" t="str">
        <f>_xlfn.CONCAT(Y619,"-",Z619)</f>
        <v>221-302</v>
      </c>
      <c r="AB619" s="15" t="str">
        <f>_xlfn.CONCAT(AA619,"…",TEXT(U619,"+00;-00;+00;"))</f>
        <v>221-302…+08</v>
      </c>
      <c r="AC619" s="23" t="str">
        <f>_xlfn.CONCAT(TEXT(P619,"+00;-00;+00;"),"…",TEXT(Q619,"+00;-00;+00;"))</f>
        <v>+00…-08</v>
      </c>
      <c r="AD619" s="14" t="str">
        <f>IF(X619="","?","")</f>
        <v>?</v>
      </c>
      <c r="AE619" s="15" t="str">
        <f>_xlfn.CONCAT(AA619,"…",TEXT(P619,"+00;-00;+00;"),"...",TEXT(Q619,"+00;-00;+00;"))</f>
        <v>221-302…+00...-08</v>
      </c>
      <c r="AF619" s="13" t="str">
        <f>_xlfn.CONCAT(R619,"…",TEXT(P619,"+00;-00;+00;"),"...",TEXT(Q619,"+00;-00;+00;"))</f>
        <v>WWLDD…+00...-08</v>
      </c>
    </row>
    <row r="620" spans="1:32" x14ac:dyDescent="0.25">
      <c r="A620" s="12" t="s">
        <v>1086</v>
      </c>
      <c r="B620" s="13" t="s">
        <v>117</v>
      </c>
      <c r="C620" s="14" t="s">
        <v>33</v>
      </c>
      <c r="D620" s="13" t="s">
        <v>676</v>
      </c>
      <c r="E620" s="13" t="s">
        <v>149</v>
      </c>
      <c r="F620" s="15" t="s">
        <v>30</v>
      </c>
      <c r="G620" s="15" t="s">
        <v>31</v>
      </c>
      <c r="H620" s="15" t="s">
        <v>31</v>
      </c>
      <c r="I620" s="15" t="s">
        <v>29</v>
      </c>
      <c r="J620" s="15" t="s">
        <v>29</v>
      </c>
      <c r="K620" s="15" t="s">
        <v>30</v>
      </c>
      <c r="L620" s="15" t="s">
        <v>31</v>
      </c>
      <c r="M620" s="15" t="s">
        <v>31</v>
      </c>
      <c r="N620" s="15" t="s">
        <v>29</v>
      </c>
      <c r="O620" s="15" t="s">
        <v>30</v>
      </c>
      <c r="P620" s="18">
        <v>-9</v>
      </c>
      <c r="Q620" s="18">
        <v>-1</v>
      </c>
      <c r="R620" s="15" t="str">
        <f>_xlfn.CONCAT(F620,G620,H620,I620,J620)</f>
        <v>WLLDD</v>
      </c>
      <c r="S620" s="13" t="str">
        <f>_xlfn.CONCAT(K620,L620,M620,N620,O620)</f>
        <v>WLLDW</v>
      </c>
      <c r="T620" s="13" t="str">
        <f>_xlfn.CONCAT(R620,"***",S620)</f>
        <v>WLLDD***WLLDW</v>
      </c>
      <c r="U620" s="19">
        <f>(P620-Q620)</f>
        <v>-8</v>
      </c>
      <c r="V620" s="14"/>
      <c r="W620" s="14"/>
      <c r="X620" s="20" t="str">
        <f>IF(ISBLANK(V620),"",IF(V620&gt;W620,"1",IF(V620&lt;W620,"2",IF(V620=W620,"X"))))</f>
        <v/>
      </c>
      <c r="Y620" s="23" t="str">
        <f>COUNTIF(F620:J620, "W")&amp;COUNTIF(F620:J620, "d")&amp;COUNTIF(F620:J620, "l")</f>
        <v>122</v>
      </c>
      <c r="Z620" s="13" t="str">
        <f>COUNTIF(K620:O620, "W")&amp;COUNTIF(K620:O620, "d")&amp;COUNTIF(K620:O620, "l")</f>
        <v>212</v>
      </c>
      <c r="AA620" s="23" t="str">
        <f>_xlfn.CONCAT(Y620,"-",Z620)</f>
        <v>122-212</v>
      </c>
      <c r="AB620" s="15" t="str">
        <f>_xlfn.CONCAT(AA620,"…",TEXT(U620,"+00;-00;+00;"))</f>
        <v>122-212…-08</v>
      </c>
      <c r="AC620" s="23" t="str">
        <f>_xlfn.CONCAT(TEXT(P620,"+00;-00;+00;"),"…",TEXT(Q620,"+00;-00;+00;"))</f>
        <v>-09…-01</v>
      </c>
      <c r="AD620" s="14" t="str">
        <f>IF(X620="","?","")</f>
        <v>?</v>
      </c>
      <c r="AE620" s="15" t="str">
        <f>_xlfn.CONCAT(AA620,"…",TEXT(P620,"+00;-00;+00;"),"...",TEXT(Q620,"+00;-00;+00;"))</f>
        <v>122-212…-09...-01</v>
      </c>
      <c r="AF620" s="13" t="str">
        <f>_xlfn.CONCAT(R620,"…",TEXT(P620,"+00;-00;+00;"),"...",TEXT(Q620,"+00;-00;+00;"))</f>
        <v>WLLDD…-09...-01</v>
      </c>
    </row>
    <row r="621" spans="1:32" x14ac:dyDescent="0.25">
      <c r="A621" s="12" t="s">
        <v>1086</v>
      </c>
      <c r="B621" s="13" t="s">
        <v>414</v>
      </c>
      <c r="C621" s="14">
        <v>1</v>
      </c>
      <c r="D621" s="13" t="s">
        <v>842</v>
      </c>
      <c r="E621" s="13" t="s">
        <v>1178</v>
      </c>
      <c r="F621" s="15" t="s">
        <v>29</v>
      </c>
      <c r="G621" s="15" t="s">
        <v>31</v>
      </c>
      <c r="H621" s="15" t="s">
        <v>30</v>
      </c>
      <c r="I621" s="15" t="s">
        <v>29</v>
      </c>
      <c r="J621" s="15" t="s">
        <v>31</v>
      </c>
      <c r="K621" s="15" t="s">
        <v>29</v>
      </c>
      <c r="L621" s="15" t="s">
        <v>29</v>
      </c>
      <c r="M621" s="15" t="s">
        <v>30</v>
      </c>
      <c r="N621" s="15" t="s">
        <v>30</v>
      </c>
      <c r="O621" s="15" t="s">
        <v>30</v>
      </c>
      <c r="P621" s="18">
        <v>-8</v>
      </c>
      <c r="Q621" s="18">
        <v>15</v>
      </c>
      <c r="R621" s="15" t="str">
        <f>_xlfn.CONCAT(F621,G621,H621,I621,J621)</f>
        <v>DLWDL</v>
      </c>
      <c r="S621" s="13" t="str">
        <f>_xlfn.CONCAT(K621,L621,M621,N621,O621)</f>
        <v>DDWWW</v>
      </c>
      <c r="T621" s="13" t="str">
        <f>_xlfn.CONCAT(R621,"***",S621)</f>
        <v>DLWDL***DDWWW</v>
      </c>
      <c r="U621" s="19">
        <f>(P621-Q621)</f>
        <v>-23</v>
      </c>
      <c r="V621" s="14"/>
      <c r="W621" s="14"/>
      <c r="X621" s="20" t="str">
        <f>IF(ISBLANK(V621),"",IF(V621&gt;W621,"1",IF(V621&lt;W621,"2",IF(V621=W621,"X"))))</f>
        <v/>
      </c>
      <c r="Y621" s="23" t="str">
        <f>COUNTIF(F621:J621, "W")&amp;COUNTIF(F621:J621, "d")&amp;COUNTIF(F621:J621, "l")</f>
        <v>122</v>
      </c>
      <c r="Z621" s="13" t="str">
        <f>COUNTIF(K621:O621, "W")&amp;COUNTIF(K621:O621, "d")&amp;COUNTIF(K621:O621, "l")</f>
        <v>320</v>
      </c>
      <c r="AA621" s="23" t="str">
        <f>_xlfn.CONCAT(Y621,"-",Z621)</f>
        <v>122-320</v>
      </c>
      <c r="AB621" s="15" t="str">
        <f>_xlfn.CONCAT(AA621,"…",TEXT(U621,"+00;-00;+00;"))</f>
        <v>122-320…-23</v>
      </c>
      <c r="AC621" s="23" t="str">
        <f>_xlfn.CONCAT(TEXT(P621,"+00;-00;+00;"),"…",TEXT(Q621,"+00;-00;+00;"))</f>
        <v>-08…+15</v>
      </c>
      <c r="AD621" s="14" t="str">
        <f>IF(X621="","?","")</f>
        <v>?</v>
      </c>
      <c r="AE621" s="15" t="str">
        <f>_xlfn.CONCAT(AA621,"…",TEXT(P621,"+00;-00;+00;"),"...",TEXT(Q621,"+00;-00;+00;"))</f>
        <v>122-320…-08...+15</v>
      </c>
      <c r="AF621" s="13" t="str">
        <f>_xlfn.CONCAT(R621,"…",TEXT(P621,"+00;-00;+00;"),"...",TEXT(Q621,"+00;-00;+00;"))</f>
        <v>DLWDL…-08...+15</v>
      </c>
    </row>
    <row r="622" spans="1:32" x14ac:dyDescent="0.25">
      <c r="A622" s="12" t="s">
        <v>1086</v>
      </c>
      <c r="B622" s="13" t="s">
        <v>208</v>
      </c>
      <c r="C622" s="14">
        <v>1</v>
      </c>
      <c r="D622" s="13" t="s">
        <v>969</v>
      </c>
      <c r="E622" s="13" t="s">
        <v>1144</v>
      </c>
      <c r="F622" s="15" t="s">
        <v>31</v>
      </c>
      <c r="G622" s="15" t="s">
        <v>30</v>
      </c>
      <c r="H622" s="15" t="s">
        <v>31</v>
      </c>
      <c r="I622" s="15" t="s">
        <v>30</v>
      </c>
      <c r="J622" s="15" t="s">
        <v>29</v>
      </c>
      <c r="K622" s="15" t="s">
        <v>30</v>
      </c>
      <c r="L622" s="15" t="s">
        <v>31</v>
      </c>
      <c r="M622" s="15" t="s">
        <v>31</v>
      </c>
      <c r="N622" s="15" t="s">
        <v>29</v>
      </c>
      <c r="O622" s="15" t="s">
        <v>29</v>
      </c>
      <c r="P622" s="18">
        <v>-3</v>
      </c>
      <c r="Q622" s="18">
        <v>-7</v>
      </c>
      <c r="R622" s="15" t="str">
        <f>_xlfn.CONCAT(F622,G622,H622,I622,J622)</f>
        <v>LWLWD</v>
      </c>
      <c r="S622" s="13" t="str">
        <f>_xlfn.CONCAT(K622,L622,M622,N622,O622)</f>
        <v>WLLDD</v>
      </c>
      <c r="T622" s="13" t="str">
        <f>_xlfn.CONCAT(R622,"***",S622)</f>
        <v>LWLWD***WLLDD</v>
      </c>
      <c r="U622" s="19">
        <f>(P622-Q622)</f>
        <v>4</v>
      </c>
      <c r="V622" s="14"/>
      <c r="W622" s="14"/>
      <c r="X622" s="20" t="str">
        <f>IF(ISBLANK(V622),"",IF(V622&gt;W622,"1",IF(V622&lt;W622,"2",IF(V622=W622,"X"))))</f>
        <v/>
      </c>
      <c r="Y622" s="23" t="str">
        <f>COUNTIF(F622:J622, "W")&amp;COUNTIF(F622:J622, "d")&amp;COUNTIF(F622:J622, "l")</f>
        <v>212</v>
      </c>
      <c r="Z622" s="13" t="str">
        <f>COUNTIF(K622:O622, "W")&amp;COUNTIF(K622:O622, "d")&amp;COUNTIF(K622:O622, "l")</f>
        <v>122</v>
      </c>
      <c r="AA622" s="23" t="str">
        <f>_xlfn.CONCAT(Y622,"-",Z622)</f>
        <v>212-122</v>
      </c>
      <c r="AB622" s="15" t="str">
        <f>_xlfn.CONCAT(AA622,"…",TEXT(U622,"+00;-00;+00;"))</f>
        <v>212-122…+04</v>
      </c>
      <c r="AC622" s="23" t="str">
        <f>_xlfn.CONCAT(TEXT(P622,"+00;-00;+00;"),"…",TEXT(Q622,"+00;-00;+00;"))</f>
        <v>-03…-07</v>
      </c>
      <c r="AD622" s="14" t="str">
        <f>IF(X622="","?","")</f>
        <v>?</v>
      </c>
      <c r="AE622" s="15" t="str">
        <f>_xlfn.CONCAT(AA622,"…",TEXT(P622,"+00;-00;+00;"),"...",TEXT(Q622,"+00;-00;+00;"))</f>
        <v>212-122…-03...-07</v>
      </c>
      <c r="AF622" s="13" t="str">
        <f>_xlfn.CONCAT(R622,"…",TEXT(P622,"+00;-00;+00;"),"...",TEXT(Q622,"+00;-00;+00;"))</f>
        <v>LWLWD…-03...-07</v>
      </c>
    </row>
    <row r="623" spans="1:32" x14ac:dyDescent="0.25">
      <c r="A623" s="12" t="s">
        <v>1086</v>
      </c>
      <c r="B623" s="13" t="s">
        <v>59</v>
      </c>
      <c r="C623" s="14">
        <v>2</v>
      </c>
      <c r="D623" s="13" t="s">
        <v>736</v>
      </c>
      <c r="E623" s="13" t="s">
        <v>104</v>
      </c>
      <c r="F623" s="15" t="s">
        <v>29</v>
      </c>
      <c r="G623" s="15" t="s">
        <v>30</v>
      </c>
      <c r="H623" s="15" t="s">
        <v>31</v>
      </c>
      <c r="I623" s="15" t="s">
        <v>30</v>
      </c>
      <c r="J623" s="15" t="s">
        <v>29</v>
      </c>
      <c r="K623" s="15" t="s">
        <v>31</v>
      </c>
      <c r="L623" s="15" t="s">
        <v>30</v>
      </c>
      <c r="M623" s="15" t="s">
        <v>30</v>
      </c>
      <c r="N623" s="15" t="s">
        <v>31</v>
      </c>
      <c r="O623" s="15" t="s">
        <v>30</v>
      </c>
      <c r="P623" s="18">
        <v>6</v>
      </c>
      <c r="Q623" s="18">
        <v>0</v>
      </c>
      <c r="R623" s="15" t="str">
        <f>_xlfn.CONCAT(F623,G623,H623,I623,J623)</f>
        <v>DWLWD</v>
      </c>
      <c r="S623" s="13" t="str">
        <f>_xlfn.CONCAT(K623,L623,M623,N623,O623)</f>
        <v>LWWLW</v>
      </c>
      <c r="T623" s="13" t="str">
        <f>_xlfn.CONCAT(R623,"***",S623)</f>
        <v>DWLWD***LWWLW</v>
      </c>
      <c r="U623" s="19">
        <f>(P623-Q623)</f>
        <v>6</v>
      </c>
      <c r="V623" s="14"/>
      <c r="W623" s="14"/>
      <c r="X623" s="20" t="str">
        <f>IF(ISBLANK(V623),"",IF(V623&gt;W623,"1",IF(V623&lt;W623,"2",IF(V623=W623,"X"))))</f>
        <v/>
      </c>
      <c r="Y623" s="23" t="str">
        <f>COUNTIF(F623:J623, "W")&amp;COUNTIF(F623:J623, "d")&amp;COUNTIF(F623:J623, "l")</f>
        <v>221</v>
      </c>
      <c r="Z623" s="13" t="str">
        <f>COUNTIF(K623:O623, "W")&amp;COUNTIF(K623:O623, "d")&amp;COUNTIF(K623:O623, "l")</f>
        <v>302</v>
      </c>
      <c r="AA623" s="23" t="str">
        <f>_xlfn.CONCAT(Y623,"-",Z623)</f>
        <v>221-302</v>
      </c>
      <c r="AB623" s="15" t="str">
        <f>_xlfn.CONCAT(AA623,"…",TEXT(U623,"+00;-00;+00;"))</f>
        <v>221-302…+06</v>
      </c>
      <c r="AC623" s="23" t="str">
        <f>_xlfn.CONCAT(TEXT(P623,"+00;-00;+00;"),"…",TEXT(Q623,"+00;-00;+00;"))</f>
        <v>+06…+00</v>
      </c>
      <c r="AD623" s="14" t="str">
        <f>IF(X623="","?","")</f>
        <v>?</v>
      </c>
      <c r="AE623" s="15" t="str">
        <f>_xlfn.CONCAT(AA623,"…",TEXT(P623,"+00;-00;+00;"),"...",TEXT(Q623,"+00;-00;+00;"))</f>
        <v>221-302…+06...+00</v>
      </c>
      <c r="AF623" s="13" t="str">
        <f>_xlfn.CONCAT(R623,"…",TEXT(P623,"+00;-00;+00;"),"...",TEXT(Q623,"+00;-00;+00;"))</f>
        <v>DWLWD…+06...+00</v>
      </c>
    </row>
    <row r="624" spans="1:32" x14ac:dyDescent="0.25">
      <c r="A624" s="12" t="s">
        <v>1112</v>
      </c>
      <c r="B624" s="13" t="s">
        <v>117</v>
      </c>
      <c r="C624" s="14" t="s">
        <v>0</v>
      </c>
      <c r="D624" s="13" t="s">
        <v>631</v>
      </c>
      <c r="E624" s="13" t="s">
        <v>140</v>
      </c>
      <c r="F624" s="15" t="s">
        <v>31</v>
      </c>
      <c r="G624" s="15" t="s">
        <v>29</v>
      </c>
      <c r="H624" s="15" t="s">
        <v>31</v>
      </c>
      <c r="I624" s="15" t="s">
        <v>30</v>
      </c>
      <c r="J624" s="15" t="s">
        <v>31</v>
      </c>
      <c r="K624" s="15" t="s">
        <v>30</v>
      </c>
      <c r="L624" s="15" t="s">
        <v>30</v>
      </c>
      <c r="M624" s="15" t="s">
        <v>29</v>
      </c>
      <c r="N624" s="15" t="s">
        <v>30</v>
      </c>
      <c r="O624" s="15" t="s">
        <v>30</v>
      </c>
      <c r="P624" s="18">
        <v>-5</v>
      </c>
      <c r="Q624" s="18">
        <v>14</v>
      </c>
      <c r="R624" s="15" t="str">
        <f>_xlfn.CONCAT(F624,G624,H624,I624,J624)</f>
        <v>LDLWL</v>
      </c>
      <c r="S624" s="13" t="str">
        <f>_xlfn.CONCAT(K624,L624,M624,N624,O624)</f>
        <v>WWDWW</v>
      </c>
      <c r="T624" s="13" t="str">
        <f>_xlfn.CONCAT(R624,"***",S624)</f>
        <v>LDLWL***WWDWW</v>
      </c>
      <c r="U624" s="19">
        <f>(P624-Q624)</f>
        <v>-19</v>
      </c>
      <c r="V624" s="14"/>
      <c r="W624" s="14"/>
      <c r="X624" s="20" t="str">
        <f>IF(ISBLANK(V624),"",IF(V624&gt;W624,"1",IF(V624&lt;W624,"2",IF(V624=W624,"X"))))</f>
        <v/>
      </c>
      <c r="Y624" s="23" t="str">
        <f>COUNTIF(F624:J624, "W")&amp;COUNTIF(F624:J624, "d")&amp;COUNTIF(F624:J624, "l")</f>
        <v>113</v>
      </c>
      <c r="Z624" s="13" t="str">
        <f>COUNTIF(K624:O624, "W")&amp;COUNTIF(K624:O624, "d")&amp;COUNTIF(K624:O624, "l")</f>
        <v>410</v>
      </c>
      <c r="AA624" s="23" t="str">
        <f>_xlfn.CONCAT(Y624,"-",Z624)</f>
        <v>113-410</v>
      </c>
      <c r="AB624" s="15" t="str">
        <f>_xlfn.CONCAT(AA624,"…",TEXT(U624,"+00;-00;+00;"))</f>
        <v>113-410…-19</v>
      </c>
      <c r="AC624" s="23" t="str">
        <f>_xlfn.CONCAT(TEXT(P624,"+00;-00;+00;"),"…",TEXT(Q624,"+00;-00;+00;"))</f>
        <v>-05…+14</v>
      </c>
      <c r="AD624" s="14" t="str">
        <f>IF(X624="","?","")</f>
        <v>?</v>
      </c>
      <c r="AE624" s="15" t="str">
        <f>_xlfn.CONCAT(AA624,"…",TEXT(P624,"+00;-00;+00;"),"...",TEXT(Q624,"+00;-00;+00;"))</f>
        <v>113-410…-05...+14</v>
      </c>
      <c r="AF624" s="13" t="str">
        <f>_xlfn.CONCAT(R624,"…",TEXT(P624,"+00;-00;+00;"),"...",TEXT(Q624,"+00;-00;+00;"))</f>
        <v>LDLWL…-05...+14</v>
      </c>
    </row>
    <row r="625" spans="1:32" x14ac:dyDescent="0.25">
      <c r="A625" s="12" t="s">
        <v>1112</v>
      </c>
      <c r="B625" s="13" t="s">
        <v>318</v>
      </c>
      <c r="C625" s="14">
        <v>1</v>
      </c>
      <c r="D625" s="13" t="s">
        <v>1139</v>
      </c>
      <c r="E625" s="13" t="s">
        <v>325</v>
      </c>
      <c r="F625" s="15" t="s">
        <v>30</v>
      </c>
      <c r="G625" s="15" t="s">
        <v>31</v>
      </c>
      <c r="H625" s="15" t="s">
        <v>31</v>
      </c>
      <c r="I625" s="15" t="s">
        <v>29</v>
      </c>
      <c r="J625" s="15" t="s">
        <v>30</v>
      </c>
      <c r="K625" s="15" t="s">
        <v>31</v>
      </c>
      <c r="L625" s="15" t="s">
        <v>29</v>
      </c>
      <c r="M625" s="15" t="s">
        <v>31</v>
      </c>
      <c r="N625" s="15" t="s">
        <v>31</v>
      </c>
      <c r="O625" s="15" t="s">
        <v>29</v>
      </c>
      <c r="P625" s="18">
        <v>-10</v>
      </c>
      <c r="Q625" s="18">
        <v>-16</v>
      </c>
      <c r="R625" s="15" t="str">
        <f>_xlfn.CONCAT(F625,G625,H625,I625,J625)</f>
        <v>WLLDW</v>
      </c>
      <c r="S625" s="13" t="str">
        <f>_xlfn.CONCAT(K625,L625,M625,N625,O625)</f>
        <v>LDLLD</v>
      </c>
      <c r="T625" s="13" t="str">
        <f>_xlfn.CONCAT(R625,"***",S625)</f>
        <v>WLLDW***LDLLD</v>
      </c>
      <c r="U625" s="19">
        <f>(P625-Q625)</f>
        <v>6</v>
      </c>
      <c r="V625" s="14"/>
      <c r="W625" s="14"/>
      <c r="X625" s="20" t="str">
        <f>IF(ISBLANK(V625),"",IF(V625&gt;W625,"1",IF(V625&lt;W625,"2",IF(V625=W625,"X"))))</f>
        <v/>
      </c>
      <c r="Y625" s="23" t="str">
        <f>COUNTIF(F625:J625, "W")&amp;COUNTIF(F625:J625, "d")&amp;COUNTIF(F625:J625, "l")</f>
        <v>212</v>
      </c>
      <c r="Z625" s="13" t="str">
        <f>COUNTIF(K625:O625, "W")&amp;COUNTIF(K625:O625, "d")&amp;COUNTIF(K625:O625, "l")</f>
        <v>023</v>
      </c>
      <c r="AA625" s="23" t="str">
        <f>_xlfn.CONCAT(Y625,"-",Z625)</f>
        <v>212-023</v>
      </c>
      <c r="AB625" s="15" t="str">
        <f>_xlfn.CONCAT(AA625,"…",TEXT(U625,"+00;-00;+00;"))</f>
        <v>212-023…+06</v>
      </c>
      <c r="AC625" s="23" t="str">
        <f>_xlfn.CONCAT(TEXT(P625,"+00;-00;+00;"),"…",TEXT(Q625,"+00;-00;+00;"))</f>
        <v>-10…-16</v>
      </c>
      <c r="AD625" s="14" t="str">
        <f>IF(X625="","?","")</f>
        <v>?</v>
      </c>
      <c r="AE625" s="15" t="str">
        <f>_xlfn.CONCAT(AA625,"…",TEXT(P625,"+00;-00;+00;"),"...",TEXT(Q625,"+00;-00;+00;"))</f>
        <v>212-023…-10...-16</v>
      </c>
      <c r="AF625" s="13" t="str">
        <f>_xlfn.CONCAT(R625,"…",TEXT(P625,"+00;-00;+00;"),"...",TEXT(Q625,"+00;-00;+00;"))</f>
        <v>WLLDW…-10...-16</v>
      </c>
    </row>
    <row r="626" spans="1:32" x14ac:dyDescent="0.25">
      <c r="A626" s="12" t="s">
        <v>1062</v>
      </c>
      <c r="B626" s="13" t="s">
        <v>7</v>
      </c>
      <c r="C626" s="14" t="s">
        <v>8</v>
      </c>
      <c r="D626" s="13" t="s">
        <v>612</v>
      </c>
      <c r="E626" s="13" t="s">
        <v>622</v>
      </c>
      <c r="F626" s="15" t="s">
        <v>29</v>
      </c>
      <c r="G626" s="15" t="s">
        <v>31</v>
      </c>
      <c r="H626" s="15" t="s">
        <v>31</v>
      </c>
      <c r="I626" s="15" t="s">
        <v>31</v>
      </c>
      <c r="J626" s="15" t="s">
        <v>31</v>
      </c>
      <c r="K626" s="15" t="s">
        <v>30</v>
      </c>
      <c r="L626" s="15" t="s">
        <v>31</v>
      </c>
      <c r="M626" s="15" t="s">
        <v>29</v>
      </c>
      <c r="N626" s="15" t="s">
        <v>31</v>
      </c>
      <c r="O626" s="15" t="s">
        <v>31</v>
      </c>
      <c r="P626" s="18">
        <v>-11</v>
      </c>
      <c r="Q626" s="18">
        <v>10</v>
      </c>
      <c r="R626" s="15" t="str">
        <f>_xlfn.CONCAT(F626,G626,H626,I626,J626)</f>
        <v>DLLLL</v>
      </c>
      <c r="S626" s="13" t="str">
        <f>_xlfn.CONCAT(K626,L626,M626,N626,O626)</f>
        <v>WLDLL</v>
      </c>
      <c r="T626" s="13" t="str">
        <f>_xlfn.CONCAT(R626,"***",S626)</f>
        <v>DLLLL***WLDLL</v>
      </c>
      <c r="U626" s="19">
        <f>(P626-Q626)</f>
        <v>-21</v>
      </c>
      <c r="V626" s="14"/>
      <c r="W626" s="14"/>
      <c r="X626" s="20" t="str">
        <f>IF(ISBLANK(V626),"",IF(V626&gt;W626,"1",IF(V626&lt;W626,"2",IF(V626=W626,"X"))))</f>
        <v/>
      </c>
      <c r="Y626" s="23" t="str">
        <f>COUNTIF(F626:J626, "W")&amp;COUNTIF(F626:J626, "d")&amp;COUNTIF(F626:J626, "l")</f>
        <v>014</v>
      </c>
      <c r="Z626" s="13" t="str">
        <f>COUNTIF(K626:O626, "W")&amp;COUNTIF(K626:O626, "d")&amp;COUNTIF(K626:O626, "l")</f>
        <v>113</v>
      </c>
      <c r="AA626" s="23" t="str">
        <f>_xlfn.CONCAT(Y626,"-",Z626)</f>
        <v>014-113</v>
      </c>
      <c r="AB626" s="15" t="str">
        <f>_xlfn.CONCAT(AA626,"…",TEXT(U626,"+00;-00;+00;"))</f>
        <v>014-113…-21</v>
      </c>
      <c r="AC626" s="23" t="str">
        <f>_xlfn.CONCAT(TEXT(P626,"+00;-00;+00;"),"…",TEXT(Q626,"+00;-00;+00;"))</f>
        <v>-11…+10</v>
      </c>
      <c r="AD626" s="14" t="str">
        <f>IF(X626="","?","")</f>
        <v>?</v>
      </c>
      <c r="AE626" s="15" t="str">
        <f>_xlfn.CONCAT(AA626,"…",TEXT(P626,"+00;-00;+00;"),"...",TEXT(Q626,"+00;-00;+00;"))</f>
        <v>014-113…-11...+10</v>
      </c>
      <c r="AF626" s="13" t="str">
        <f>_xlfn.CONCAT(R626,"…",TEXT(P626,"+00;-00;+00;"),"...",TEXT(Q626,"+00;-00;+00;"))</f>
        <v>DLLLL…-11...+10</v>
      </c>
    </row>
    <row r="627" spans="1:32" x14ac:dyDescent="0.25">
      <c r="A627" s="12" t="s">
        <v>1062</v>
      </c>
      <c r="B627" s="13" t="s">
        <v>59</v>
      </c>
      <c r="C627" s="14">
        <v>1</v>
      </c>
      <c r="D627" s="13" t="s">
        <v>728</v>
      </c>
      <c r="E627" s="13" t="s">
        <v>1085</v>
      </c>
      <c r="F627" s="15" t="s">
        <v>29</v>
      </c>
      <c r="G627" s="15" t="s">
        <v>29</v>
      </c>
      <c r="H627" s="15" t="s">
        <v>31</v>
      </c>
      <c r="I627" s="15" t="s">
        <v>29</v>
      </c>
      <c r="J627" s="15" t="s">
        <v>31</v>
      </c>
      <c r="K627" s="15" t="s">
        <v>29</v>
      </c>
      <c r="L627" s="15" t="s">
        <v>31</v>
      </c>
      <c r="M627" s="15" t="s">
        <v>29</v>
      </c>
      <c r="N627" s="15" t="s">
        <v>31</v>
      </c>
      <c r="O627" s="15" t="s">
        <v>29</v>
      </c>
      <c r="P627" s="18">
        <v>-8</v>
      </c>
      <c r="Q627" s="18">
        <v>-6</v>
      </c>
      <c r="R627" s="15" t="str">
        <f>_xlfn.CONCAT(F627,G627,H627,I627,J627)</f>
        <v>DDLDL</v>
      </c>
      <c r="S627" s="13" t="str">
        <f>_xlfn.CONCAT(K627,L627,M627,N627,O627)</f>
        <v>DLDLD</v>
      </c>
      <c r="T627" s="13" t="str">
        <f>_xlfn.CONCAT(R627,"***",S627)</f>
        <v>DDLDL***DLDLD</v>
      </c>
      <c r="U627" s="19">
        <f>(P627-Q627)</f>
        <v>-2</v>
      </c>
      <c r="V627" s="14"/>
      <c r="W627" s="14"/>
      <c r="X627" s="20" t="str">
        <f>IF(ISBLANK(V627),"",IF(V627&gt;W627,"1",IF(V627&lt;W627,"2",IF(V627=W627,"X"))))</f>
        <v/>
      </c>
      <c r="Y627" s="23" t="str">
        <f>COUNTIF(F627:J627, "W")&amp;COUNTIF(F627:J627, "d")&amp;COUNTIF(F627:J627, "l")</f>
        <v>032</v>
      </c>
      <c r="Z627" s="13" t="str">
        <f>COUNTIF(K627:O627, "W")&amp;COUNTIF(K627:O627, "d")&amp;COUNTIF(K627:O627, "l")</f>
        <v>032</v>
      </c>
      <c r="AA627" s="23" t="str">
        <f>_xlfn.CONCAT(Y627,"-",Z627)</f>
        <v>032-032</v>
      </c>
      <c r="AB627" s="15" t="str">
        <f>_xlfn.CONCAT(AA627,"…",TEXT(U627,"+00;-00;+00;"))</f>
        <v>032-032…-02</v>
      </c>
      <c r="AC627" s="23" t="str">
        <f>_xlfn.CONCAT(TEXT(P627,"+00;-00;+00;"),"…",TEXT(Q627,"+00;-00;+00;"))</f>
        <v>-08…-06</v>
      </c>
      <c r="AD627" s="14" t="str">
        <f>IF(X627="","?","")</f>
        <v>?</v>
      </c>
      <c r="AE627" s="15" t="str">
        <f>_xlfn.CONCAT(AA627,"…",TEXT(P627,"+00;-00;+00;"),"...",TEXT(Q627,"+00;-00;+00;"))</f>
        <v>032-032…-08...-06</v>
      </c>
      <c r="AF627" s="13" t="str">
        <f>_xlfn.CONCAT(R627,"…",TEXT(P627,"+00;-00;+00;"),"...",TEXT(Q627,"+00;-00;+00;"))</f>
        <v>DDLDL…-08...-06</v>
      </c>
    </row>
    <row r="628" spans="1:32" x14ac:dyDescent="0.25">
      <c r="A628" s="12" t="s">
        <v>1062</v>
      </c>
      <c r="B628" s="13" t="s">
        <v>167</v>
      </c>
      <c r="C628" s="14">
        <v>1</v>
      </c>
      <c r="D628" s="13" t="s">
        <v>698</v>
      </c>
      <c r="E628" s="13" t="s">
        <v>185</v>
      </c>
      <c r="F628" s="15" t="s">
        <v>30</v>
      </c>
      <c r="G628" s="15" t="s">
        <v>30</v>
      </c>
      <c r="H628" s="15" t="s">
        <v>31</v>
      </c>
      <c r="I628" s="15" t="s">
        <v>29</v>
      </c>
      <c r="J628" s="15" t="s">
        <v>30</v>
      </c>
      <c r="K628" s="15" t="s">
        <v>30</v>
      </c>
      <c r="L628" s="15" t="s">
        <v>31</v>
      </c>
      <c r="M628" s="15" t="s">
        <v>31</v>
      </c>
      <c r="N628" s="15" t="s">
        <v>31</v>
      </c>
      <c r="O628" s="15" t="s">
        <v>30</v>
      </c>
      <c r="P628" s="18">
        <v>11</v>
      </c>
      <c r="Q628" s="18">
        <v>-13</v>
      </c>
      <c r="R628" s="15" t="str">
        <f>_xlfn.CONCAT(F628,G628,H628,I628,J628)</f>
        <v>WWLDW</v>
      </c>
      <c r="S628" s="13" t="str">
        <f>_xlfn.CONCAT(K628,L628,M628,N628,O628)</f>
        <v>WLLLW</v>
      </c>
      <c r="T628" s="13" t="str">
        <f>_xlfn.CONCAT(R628,"***",S628)</f>
        <v>WWLDW***WLLLW</v>
      </c>
      <c r="U628" s="19">
        <f>(P628-Q628)</f>
        <v>24</v>
      </c>
      <c r="V628" s="14"/>
      <c r="W628" s="14"/>
      <c r="X628" s="20" t="str">
        <f>IF(ISBLANK(V628),"",IF(V628&gt;W628,"1",IF(V628&lt;W628,"2",IF(V628=W628,"X"))))</f>
        <v/>
      </c>
      <c r="Y628" s="23" t="str">
        <f>COUNTIF(F628:J628, "W")&amp;COUNTIF(F628:J628, "d")&amp;COUNTIF(F628:J628, "l")</f>
        <v>311</v>
      </c>
      <c r="Z628" s="13" t="str">
        <f>COUNTIF(K628:O628, "W")&amp;COUNTIF(K628:O628, "d")&amp;COUNTIF(K628:O628, "l")</f>
        <v>203</v>
      </c>
      <c r="AA628" s="23" t="str">
        <f>_xlfn.CONCAT(Y628,"-",Z628)</f>
        <v>311-203</v>
      </c>
      <c r="AB628" s="15" t="str">
        <f>_xlfn.CONCAT(AA628,"…",TEXT(U628,"+00;-00;+00;"))</f>
        <v>311-203…+24</v>
      </c>
      <c r="AC628" s="23" t="str">
        <f>_xlfn.CONCAT(TEXT(P628,"+00;-00;+00;"),"…",TEXT(Q628,"+00;-00;+00;"))</f>
        <v>+11…-13</v>
      </c>
      <c r="AD628" s="14" t="str">
        <f>IF(X628="","?","")</f>
        <v>?</v>
      </c>
      <c r="AE628" s="15" t="str">
        <f>_xlfn.CONCAT(AA628,"…",TEXT(P628,"+00;-00;+00;"),"...",TEXT(Q628,"+00;-00;+00;"))</f>
        <v>311-203…+11...-13</v>
      </c>
      <c r="AF628" s="13" t="str">
        <f>_xlfn.CONCAT(R628,"…",TEXT(P628,"+00;-00;+00;"),"...",TEXT(Q628,"+00;-00;+00;"))</f>
        <v>WWLDW…+11...-13</v>
      </c>
    </row>
    <row r="629" spans="1:32" x14ac:dyDescent="0.25">
      <c r="A629" s="12" t="s">
        <v>1093</v>
      </c>
      <c r="B629" s="13" t="s">
        <v>250</v>
      </c>
      <c r="C629" s="14">
        <v>1</v>
      </c>
      <c r="D629" s="13" t="s">
        <v>990</v>
      </c>
      <c r="E629" s="13" t="s">
        <v>995</v>
      </c>
      <c r="F629" s="15" t="s">
        <v>29</v>
      </c>
      <c r="G629" s="15" t="s">
        <v>31</v>
      </c>
      <c r="H629" s="15" t="s">
        <v>30</v>
      </c>
      <c r="I629" s="15" t="s">
        <v>30</v>
      </c>
      <c r="J629" s="15" t="s">
        <v>30</v>
      </c>
      <c r="K629" s="15" t="s">
        <v>30</v>
      </c>
      <c r="L629" s="15" t="s">
        <v>29</v>
      </c>
      <c r="M629" s="15" t="s">
        <v>31</v>
      </c>
      <c r="N629" s="15" t="s">
        <v>31</v>
      </c>
      <c r="O629" s="15" t="s">
        <v>30</v>
      </c>
      <c r="P629" s="18">
        <v>4</v>
      </c>
      <c r="Q629" s="18">
        <v>-3</v>
      </c>
      <c r="R629" s="15" t="str">
        <f>_xlfn.CONCAT(F629,G629,H629,I629,J629)</f>
        <v>DLWWW</v>
      </c>
      <c r="S629" s="13" t="str">
        <f>_xlfn.CONCAT(K629,L629,M629,N629,O629)</f>
        <v>WDLLW</v>
      </c>
      <c r="T629" s="13" t="str">
        <f>_xlfn.CONCAT(R629,"***",S629)</f>
        <v>DLWWW***WDLLW</v>
      </c>
      <c r="U629" s="19">
        <f>(P629-Q629)</f>
        <v>7</v>
      </c>
      <c r="V629" s="14"/>
      <c r="W629" s="14"/>
      <c r="X629" s="20" t="str">
        <f>IF(ISBLANK(V629),"",IF(V629&gt;W629,"1",IF(V629&lt;W629,"2",IF(V629=W629,"X"))))</f>
        <v/>
      </c>
      <c r="Y629" s="23" t="str">
        <f>COUNTIF(F629:J629, "W")&amp;COUNTIF(F629:J629, "d")&amp;COUNTIF(F629:J629, "l")</f>
        <v>311</v>
      </c>
      <c r="Z629" s="13" t="str">
        <f>COUNTIF(K629:O629, "W")&amp;COUNTIF(K629:O629, "d")&amp;COUNTIF(K629:O629, "l")</f>
        <v>212</v>
      </c>
      <c r="AA629" s="23" t="str">
        <f>_xlfn.CONCAT(Y629,"-",Z629)</f>
        <v>311-212</v>
      </c>
      <c r="AB629" s="15" t="str">
        <f>_xlfn.CONCAT(AA629,"…",TEXT(U629,"+00;-00;+00;"))</f>
        <v>311-212…+07</v>
      </c>
      <c r="AC629" s="23" t="str">
        <f>_xlfn.CONCAT(TEXT(P629,"+00;-00;+00;"),"…",TEXT(Q629,"+00;-00;+00;"))</f>
        <v>+04…-03</v>
      </c>
      <c r="AD629" s="14" t="str">
        <f>IF(X629="","?","")</f>
        <v>?</v>
      </c>
      <c r="AE629" s="15" t="str">
        <f>_xlfn.CONCAT(AA629,"…",TEXT(P629,"+00;-00;+00;"),"...",TEXT(Q629,"+00;-00;+00;"))</f>
        <v>311-212…+04...-03</v>
      </c>
      <c r="AF629" s="13" t="str">
        <f>_xlfn.CONCAT(R629,"…",TEXT(P629,"+00;-00;+00;"),"...",TEXT(Q629,"+00;-00;+00;"))</f>
        <v>DLWWW…+04...-03</v>
      </c>
    </row>
    <row r="630" spans="1:32" x14ac:dyDescent="0.25">
      <c r="A630" s="12" t="s">
        <v>1107</v>
      </c>
      <c r="B630" s="13" t="s">
        <v>250</v>
      </c>
      <c r="C630" s="14">
        <v>2</v>
      </c>
      <c r="D630" s="13" t="s">
        <v>1110</v>
      </c>
      <c r="E630" s="13" t="s">
        <v>861</v>
      </c>
      <c r="F630" s="15" t="s">
        <v>31</v>
      </c>
      <c r="G630" s="15" t="s">
        <v>30</v>
      </c>
      <c r="H630" s="15" t="s">
        <v>31</v>
      </c>
      <c r="I630" s="15" t="s">
        <v>31</v>
      </c>
      <c r="J630" s="15" t="s">
        <v>30</v>
      </c>
      <c r="K630" s="15" t="s">
        <v>29</v>
      </c>
      <c r="L630" s="15" t="s">
        <v>29</v>
      </c>
      <c r="M630" s="15" t="s">
        <v>29</v>
      </c>
      <c r="N630" s="15" t="s">
        <v>31</v>
      </c>
      <c r="O630" s="15" t="s">
        <v>30</v>
      </c>
      <c r="P630" s="18">
        <v>7</v>
      </c>
      <c r="Q630" s="18">
        <v>14</v>
      </c>
      <c r="R630" s="15" t="str">
        <f>_xlfn.CONCAT(F630,G630,H630,I630,J630)</f>
        <v>LWLLW</v>
      </c>
      <c r="S630" s="13" t="str">
        <f>_xlfn.CONCAT(K630,L630,M630,N630,O630)</f>
        <v>DDDLW</v>
      </c>
      <c r="T630" s="13" t="str">
        <f>_xlfn.CONCAT(R630,"***",S630)</f>
        <v>LWLLW***DDDLW</v>
      </c>
      <c r="U630" s="19">
        <f>(P630-Q630)</f>
        <v>-7</v>
      </c>
      <c r="V630" s="14"/>
      <c r="W630" s="14"/>
      <c r="X630" s="20" t="str">
        <f>IF(ISBLANK(V630),"",IF(V630&gt;W630,"1",IF(V630&lt;W630,"2",IF(V630=W630,"X"))))</f>
        <v/>
      </c>
      <c r="Y630" s="23" t="str">
        <f>COUNTIF(F630:J630, "W")&amp;COUNTIF(F630:J630, "d")&amp;COUNTIF(F630:J630, "l")</f>
        <v>203</v>
      </c>
      <c r="Z630" s="13" t="str">
        <f>COUNTIF(K630:O630, "W")&amp;COUNTIF(K630:O630, "d")&amp;COUNTIF(K630:O630, "l")</f>
        <v>131</v>
      </c>
      <c r="AA630" s="23" t="str">
        <f>_xlfn.CONCAT(Y630,"-",Z630)</f>
        <v>203-131</v>
      </c>
      <c r="AB630" s="15" t="str">
        <f>_xlfn.CONCAT(AA630,"…",TEXT(U630,"+00;-00;+00;"))</f>
        <v>203-131…-07</v>
      </c>
      <c r="AC630" s="23" t="str">
        <f>_xlfn.CONCAT(TEXT(P630,"+00;-00;+00;"),"…",TEXT(Q630,"+00;-00;+00;"))</f>
        <v>+07…+14</v>
      </c>
      <c r="AD630" s="14" t="str">
        <f>IF(X630="","?","")</f>
        <v>?</v>
      </c>
      <c r="AE630" s="15" t="str">
        <f>_xlfn.CONCAT(AA630,"…",TEXT(P630,"+00;-00;+00;"),"...",TEXT(Q630,"+00;-00;+00;"))</f>
        <v>203-131…+07...+14</v>
      </c>
      <c r="AF630" s="13" t="str">
        <f>_xlfn.CONCAT(R630,"…",TEXT(P630,"+00;-00;+00;"),"...",TEXT(Q630,"+00;-00;+00;"))</f>
        <v>LWLLW…+07...+14</v>
      </c>
    </row>
    <row r="631" spans="1:32" x14ac:dyDescent="0.25">
      <c r="A631" s="12" t="s">
        <v>1151</v>
      </c>
      <c r="B631" s="13" t="s">
        <v>208</v>
      </c>
      <c r="C631" s="14">
        <v>2</v>
      </c>
      <c r="D631" s="13" t="s">
        <v>1157</v>
      </c>
      <c r="E631" s="13" t="s">
        <v>583</v>
      </c>
      <c r="F631" s="15" t="s">
        <v>30</v>
      </c>
      <c r="G631" s="15" t="s">
        <v>31</v>
      </c>
      <c r="H631" s="15" t="s">
        <v>31</v>
      </c>
      <c r="I631" s="15" t="s">
        <v>30</v>
      </c>
      <c r="J631" s="15" t="s">
        <v>31</v>
      </c>
      <c r="K631" s="15" t="s">
        <v>31</v>
      </c>
      <c r="L631" s="15" t="s">
        <v>29</v>
      </c>
      <c r="M631" s="15" t="s">
        <v>30</v>
      </c>
      <c r="N631" s="15" t="s">
        <v>31</v>
      </c>
      <c r="O631" s="15" t="s">
        <v>30</v>
      </c>
      <c r="P631" s="18">
        <v>-7</v>
      </c>
      <c r="Q631" s="18">
        <v>9</v>
      </c>
      <c r="R631" s="15" t="str">
        <f>_xlfn.CONCAT(F631,G631,H631,I631,J631)</f>
        <v>WLLWL</v>
      </c>
      <c r="S631" s="13" t="str">
        <f>_xlfn.CONCAT(K631,L631,M631,N631,O631)</f>
        <v>LDWLW</v>
      </c>
      <c r="T631" s="13" t="str">
        <f>_xlfn.CONCAT(R631,"***",S631)</f>
        <v>WLLWL***LDWLW</v>
      </c>
      <c r="U631" s="19">
        <f>(P631-Q631)</f>
        <v>-16</v>
      </c>
      <c r="V631" s="14"/>
      <c r="W631" s="14"/>
      <c r="X631" s="20" t="str">
        <f>IF(ISBLANK(V631),"",IF(V631&gt;W631,"1",IF(V631&lt;W631,"2",IF(V631=W631,"X"))))</f>
        <v/>
      </c>
      <c r="Y631" s="23" t="str">
        <f>COUNTIF(F631:J631, "W")&amp;COUNTIF(F631:J631, "d")&amp;COUNTIF(F631:J631, "l")</f>
        <v>203</v>
      </c>
      <c r="Z631" s="13" t="str">
        <f>COUNTIF(K631:O631, "W")&amp;COUNTIF(K631:O631, "d")&amp;COUNTIF(K631:O631, "l")</f>
        <v>212</v>
      </c>
      <c r="AA631" s="23" t="str">
        <f>_xlfn.CONCAT(Y631,"-",Z631)</f>
        <v>203-212</v>
      </c>
      <c r="AB631" s="15" t="str">
        <f>_xlfn.CONCAT(AA631,"…",TEXT(U631,"+00;-00;+00;"))</f>
        <v>203-212…-16</v>
      </c>
      <c r="AC631" s="23" t="str">
        <f>_xlfn.CONCAT(TEXT(P631,"+00;-00;+00;"),"…",TEXT(Q631,"+00;-00;+00;"))</f>
        <v>-07…+09</v>
      </c>
      <c r="AD631" s="14" t="str">
        <f>IF(X631="","?","")</f>
        <v>?</v>
      </c>
      <c r="AE631" s="15" t="str">
        <f>_xlfn.CONCAT(AA631,"…",TEXT(P631,"+00;-00;+00;"),"...",TEXT(Q631,"+00;-00;+00;"))</f>
        <v>203-212…-07...+09</v>
      </c>
      <c r="AF631" s="13" t="str">
        <f>_xlfn.CONCAT(R631,"…",TEXT(P631,"+00;-00;+00;"),"...",TEXT(Q631,"+00;-00;+00;"))</f>
        <v>WLLWL…-07...+09</v>
      </c>
    </row>
    <row r="632" spans="1:32" x14ac:dyDescent="0.25">
      <c r="A632" s="12" t="s">
        <v>1151</v>
      </c>
      <c r="B632" s="13" t="s">
        <v>208</v>
      </c>
      <c r="C632" s="14">
        <v>2</v>
      </c>
      <c r="D632" s="13" t="s">
        <v>1155</v>
      </c>
      <c r="E632" s="13" t="s">
        <v>1156</v>
      </c>
      <c r="F632" s="15" t="s">
        <v>29</v>
      </c>
      <c r="G632" s="15" t="s">
        <v>30</v>
      </c>
      <c r="H632" s="15" t="s">
        <v>30</v>
      </c>
      <c r="I632" s="15" t="s">
        <v>31</v>
      </c>
      <c r="J632" s="15" t="s">
        <v>31</v>
      </c>
      <c r="K632" s="15" t="s">
        <v>31</v>
      </c>
      <c r="L632" s="15" t="s">
        <v>30</v>
      </c>
      <c r="M632" s="15" t="s">
        <v>30</v>
      </c>
      <c r="N632" s="15" t="s">
        <v>31</v>
      </c>
      <c r="O632" s="15" t="s">
        <v>31</v>
      </c>
      <c r="P632" s="18">
        <v>3</v>
      </c>
      <c r="Q632" s="18">
        <v>15</v>
      </c>
      <c r="R632" s="15" t="str">
        <f>_xlfn.CONCAT(F632,G632,H632,I632,J632)</f>
        <v>DWWLL</v>
      </c>
      <c r="S632" s="13" t="str">
        <f>_xlfn.CONCAT(K632,L632,M632,N632,O632)</f>
        <v>LWWLL</v>
      </c>
      <c r="T632" s="13" t="str">
        <f>_xlfn.CONCAT(R632,"***",S632)</f>
        <v>DWWLL***LWWLL</v>
      </c>
      <c r="U632" s="19">
        <f>(P632-Q632)</f>
        <v>-12</v>
      </c>
      <c r="V632" s="14"/>
      <c r="W632" s="14"/>
      <c r="X632" s="20" t="str">
        <f>IF(ISBLANK(V632),"",IF(V632&gt;W632,"1",IF(V632&lt;W632,"2",IF(V632=W632,"X"))))</f>
        <v/>
      </c>
      <c r="Y632" s="23" t="str">
        <f>COUNTIF(F632:J632, "W")&amp;COUNTIF(F632:J632, "d")&amp;COUNTIF(F632:J632, "l")</f>
        <v>212</v>
      </c>
      <c r="Z632" s="13" t="str">
        <f>COUNTIF(K632:O632, "W")&amp;COUNTIF(K632:O632, "d")&amp;COUNTIF(K632:O632, "l")</f>
        <v>203</v>
      </c>
      <c r="AA632" s="23" t="str">
        <f>_xlfn.CONCAT(Y632,"-",Z632)</f>
        <v>212-203</v>
      </c>
      <c r="AB632" s="15" t="str">
        <f>_xlfn.CONCAT(AA632,"…",TEXT(U632,"+00;-00;+00;"))</f>
        <v>212-203…-12</v>
      </c>
      <c r="AC632" s="23" t="str">
        <f>_xlfn.CONCAT(TEXT(P632,"+00;-00;+00;"),"…",TEXT(Q632,"+00;-00;+00;"))</f>
        <v>+03…+15</v>
      </c>
      <c r="AD632" s="14" t="str">
        <f>IF(X632="","?","")</f>
        <v>?</v>
      </c>
      <c r="AE632" s="15" t="str">
        <f>_xlfn.CONCAT(AA632,"…",TEXT(P632,"+00;-00;+00;"),"...",TEXT(Q632,"+00;-00;+00;"))</f>
        <v>212-203…+03...+15</v>
      </c>
      <c r="AF632" s="13" t="str">
        <f>_xlfn.CONCAT(R632,"…",TEXT(P632,"+00;-00;+00;"),"...",TEXT(Q632,"+00;-00;+00;"))</f>
        <v>DWWLL…+03...+15</v>
      </c>
    </row>
    <row r="633" spans="1:32" x14ac:dyDescent="0.25">
      <c r="A633" s="12" t="s">
        <v>1151</v>
      </c>
      <c r="B633" s="13" t="s">
        <v>208</v>
      </c>
      <c r="C633" s="14">
        <v>2</v>
      </c>
      <c r="D633" s="13" t="s">
        <v>589</v>
      </c>
      <c r="E633" s="13" t="s">
        <v>1154</v>
      </c>
      <c r="F633" s="15" t="s">
        <v>30</v>
      </c>
      <c r="G633" s="15" t="s">
        <v>30</v>
      </c>
      <c r="H633" s="15" t="s">
        <v>29</v>
      </c>
      <c r="I633" s="15" t="s">
        <v>29</v>
      </c>
      <c r="J633" s="15" t="s">
        <v>29</v>
      </c>
      <c r="K633" s="15" t="s">
        <v>29</v>
      </c>
      <c r="L633" s="15" t="s">
        <v>31</v>
      </c>
      <c r="M633" s="15" t="s">
        <v>31</v>
      </c>
      <c r="N633" s="15" t="s">
        <v>31</v>
      </c>
      <c r="O633" s="15" t="s">
        <v>29</v>
      </c>
      <c r="P633" s="18">
        <v>7</v>
      </c>
      <c r="Q633" s="18">
        <v>-23</v>
      </c>
      <c r="R633" s="15" t="str">
        <f>_xlfn.CONCAT(F633,G633,H633,I633,J633)</f>
        <v>WWDDD</v>
      </c>
      <c r="S633" s="13" t="str">
        <f>_xlfn.CONCAT(K633,L633,M633,N633,O633)</f>
        <v>DLLLD</v>
      </c>
      <c r="T633" s="13" t="str">
        <f>_xlfn.CONCAT(R633,"***",S633)</f>
        <v>WWDDD***DLLLD</v>
      </c>
      <c r="U633" s="19">
        <f>(P633-Q633)</f>
        <v>30</v>
      </c>
      <c r="V633" s="14"/>
      <c r="W633" s="14"/>
      <c r="X633" s="20" t="str">
        <f>IF(ISBLANK(V633),"",IF(V633&gt;W633,"1",IF(V633&lt;W633,"2",IF(V633=W633,"X"))))</f>
        <v/>
      </c>
      <c r="Y633" s="23" t="str">
        <f>COUNTIF(F633:J633, "W")&amp;COUNTIF(F633:J633, "d")&amp;COUNTIF(F633:J633, "l")</f>
        <v>230</v>
      </c>
      <c r="Z633" s="13" t="str">
        <f>COUNTIF(K633:O633, "W")&amp;COUNTIF(K633:O633, "d")&amp;COUNTIF(K633:O633, "l")</f>
        <v>023</v>
      </c>
      <c r="AA633" s="23" t="str">
        <f>_xlfn.CONCAT(Y633,"-",Z633)</f>
        <v>230-023</v>
      </c>
      <c r="AB633" s="15" t="str">
        <f>_xlfn.CONCAT(AA633,"…",TEXT(U633,"+00;-00;+00;"))</f>
        <v>230-023…+30</v>
      </c>
      <c r="AC633" s="23" t="str">
        <f>_xlfn.CONCAT(TEXT(P633,"+00;-00;+00;"),"…",TEXT(Q633,"+00;-00;+00;"))</f>
        <v>+07…-23</v>
      </c>
      <c r="AD633" s="14" t="str">
        <f>IF(X633="","?","")</f>
        <v>?</v>
      </c>
      <c r="AE633" s="15" t="str">
        <f>_xlfn.CONCAT(AA633,"…",TEXT(P633,"+00;-00;+00;"),"...",TEXT(Q633,"+00;-00;+00;"))</f>
        <v>230-023…+07...-23</v>
      </c>
      <c r="AF633" s="13" t="str">
        <f>_xlfn.CONCAT(R633,"…",TEXT(P633,"+00;-00;+00;"),"...",TEXT(Q633,"+00;-00;+00;"))</f>
        <v>WWDDD…+07...-23</v>
      </c>
    </row>
    <row r="634" spans="1:32" x14ac:dyDescent="0.25">
      <c r="A634" s="27" t="s">
        <v>1194</v>
      </c>
      <c r="B634" s="28" t="s">
        <v>7</v>
      </c>
      <c r="C634" s="29" t="s">
        <v>32</v>
      </c>
      <c r="D634" s="28" t="s">
        <v>506</v>
      </c>
      <c r="E634" s="28" t="s">
        <v>496</v>
      </c>
      <c r="F634" s="30" t="s">
        <v>30</v>
      </c>
      <c r="G634" s="30" t="s">
        <v>30</v>
      </c>
      <c r="H634" s="30" t="s">
        <v>30</v>
      </c>
      <c r="I634" s="30" t="s">
        <v>30</v>
      </c>
      <c r="J634" s="30" t="s">
        <v>31</v>
      </c>
      <c r="K634" s="30" t="s">
        <v>30</v>
      </c>
      <c r="L634" s="30" t="s">
        <v>29</v>
      </c>
      <c r="M634" s="30" t="s">
        <v>30</v>
      </c>
      <c r="N634" s="30" t="s">
        <v>31</v>
      </c>
      <c r="O634" s="30" t="s">
        <v>30</v>
      </c>
      <c r="P634" s="31">
        <v>19</v>
      </c>
      <c r="Q634" s="31">
        <v>0</v>
      </c>
      <c r="R634" s="32" t="str">
        <f>_xlfn.CONCAT(F634,G634,H634,I634,J634)</f>
        <v>WWWWL</v>
      </c>
      <c r="S634" s="33" t="str">
        <f>_xlfn.CONCAT(K634,L634,M634,N634,O634)</f>
        <v>WDWLW</v>
      </c>
      <c r="T634" s="33" t="str">
        <f>_xlfn.CONCAT(R634,"***",S634)</f>
        <v>WWWWL***WDWLW</v>
      </c>
      <c r="U634" s="34">
        <f>(P634-Q634)</f>
        <v>19</v>
      </c>
      <c r="V634" s="29"/>
      <c r="W634" s="29"/>
      <c r="X634" s="35" t="str">
        <f>IF(ISBLANK(V634),"",IF(V634&gt;W634,"1",IF(V634&lt;W634,"2",IF(V634=W634,"X"))))</f>
        <v/>
      </c>
      <c r="Y634" s="36" t="str">
        <f>COUNTIF(F634:J634, "W")&amp;COUNTIF(F634:J634, "d")&amp;COUNTIF(F634:J634, "l")</f>
        <v>401</v>
      </c>
      <c r="Z634" s="37" t="str">
        <f>COUNTIF(K634:O634, "W")&amp;COUNTIF(K634:O634, "d")&amp;COUNTIF(K634:O634, "l")</f>
        <v>311</v>
      </c>
      <c r="AA634" s="38" t="str">
        <f>_xlfn.CONCAT(Y634,"-",Z634)</f>
        <v>401-311</v>
      </c>
      <c r="AB634" s="30" t="str">
        <f>_xlfn.CONCAT(AA634,"…",TEXT(U634,"+00;-00;+00;"))</f>
        <v>401-311…+19</v>
      </c>
      <c r="AC634" s="36" t="str">
        <f>_xlfn.CONCAT(TEXT(P634,"+00;-00;+00;"),"…",TEXT(Q634,"+00;-00;+00;"))</f>
        <v>+19…+00</v>
      </c>
      <c r="AD634" s="39" t="str">
        <f>IF(X634="","?","")</f>
        <v>?</v>
      </c>
      <c r="AE634" s="40" t="str">
        <f>_xlfn.CONCAT(AA634,"…",TEXT(P634,"+00;-00;+00;"),"...",TEXT(Q634,"+00;-00;+00;"))</f>
        <v>401-311…+19...+00</v>
      </c>
      <c r="AF634" s="33" t="str">
        <f>_xlfn.CONCAT(R634,"…",TEXT(P634,"+00;-00;+00;"),"...",TEXT(Q634,"+00;-00;+00;"))</f>
        <v>WWWWL…+19...+00</v>
      </c>
    </row>
    <row r="635" spans="1:32" x14ac:dyDescent="0.25">
      <c r="A635" s="12" t="s">
        <v>1077</v>
      </c>
      <c r="B635" s="13" t="s">
        <v>208</v>
      </c>
      <c r="C635" s="14">
        <v>3</v>
      </c>
      <c r="D635" s="13" t="s">
        <v>1167</v>
      </c>
      <c r="E635" s="13" t="s">
        <v>1038</v>
      </c>
      <c r="F635" s="15" t="s">
        <v>31</v>
      </c>
      <c r="G635" s="15" t="s">
        <v>29</v>
      </c>
      <c r="H635" s="15" t="s">
        <v>31</v>
      </c>
      <c r="I635" s="15" t="s">
        <v>31</v>
      </c>
      <c r="J635" s="15" t="s">
        <v>29</v>
      </c>
      <c r="K635" s="15" t="s">
        <v>29</v>
      </c>
      <c r="L635" s="15" t="s">
        <v>29</v>
      </c>
      <c r="M635" s="15" t="s">
        <v>30</v>
      </c>
      <c r="N635" s="15" t="s">
        <v>29</v>
      </c>
      <c r="O635" s="15" t="s">
        <v>31</v>
      </c>
      <c r="P635" s="18">
        <v>-15</v>
      </c>
      <c r="Q635" s="18">
        <v>2</v>
      </c>
      <c r="R635" s="15" t="str">
        <f>_xlfn.CONCAT(F635,G635,H635,I635,J635)</f>
        <v>LDLLD</v>
      </c>
      <c r="S635" s="13" t="str">
        <f>_xlfn.CONCAT(K635,L635,M635,N635,O635)</f>
        <v>DDWDL</v>
      </c>
      <c r="T635" s="13" t="str">
        <f>_xlfn.CONCAT(R635,"***",S635)</f>
        <v>LDLLD***DDWDL</v>
      </c>
      <c r="U635" s="19">
        <f>(P635-Q635)</f>
        <v>-17</v>
      </c>
      <c r="V635" s="14"/>
      <c r="W635" s="14"/>
      <c r="X635" s="20" t="str">
        <f>IF(ISBLANK(V635),"",IF(V635&gt;W635,"1",IF(V635&lt;W635,"2",IF(V635=W635,"X"))))</f>
        <v/>
      </c>
      <c r="Y635" s="23" t="str">
        <f>COUNTIF(F635:J635, "W")&amp;COUNTIF(F635:J635, "d")&amp;COUNTIF(F635:J635, "l")</f>
        <v>023</v>
      </c>
      <c r="Z635" s="13" t="str">
        <f>COUNTIF(K635:O635, "W")&amp;COUNTIF(K635:O635, "d")&amp;COUNTIF(K635:O635, "l")</f>
        <v>131</v>
      </c>
      <c r="AA635" s="23" t="str">
        <f>_xlfn.CONCAT(Y635,"-",Z635)</f>
        <v>023-131</v>
      </c>
      <c r="AB635" s="15" t="str">
        <f>_xlfn.CONCAT(AA635,"…",TEXT(U635,"+00;-00;+00;"))</f>
        <v>023-131…-17</v>
      </c>
      <c r="AC635" s="23" t="str">
        <f>_xlfn.CONCAT(TEXT(P635,"+00;-00;+00;"),"…",TEXT(Q635,"+00;-00;+00;"))</f>
        <v>-15…+02</v>
      </c>
      <c r="AD635" s="14" t="str">
        <f>IF(X635="","?","")</f>
        <v>?</v>
      </c>
      <c r="AE635" s="15" t="str">
        <f>_xlfn.CONCAT(AA635,"…",TEXT(P635,"+00;-00;+00;"),"...",TEXT(Q635,"+00;-00;+00;"))</f>
        <v>023-131…-15...+02</v>
      </c>
      <c r="AF635" s="13" t="str">
        <f>_xlfn.CONCAT(R635,"…",TEXT(P635,"+00;-00;+00;"),"...",TEXT(Q635,"+00;-00;+00;"))</f>
        <v>LDLLD…-15...+02</v>
      </c>
    </row>
    <row r="636" spans="1:32" x14ac:dyDescent="0.25">
      <c r="A636" s="12" t="s">
        <v>1077</v>
      </c>
      <c r="B636" s="13" t="s">
        <v>117</v>
      </c>
      <c r="C636" s="14" t="s">
        <v>33</v>
      </c>
      <c r="D636" s="13" t="s">
        <v>669</v>
      </c>
      <c r="E636" s="13" t="s">
        <v>673</v>
      </c>
      <c r="F636" s="15" t="s">
        <v>31</v>
      </c>
      <c r="G636" s="15" t="s">
        <v>31</v>
      </c>
      <c r="H636" s="15" t="s">
        <v>31</v>
      </c>
      <c r="I636" s="15" t="s">
        <v>29</v>
      </c>
      <c r="J636" s="15" t="s">
        <v>29</v>
      </c>
      <c r="K636" s="15" t="s">
        <v>30</v>
      </c>
      <c r="L636" s="15" t="s">
        <v>29</v>
      </c>
      <c r="M636" s="15" t="s">
        <v>30</v>
      </c>
      <c r="N636" s="15" t="s">
        <v>30</v>
      </c>
      <c r="O636" s="15" t="s">
        <v>30</v>
      </c>
      <c r="P636" s="18">
        <v>-20</v>
      </c>
      <c r="Q636" s="18">
        <v>10</v>
      </c>
      <c r="R636" s="15" t="str">
        <f>_xlfn.CONCAT(F636,G636,H636,I636,J636)</f>
        <v>LLLDD</v>
      </c>
      <c r="S636" s="13" t="str">
        <f>_xlfn.CONCAT(K636,L636,M636,N636,O636)</f>
        <v>WDWWW</v>
      </c>
      <c r="T636" s="13" t="str">
        <f>_xlfn.CONCAT(R636,"***",S636)</f>
        <v>LLLDD***WDWWW</v>
      </c>
      <c r="U636" s="19">
        <f>(P636-Q636)</f>
        <v>-30</v>
      </c>
      <c r="V636" s="14"/>
      <c r="W636" s="14"/>
      <c r="X636" s="20" t="str">
        <f>IF(ISBLANK(V636),"",IF(V636&gt;W636,"1",IF(V636&lt;W636,"2",IF(V636=W636,"X"))))</f>
        <v/>
      </c>
      <c r="Y636" s="23" t="str">
        <f>COUNTIF(F636:J636, "W")&amp;COUNTIF(F636:J636, "d")&amp;COUNTIF(F636:J636, "l")</f>
        <v>023</v>
      </c>
      <c r="Z636" s="13" t="str">
        <f>COUNTIF(K636:O636, "W")&amp;COUNTIF(K636:O636, "d")&amp;COUNTIF(K636:O636, "l")</f>
        <v>410</v>
      </c>
      <c r="AA636" s="23" t="str">
        <f>_xlfn.CONCAT(Y636,"-",Z636)</f>
        <v>023-410</v>
      </c>
      <c r="AB636" s="15" t="str">
        <f>_xlfn.CONCAT(AA636,"…",TEXT(U636,"+00;-00;+00;"))</f>
        <v>023-410…-30</v>
      </c>
      <c r="AC636" s="23" t="str">
        <f>_xlfn.CONCAT(TEXT(P636,"+00;-00;+00;"),"…",TEXT(Q636,"+00;-00;+00;"))</f>
        <v>-20…+10</v>
      </c>
      <c r="AD636" s="14" t="str">
        <f>IF(X636="","?","")</f>
        <v>?</v>
      </c>
      <c r="AE636" s="15" t="str">
        <f>_xlfn.CONCAT(AA636,"…",TEXT(P636,"+00;-00;+00;"),"...",TEXT(Q636,"+00;-00;+00;"))</f>
        <v>023-410…-20...+10</v>
      </c>
      <c r="AF636" s="13" t="str">
        <f>_xlfn.CONCAT(R636,"…",TEXT(P636,"+00;-00;+00;"),"...",TEXT(Q636,"+00;-00;+00;"))</f>
        <v>LLLDD…-20...+10</v>
      </c>
    </row>
    <row r="637" spans="1:32" x14ac:dyDescent="0.25">
      <c r="A637" s="12" t="s">
        <v>1077</v>
      </c>
      <c r="B637" s="13" t="s">
        <v>117</v>
      </c>
      <c r="C637" s="14" t="s">
        <v>33</v>
      </c>
      <c r="D637" s="13" t="s">
        <v>672</v>
      </c>
      <c r="E637" s="13" t="s">
        <v>1123</v>
      </c>
      <c r="F637" s="15" t="s">
        <v>29</v>
      </c>
      <c r="G637" s="15" t="s">
        <v>31</v>
      </c>
      <c r="H637" s="15" t="s">
        <v>29</v>
      </c>
      <c r="I637" s="15" t="s">
        <v>31</v>
      </c>
      <c r="J637" s="15" t="s">
        <v>29</v>
      </c>
      <c r="K637" s="15" t="s">
        <v>30</v>
      </c>
      <c r="L637" s="15" t="s">
        <v>31</v>
      </c>
      <c r="M637" s="15" t="s">
        <v>30</v>
      </c>
      <c r="N637" s="15" t="s">
        <v>30</v>
      </c>
      <c r="O637" s="15" t="s">
        <v>30</v>
      </c>
      <c r="P637" s="18">
        <v>-4</v>
      </c>
      <c r="Q637" s="18">
        <v>-1</v>
      </c>
      <c r="R637" s="15" t="str">
        <f>_xlfn.CONCAT(F637,G637,H637,I637,J637)</f>
        <v>DLDLD</v>
      </c>
      <c r="S637" s="13" t="str">
        <f>_xlfn.CONCAT(K637,L637,M637,N637,O637)</f>
        <v>WLWWW</v>
      </c>
      <c r="T637" s="13" t="str">
        <f>_xlfn.CONCAT(R637,"***",S637)</f>
        <v>DLDLD***WLWWW</v>
      </c>
      <c r="U637" s="19">
        <f>(P637-Q637)</f>
        <v>-3</v>
      </c>
      <c r="V637" s="14"/>
      <c r="W637" s="14"/>
      <c r="X637" s="20" t="str">
        <f>IF(ISBLANK(V637),"",IF(V637&gt;W637,"1",IF(V637&lt;W637,"2",IF(V637=W637,"X"))))</f>
        <v/>
      </c>
      <c r="Y637" s="23" t="str">
        <f>COUNTIF(F637:J637, "W")&amp;COUNTIF(F637:J637, "d")&amp;COUNTIF(F637:J637, "l")</f>
        <v>032</v>
      </c>
      <c r="Z637" s="13" t="str">
        <f>COUNTIF(K637:O637, "W")&amp;COUNTIF(K637:O637, "d")&amp;COUNTIF(K637:O637, "l")</f>
        <v>401</v>
      </c>
      <c r="AA637" s="23" t="str">
        <f>_xlfn.CONCAT(Y637,"-",Z637)</f>
        <v>032-401</v>
      </c>
      <c r="AB637" s="15" t="str">
        <f>_xlfn.CONCAT(AA637,"…",TEXT(U637,"+00;-00;+00;"))</f>
        <v>032-401…-03</v>
      </c>
      <c r="AC637" s="23" t="str">
        <f>_xlfn.CONCAT(TEXT(P637,"+00;-00;+00;"),"…",TEXT(Q637,"+00;-00;+00;"))</f>
        <v>-04…-01</v>
      </c>
      <c r="AD637" s="14" t="str">
        <f>IF(X637="","?","")</f>
        <v>?</v>
      </c>
      <c r="AE637" s="15" t="str">
        <f>_xlfn.CONCAT(AA637,"…",TEXT(P637,"+00;-00;+00;"),"...",TEXT(Q637,"+00;-00;+00;"))</f>
        <v>032-401…-04...-01</v>
      </c>
      <c r="AF637" s="13" t="str">
        <f>_xlfn.CONCAT(R637,"…",TEXT(P637,"+00;-00;+00;"),"...",TEXT(Q637,"+00;-00;+00;"))</f>
        <v>DLDLD…-04...-01</v>
      </c>
    </row>
    <row r="638" spans="1:32" x14ac:dyDescent="0.25">
      <c r="A638" s="12" t="s">
        <v>1077</v>
      </c>
      <c r="B638" s="13" t="s">
        <v>59</v>
      </c>
      <c r="C638" s="14">
        <v>1</v>
      </c>
      <c r="D638" s="13" t="s">
        <v>72</v>
      </c>
      <c r="E638" s="13" t="s">
        <v>727</v>
      </c>
      <c r="F638" s="15" t="s">
        <v>29</v>
      </c>
      <c r="G638" s="15" t="s">
        <v>29</v>
      </c>
      <c r="H638" s="15" t="s">
        <v>29</v>
      </c>
      <c r="I638" s="15" t="s">
        <v>31</v>
      </c>
      <c r="J638" s="15" t="s">
        <v>29</v>
      </c>
      <c r="K638" s="15" t="s">
        <v>29</v>
      </c>
      <c r="L638" s="15" t="s">
        <v>31</v>
      </c>
      <c r="M638" s="15" t="s">
        <v>31</v>
      </c>
      <c r="N638" s="15" t="s">
        <v>29</v>
      </c>
      <c r="O638" s="15" t="s">
        <v>31</v>
      </c>
      <c r="P638" s="18">
        <v>-10</v>
      </c>
      <c r="Q638" s="18">
        <v>-16</v>
      </c>
      <c r="R638" s="15" t="str">
        <f>_xlfn.CONCAT(F638,G638,H638,I638,J638)</f>
        <v>DDDLD</v>
      </c>
      <c r="S638" s="13" t="str">
        <f>_xlfn.CONCAT(K638,L638,M638,N638,O638)</f>
        <v>DLLDL</v>
      </c>
      <c r="T638" s="13" t="str">
        <f>_xlfn.CONCAT(R638,"***",S638)</f>
        <v>DDDLD***DLLDL</v>
      </c>
      <c r="U638" s="19">
        <f>(P638-Q638)</f>
        <v>6</v>
      </c>
      <c r="V638" s="14"/>
      <c r="W638" s="14"/>
      <c r="X638" s="20" t="str">
        <f>IF(ISBLANK(V638),"",IF(V638&gt;W638,"1",IF(V638&lt;W638,"2",IF(V638=W638,"X"))))</f>
        <v/>
      </c>
      <c r="Y638" s="23" t="str">
        <f>COUNTIF(F638:J638, "W")&amp;COUNTIF(F638:J638, "d")&amp;COUNTIF(F638:J638, "l")</f>
        <v>041</v>
      </c>
      <c r="Z638" s="13" t="str">
        <f>COUNTIF(K638:O638, "W")&amp;COUNTIF(K638:O638, "d")&amp;COUNTIF(K638:O638, "l")</f>
        <v>023</v>
      </c>
      <c r="AA638" s="23" t="str">
        <f>_xlfn.CONCAT(Y638,"-",Z638)</f>
        <v>041-023</v>
      </c>
      <c r="AB638" s="15" t="str">
        <f>_xlfn.CONCAT(AA638,"…",TEXT(U638,"+00;-00;+00;"))</f>
        <v>041-023…+06</v>
      </c>
      <c r="AC638" s="23" t="str">
        <f>_xlfn.CONCAT(TEXT(P638,"+00;-00;+00;"),"…",TEXT(Q638,"+00;-00;+00;"))</f>
        <v>-10…-16</v>
      </c>
      <c r="AD638" s="14" t="str">
        <f>IF(X638="","?","")</f>
        <v>?</v>
      </c>
      <c r="AE638" s="15" t="str">
        <f>_xlfn.CONCAT(AA638,"…",TEXT(P638,"+00;-00;+00;"),"...",TEXT(Q638,"+00;-00;+00;"))</f>
        <v>041-023…-10...-16</v>
      </c>
      <c r="AF638" s="13" t="str">
        <f>_xlfn.CONCAT(R638,"…",TEXT(P638,"+00;-00;+00;"),"...",TEXT(Q638,"+00;-00;+00;"))</f>
        <v>DDDLD…-10...-16</v>
      </c>
    </row>
    <row r="639" spans="1:32" x14ac:dyDescent="0.25">
      <c r="A639" s="12" t="s">
        <v>1077</v>
      </c>
      <c r="B639" s="13" t="s">
        <v>59</v>
      </c>
      <c r="C639" s="14">
        <v>2</v>
      </c>
      <c r="D639" s="13" t="s">
        <v>738</v>
      </c>
      <c r="E639" s="13" t="s">
        <v>1088</v>
      </c>
      <c r="F639" s="15" t="s">
        <v>29</v>
      </c>
      <c r="G639" s="15" t="s">
        <v>31</v>
      </c>
      <c r="H639" s="15" t="s">
        <v>31</v>
      </c>
      <c r="I639" s="15" t="s">
        <v>29</v>
      </c>
      <c r="J639" s="15" t="s">
        <v>30</v>
      </c>
      <c r="K639" s="15" t="s">
        <v>29</v>
      </c>
      <c r="L639" s="15" t="s">
        <v>29</v>
      </c>
      <c r="M639" s="15" t="s">
        <v>30</v>
      </c>
      <c r="N639" s="15" t="s">
        <v>30</v>
      </c>
      <c r="O639" s="15" t="s">
        <v>31</v>
      </c>
      <c r="P639" s="18">
        <v>-5</v>
      </c>
      <c r="Q639" s="18">
        <v>5</v>
      </c>
      <c r="R639" s="15" t="str">
        <f>_xlfn.CONCAT(F639,G639,H639,I639,J639)</f>
        <v>DLLDW</v>
      </c>
      <c r="S639" s="13" t="str">
        <f>_xlfn.CONCAT(K639,L639,M639,N639,O639)</f>
        <v>DDWWL</v>
      </c>
      <c r="T639" s="13" t="str">
        <f>_xlfn.CONCAT(R639,"***",S639)</f>
        <v>DLLDW***DDWWL</v>
      </c>
      <c r="U639" s="19">
        <f>(P639-Q639)</f>
        <v>-10</v>
      </c>
      <c r="V639" s="14"/>
      <c r="W639" s="14"/>
      <c r="X639" s="20" t="str">
        <f>IF(ISBLANK(V639),"",IF(V639&gt;W639,"1",IF(V639&lt;W639,"2",IF(V639=W639,"X"))))</f>
        <v/>
      </c>
      <c r="Y639" s="23" t="str">
        <f>COUNTIF(F639:J639, "W")&amp;COUNTIF(F639:J639, "d")&amp;COUNTIF(F639:J639, "l")</f>
        <v>122</v>
      </c>
      <c r="Z639" s="13" t="str">
        <f>COUNTIF(K639:O639, "W")&amp;COUNTIF(K639:O639, "d")&amp;COUNTIF(K639:O639, "l")</f>
        <v>221</v>
      </c>
      <c r="AA639" s="23" t="str">
        <f>_xlfn.CONCAT(Y639,"-",Z639)</f>
        <v>122-221</v>
      </c>
      <c r="AB639" s="15" t="str">
        <f>_xlfn.CONCAT(AA639,"…",TEXT(U639,"+00;-00;+00;"))</f>
        <v>122-221…-10</v>
      </c>
      <c r="AC639" s="23" t="str">
        <f>_xlfn.CONCAT(TEXT(P639,"+00;-00;+00;"),"…",TEXT(Q639,"+00;-00;+00;"))</f>
        <v>-05…+05</v>
      </c>
      <c r="AD639" s="14" t="str">
        <f>IF(X639="","?","")</f>
        <v>?</v>
      </c>
      <c r="AE639" s="15" t="str">
        <f>_xlfn.CONCAT(AA639,"…",TEXT(P639,"+00;-00;+00;"),"...",TEXT(Q639,"+00;-00;+00;"))</f>
        <v>122-221…-05...+05</v>
      </c>
      <c r="AF639" s="13" t="str">
        <f>_xlfn.CONCAT(R639,"…",TEXT(P639,"+00;-00;+00;"),"...",TEXT(Q639,"+00;-00;+00;"))</f>
        <v>DLLDW…-05...+05</v>
      </c>
    </row>
    <row r="640" spans="1:32" x14ac:dyDescent="0.25">
      <c r="A640" s="12" t="s">
        <v>1077</v>
      </c>
      <c r="B640" s="13" t="s">
        <v>208</v>
      </c>
      <c r="C640" s="14">
        <v>3</v>
      </c>
      <c r="D640" s="13" t="s">
        <v>1164</v>
      </c>
      <c r="E640" s="13" t="s">
        <v>1165</v>
      </c>
      <c r="F640" s="15" t="s">
        <v>29</v>
      </c>
      <c r="G640" s="15" t="s">
        <v>30</v>
      </c>
      <c r="H640" s="15" t="s">
        <v>31</v>
      </c>
      <c r="I640" s="15" t="s">
        <v>29</v>
      </c>
      <c r="J640" s="15" t="s">
        <v>29</v>
      </c>
      <c r="K640" s="15" t="s">
        <v>29</v>
      </c>
      <c r="L640" s="15" t="s">
        <v>30</v>
      </c>
      <c r="M640" s="15" t="s">
        <v>31</v>
      </c>
      <c r="N640" s="15" t="s">
        <v>31</v>
      </c>
      <c r="O640" s="15" t="s">
        <v>30</v>
      </c>
      <c r="P640" s="18">
        <v>1</v>
      </c>
      <c r="Q640" s="18">
        <v>-10</v>
      </c>
      <c r="R640" s="15" t="str">
        <f>_xlfn.CONCAT(F640,G640,H640,I640,J640)</f>
        <v>DWLDD</v>
      </c>
      <c r="S640" s="13" t="str">
        <f>_xlfn.CONCAT(K640,L640,M640,N640,O640)</f>
        <v>DWLLW</v>
      </c>
      <c r="T640" s="13" t="str">
        <f>_xlfn.CONCAT(R640,"***",S640)</f>
        <v>DWLDD***DWLLW</v>
      </c>
      <c r="U640" s="19">
        <f>(P640-Q640)</f>
        <v>11</v>
      </c>
      <c r="V640" s="14"/>
      <c r="W640" s="14"/>
      <c r="X640" s="20" t="str">
        <f>IF(ISBLANK(V640),"",IF(V640&gt;W640,"1",IF(V640&lt;W640,"2",IF(V640=W640,"X"))))</f>
        <v/>
      </c>
      <c r="Y640" s="23" t="str">
        <f>COUNTIF(F640:J640, "W")&amp;COUNTIF(F640:J640, "d")&amp;COUNTIF(F640:J640, "l")</f>
        <v>131</v>
      </c>
      <c r="Z640" s="13" t="str">
        <f>COUNTIF(K640:O640, "W")&amp;COUNTIF(K640:O640, "d")&amp;COUNTIF(K640:O640, "l")</f>
        <v>212</v>
      </c>
      <c r="AA640" s="23" t="str">
        <f>_xlfn.CONCAT(Y640,"-",Z640)</f>
        <v>131-212</v>
      </c>
      <c r="AB640" s="15" t="str">
        <f>_xlfn.CONCAT(AA640,"…",TEXT(U640,"+00;-00;+00;"))</f>
        <v>131-212…+11</v>
      </c>
      <c r="AC640" s="23" t="str">
        <f>_xlfn.CONCAT(TEXT(P640,"+00;-00;+00;"),"…",TEXT(Q640,"+00;-00;+00;"))</f>
        <v>+01…-10</v>
      </c>
      <c r="AD640" s="14" t="str">
        <f>IF(X640="","?","")</f>
        <v>?</v>
      </c>
      <c r="AE640" s="15" t="str">
        <f>_xlfn.CONCAT(AA640,"…",TEXT(P640,"+00;-00;+00;"),"...",TEXT(Q640,"+00;-00;+00;"))</f>
        <v>131-212…+01...-10</v>
      </c>
      <c r="AF640" s="13" t="str">
        <f>_xlfn.CONCAT(R640,"…",TEXT(P640,"+00;-00;+00;"),"...",TEXT(Q640,"+00;-00;+00;"))</f>
        <v>DWLDD…+01...-10</v>
      </c>
    </row>
    <row r="641" spans="1:32" x14ac:dyDescent="0.25">
      <c r="A641" s="12" t="s">
        <v>1077</v>
      </c>
      <c r="B641" s="13" t="s">
        <v>117</v>
      </c>
      <c r="C641" s="14" t="s">
        <v>33</v>
      </c>
      <c r="D641" s="13" t="s">
        <v>646</v>
      </c>
      <c r="E641" s="13" t="s">
        <v>153</v>
      </c>
      <c r="F641" s="15" t="s">
        <v>29</v>
      </c>
      <c r="G641" s="15" t="s">
        <v>30</v>
      </c>
      <c r="H641" s="15" t="s">
        <v>29</v>
      </c>
      <c r="I641" s="15" t="s">
        <v>29</v>
      </c>
      <c r="J641" s="15" t="s">
        <v>31</v>
      </c>
      <c r="K641" s="15" t="s">
        <v>30</v>
      </c>
      <c r="L641" s="15" t="s">
        <v>30</v>
      </c>
      <c r="M641" s="15" t="s">
        <v>29</v>
      </c>
      <c r="N641" s="15" t="s">
        <v>30</v>
      </c>
      <c r="O641" s="15" t="s">
        <v>30</v>
      </c>
      <c r="P641" s="18">
        <v>-1</v>
      </c>
      <c r="Q641" s="18">
        <v>5</v>
      </c>
      <c r="R641" s="15" t="str">
        <f>_xlfn.CONCAT(F641,G641,H641,I641,J641)</f>
        <v>DWDDL</v>
      </c>
      <c r="S641" s="13" t="str">
        <f>_xlfn.CONCAT(K641,L641,M641,N641,O641)</f>
        <v>WWDWW</v>
      </c>
      <c r="T641" s="13" t="str">
        <f>_xlfn.CONCAT(R641,"***",S641)</f>
        <v>DWDDL***WWDWW</v>
      </c>
      <c r="U641" s="19">
        <f>(P641-Q641)</f>
        <v>-6</v>
      </c>
      <c r="V641" s="14"/>
      <c r="W641" s="14"/>
      <c r="X641" s="20" t="str">
        <f>IF(ISBLANK(V641),"",IF(V641&gt;W641,"1",IF(V641&lt;W641,"2",IF(V641=W641,"X"))))</f>
        <v/>
      </c>
      <c r="Y641" s="23" t="str">
        <f>COUNTIF(F641:J641, "W")&amp;COUNTIF(F641:J641, "d")&amp;COUNTIF(F641:J641, "l")</f>
        <v>131</v>
      </c>
      <c r="Z641" s="13" t="str">
        <f>COUNTIF(K641:O641, "W")&amp;COUNTIF(K641:O641, "d")&amp;COUNTIF(K641:O641, "l")</f>
        <v>410</v>
      </c>
      <c r="AA641" s="23" t="str">
        <f>_xlfn.CONCAT(Y641,"-",Z641)</f>
        <v>131-410</v>
      </c>
      <c r="AB641" s="15" t="str">
        <f>_xlfn.CONCAT(AA641,"…",TEXT(U641,"+00;-00;+00;"))</f>
        <v>131-410…-06</v>
      </c>
      <c r="AC641" s="23" t="str">
        <f>_xlfn.CONCAT(TEXT(P641,"+00;-00;+00;"),"…",TEXT(Q641,"+00;-00;+00;"))</f>
        <v>-01…+05</v>
      </c>
      <c r="AD641" s="14" t="str">
        <f>IF(X641="","?","")</f>
        <v>?</v>
      </c>
      <c r="AE641" s="15" t="str">
        <f>_xlfn.CONCAT(AA641,"…",TEXT(P641,"+00;-00;+00;"),"...",TEXT(Q641,"+00;-00;+00;"))</f>
        <v>131-410…-01...+05</v>
      </c>
      <c r="AF641" s="13" t="str">
        <f>_xlfn.CONCAT(R641,"…",TEXT(P641,"+00;-00;+00;"),"...",TEXT(Q641,"+00;-00;+00;"))</f>
        <v>DWDDL…-01...+05</v>
      </c>
    </row>
    <row r="642" spans="1:32" x14ac:dyDescent="0.25">
      <c r="A642" s="12" t="s">
        <v>1077</v>
      </c>
      <c r="B642" s="13" t="s">
        <v>117</v>
      </c>
      <c r="C642" s="14" t="s">
        <v>33</v>
      </c>
      <c r="D642" s="13" t="s">
        <v>671</v>
      </c>
      <c r="E642" s="13" t="s">
        <v>1122</v>
      </c>
      <c r="F642" s="15" t="s">
        <v>31</v>
      </c>
      <c r="G642" s="15" t="s">
        <v>30</v>
      </c>
      <c r="H642" s="15" t="s">
        <v>29</v>
      </c>
      <c r="I642" s="15" t="s">
        <v>31</v>
      </c>
      <c r="J642" s="15" t="s">
        <v>30</v>
      </c>
      <c r="K642" s="15" t="s">
        <v>30</v>
      </c>
      <c r="L642" s="15" t="s">
        <v>30</v>
      </c>
      <c r="M642" s="15" t="s">
        <v>30</v>
      </c>
      <c r="N642" s="15" t="s">
        <v>30</v>
      </c>
      <c r="O642" s="15" t="s">
        <v>30</v>
      </c>
      <c r="P642" s="18">
        <v>1</v>
      </c>
      <c r="Q642" s="18">
        <v>2</v>
      </c>
      <c r="R642" s="15" t="str">
        <f>_xlfn.CONCAT(F642,G642,H642,I642,J642)</f>
        <v>LWDLW</v>
      </c>
      <c r="S642" s="13" t="str">
        <f>_xlfn.CONCAT(K642,L642,M642,N642,O642)</f>
        <v>WWWWW</v>
      </c>
      <c r="T642" s="13" t="str">
        <f>_xlfn.CONCAT(R642,"***",S642)</f>
        <v>LWDLW***WWWWW</v>
      </c>
      <c r="U642" s="19">
        <f>(P642-Q642)</f>
        <v>-1</v>
      </c>
      <c r="V642" s="14"/>
      <c r="W642" s="14"/>
      <c r="X642" s="20" t="str">
        <f>IF(ISBLANK(V642),"",IF(V642&gt;W642,"1",IF(V642&lt;W642,"2",IF(V642=W642,"X"))))</f>
        <v/>
      </c>
      <c r="Y642" s="23" t="str">
        <f>COUNTIF(F642:J642, "W")&amp;COUNTIF(F642:J642, "d")&amp;COUNTIF(F642:J642, "l")</f>
        <v>212</v>
      </c>
      <c r="Z642" s="13" t="str">
        <f>COUNTIF(K642:O642, "W")&amp;COUNTIF(K642:O642, "d")&amp;COUNTIF(K642:O642, "l")</f>
        <v>500</v>
      </c>
      <c r="AA642" s="23" t="str">
        <f>_xlfn.CONCAT(Y642,"-",Z642)</f>
        <v>212-500</v>
      </c>
      <c r="AB642" s="15" t="str">
        <f>_xlfn.CONCAT(AA642,"…",TEXT(U642,"+00;-00;+00;"))</f>
        <v>212-500…-01</v>
      </c>
      <c r="AC642" s="23" t="str">
        <f>_xlfn.CONCAT(TEXT(P642,"+00;-00;+00;"),"…",TEXT(Q642,"+00;-00;+00;"))</f>
        <v>+01…+02</v>
      </c>
      <c r="AD642" s="14" t="str">
        <f>IF(X642="","?","")</f>
        <v>?</v>
      </c>
      <c r="AE642" s="15" t="str">
        <f>_xlfn.CONCAT(AA642,"…",TEXT(P642,"+00;-00;+00;"),"...",TEXT(Q642,"+00;-00;+00;"))</f>
        <v>212-500…+01...+02</v>
      </c>
      <c r="AF642" s="13" t="str">
        <f>_xlfn.CONCAT(R642,"…",TEXT(P642,"+00;-00;+00;"),"...",TEXT(Q642,"+00;-00;+00;"))</f>
        <v>LWDLW…+01...+02</v>
      </c>
    </row>
    <row r="643" spans="1:32" x14ac:dyDescent="0.25">
      <c r="A643" s="12" t="s">
        <v>1077</v>
      </c>
      <c r="B643" s="13" t="s">
        <v>208</v>
      </c>
      <c r="C643" s="14">
        <v>3</v>
      </c>
      <c r="D643" s="13" t="s">
        <v>1166</v>
      </c>
      <c r="E643" s="13" t="s">
        <v>1034</v>
      </c>
      <c r="F643" s="15" t="s">
        <v>30</v>
      </c>
      <c r="G643" s="15" t="s">
        <v>29</v>
      </c>
      <c r="H643" s="15" t="s">
        <v>30</v>
      </c>
      <c r="I643" s="15" t="s">
        <v>30</v>
      </c>
      <c r="J643" s="15" t="s">
        <v>29</v>
      </c>
      <c r="K643" s="15" t="s">
        <v>30</v>
      </c>
      <c r="L643" s="15" t="s">
        <v>30</v>
      </c>
      <c r="M643" s="15" t="s">
        <v>30</v>
      </c>
      <c r="N643" s="15" t="s">
        <v>29</v>
      </c>
      <c r="O643" s="15" t="s">
        <v>29</v>
      </c>
      <c r="P643" s="18">
        <v>9</v>
      </c>
      <c r="Q643" s="18">
        <v>7</v>
      </c>
      <c r="R643" s="15" t="str">
        <f>_xlfn.CONCAT(F643,G643,H643,I643,J643)</f>
        <v>WDWWD</v>
      </c>
      <c r="S643" s="13" t="str">
        <f>_xlfn.CONCAT(K643,L643,M643,N643,O643)</f>
        <v>WWWDD</v>
      </c>
      <c r="T643" s="13" t="str">
        <f>_xlfn.CONCAT(R643,"***",S643)</f>
        <v>WDWWD***WWWDD</v>
      </c>
      <c r="U643" s="19">
        <f>(P643-Q643)</f>
        <v>2</v>
      </c>
      <c r="V643" s="14"/>
      <c r="W643" s="14"/>
      <c r="X643" s="20" t="str">
        <f>IF(ISBLANK(V643),"",IF(V643&gt;W643,"1",IF(V643&lt;W643,"2",IF(V643=W643,"X"))))</f>
        <v/>
      </c>
      <c r="Y643" s="23" t="str">
        <f>COUNTIF(F643:J643, "W")&amp;COUNTIF(F643:J643, "d")&amp;COUNTIF(F643:J643, "l")</f>
        <v>320</v>
      </c>
      <c r="Z643" s="13" t="str">
        <f>COUNTIF(K643:O643, "W")&amp;COUNTIF(K643:O643, "d")&amp;COUNTIF(K643:O643, "l")</f>
        <v>320</v>
      </c>
      <c r="AA643" s="23" t="str">
        <f>_xlfn.CONCAT(Y643,"-",Z643)</f>
        <v>320-320</v>
      </c>
      <c r="AB643" s="15" t="str">
        <f>_xlfn.CONCAT(AA643,"…",TEXT(U643,"+00;-00;+00;"))</f>
        <v>320-320…+02</v>
      </c>
      <c r="AC643" s="23" t="str">
        <f>_xlfn.CONCAT(TEXT(P643,"+00;-00;+00;"),"…",TEXT(Q643,"+00;-00;+00;"))</f>
        <v>+09…+07</v>
      </c>
      <c r="AD643" s="14" t="str">
        <f>IF(X643="","?","")</f>
        <v>?</v>
      </c>
      <c r="AE643" s="15" t="str">
        <f>_xlfn.CONCAT(AA643,"…",TEXT(P643,"+00;-00;+00;"),"...",TEXT(Q643,"+00;-00;+00;"))</f>
        <v>320-320…+09...+07</v>
      </c>
      <c r="AF643" s="13" t="str">
        <f>_xlfn.CONCAT(R643,"…",TEXT(P643,"+00;-00;+00;"),"...",TEXT(Q643,"+00;-00;+00;"))</f>
        <v>WDWWD…+09...+07</v>
      </c>
    </row>
    <row r="644" spans="1:32" x14ac:dyDescent="0.25">
      <c r="A644" s="12" t="s">
        <v>1077</v>
      </c>
      <c r="B644" s="13" t="s">
        <v>208</v>
      </c>
      <c r="C644" s="14">
        <v>3</v>
      </c>
      <c r="D644" s="13" t="s">
        <v>1168</v>
      </c>
      <c r="E644" s="13" t="s">
        <v>1040</v>
      </c>
      <c r="F644" s="15" t="s">
        <v>30</v>
      </c>
      <c r="G644" s="15" t="s">
        <v>29</v>
      </c>
      <c r="H644" s="15" t="s">
        <v>29</v>
      </c>
      <c r="I644" s="15" t="s">
        <v>30</v>
      </c>
      <c r="J644" s="15" t="s">
        <v>30</v>
      </c>
      <c r="K644" s="15" t="s">
        <v>29</v>
      </c>
      <c r="L644" s="15" t="s">
        <v>30</v>
      </c>
      <c r="M644" s="15" t="s">
        <v>30</v>
      </c>
      <c r="N644" s="15" t="s">
        <v>30</v>
      </c>
      <c r="O644" s="15" t="s">
        <v>30</v>
      </c>
      <c r="P644" s="18">
        <v>9</v>
      </c>
      <c r="Q644" s="18">
        <v>14</v>
      </c>
      <c r="R644" s="15" t="str">
        <f>_xlfn.CONCAT(F644,G644,H644,I644,J644)</f>
        <v>WDDWW</v>
      </c>
      <c r="S644" s="13" t="str">
        <f>_xlfn.CONCAT(K644,L644,M644,N644,O644)</f>
        <v>DWWWW</v>
      </c>
      <c r="T644" s="13" t="str">
        <f>_xlfn.CONCAT(R644,"***",S644)</f>
        <v>WDDWW***DWWWW</v>
      </c>
      <c r="U644" s="19">
        <f>(P644-Q644)</f>
        <v>-5</v>
      </c>
      <c r="V644" s="14"/>
      <c r="W644" s="14"/>
      <c r="X644" s="20" t="str">
        <f>IF(ISBLANK(V644),"",IF(V644&gt;W644,"1",IF(V644&lt;W644,"2",IF(V644=W644,"X"))))</f>
        <v/>
      </c>
      <c r="Y644" s="23" t="str">
        <f>COUNTIF(F644:J644, "W")&amp;COUNTIF(F644:J644, "d")&amp;COUNTIF(F644:J644, "l")</f>
        <v>320</v>
      </c>
      <c r="Z644" s="13" t="str">
        <f>COUNTIF(K644:O644, "W")&amp;COUNTIF(K644:O644, "d")&amp;COUNTIF(K644:O644, "l")</f>
        <v>410</v>
      </c>
      <c r="AA644" s="23" t="str">
        <f>_xlfn.CONCAT(Y644,"-",Z644)</f>
        <v>320-410</v>
      </c>
      <c r="AB644" s="15" t="str">
        <f>_xlfn.CONCAT(AA644,"…",TEXT(U644,"+00;-00;+00;"))</f>
        <v>320-410…-05</v>
      </c>
      <c r="AC644" s="23" t="str">
        <f>_xlfn.CONCAT(TEXT(P644,"+00;-00;+00;"),"…",TEXT(Q644,"+00;-00;+00;"))</f>
        <v>+09…+14</v>
      </c>
      <c r="AD644" s="14" t="str">
        <f>IF(X644="","?","")</f>
        <v>?</v>
      </c>
      <c r="AE644" s="15" t="str">
        <f>_xlfn.CONCAT(AA644,"…",TEXT(P644,"+00;-00;+00;"),"...",TEXT(Q644,"+00;-00;+00;"))</f>
        <v>320-410…+09...+14</v>
      </c>
      <c r="AF644" s="13" t="str">
        <f>_xlfn.CONCAT(R644,"…",TEXT(P644,"+00;-00;+00;"),"...",TEXT(Q644,"+00;-00;+00;"))</f>
        <v>WDDWW…+09...+14</v>
      </c>
    </row>
    <row r="645" spans="1:32" x14ac:dyDescent="0.25">
      <c r="A645" s="12" t="s">
        <v>1077</v>
      </c>
      <c r="B645" s="13" t="s">
        <v>117</v>
      </c>
      <c r="C645" s="14" t="s">
        <v>33</v>
      </c>
      <c r="D645" s="13" t="s">
        <v>674</v>
      </c>
      <c r="E645" s="13" t="s">
        <v>645</v>
      </c>
      <c r="F645" s="15" t="s">
        <v>31</v>
      </c>
      <c r="G645" s="15" t="s">
        <v>30</v>
      </c>
      <c r="H645" s="15" t="s">
        <v>30</v>
      </c>
      <c r="I645" s="15" t="s">
        <v>30</v>
      </c>
      <c r="J645" s="15" t="s">
        <v>30</v>
      </c>
      <c r="K645" s="15" t="s">
        <v>31</v>
      </c>
      <c r="L645" s="15" t="s">
        <v>31</v>
      </c>
      <c r="M645" s="15" t="s">
        <v>29</v>
      </c>
      <c r="N645" s="15" t="s">
        <v>31</v>
      </c>
      <c r="O645" s="15" t="s">
        <v>31</v>
      </c>
      <c r="P645" s="18">
        <v>12</v>
      </c>
      <c r="Q645" s="18">
        <v>-1</v>
      </c>
      <c r="R645" s="15" t="str">
        <f>_xlfn.CONCAT(F645,G645,H645,I645,J645)</f>
        <v>LWWWW</v>
      </c>
      <c r="S645" s="13" t="str">
        <f>_xlfn.CONCAT(K645,L645,M645,N645,O645)</f>
        <v>LLDLL</v>
      </c>
      <c r="T645" s="13" t="str">
        <f>_xlfn.CONCAT(R645,"***",S645)</f>
        <v>LWWWW***LLDLL</v>
      </c>
      <c r="U645" s="19">
        <f>(P645-Q645)</f>
        <v>13</v>
      </c>
      <c r="V645" s="14"/>
      <c r="W645" s="14"/>
      <c r="X645" s="20" t="str">
        <f>IF(ISBLANK(V645),"",IF(V645&gt;W645,"1",IF(V645&lt;W645,"2",IF(V645=W645,"X"))))</f>
        <v/>
      </c>
      <c r="Y645" s="23" t="str">
        <f>COUNTIF(F645:J645, "W")&amp;COUNTIF(F645:J645, "d")&amp;COUNTIF(F645:J645, "l")</f>
        <v>401</v>
      </c>
      <c r="Z645" s="13" t="str">
        <f>COUNTIF(K645:O645, "W")&amp;COUNTIF(K645:O645, "d")&amp;COUNTIF(K645:O645, "l")</f>
        <v>014</v>
      </c>
      <c r="AA645" s="23" t="str">
        <f>_xlfn.CONCAT(Y645,"-",Z645)</f>
        <v>401-014</v>
      </c>
      <c r="AB645" s="15" t="str">
        <f>_xlfn.CONCAT(AA645,"…",TEXT(U645,"+00;-00;+00;"))</f>
        <v>401-014…+13</v>
      </c>
      <c r="AC645" s="23" t="str">
        <f>_xlfn.CONCAT(TEXT(P645,"+00;-00;+00;"),"…",TEXT(Q645,"+00;-00;+00;"))</f>
        <v>+12…-01</v>
      </c>
      <c r="AD645" s="14" t="str">
        <f>IF(X645="","?","")</f>
        <v>?</v>
      </c>
      <c r="AE645" s="15" t="str">
        <f>_xlfn.CONCAT(AA645,"…",TEXT(P645,"+00;-00;+00;"),"...",TEXT(Q645,"+00;-00;+00;"))</f>
        <v>401-014…+12...-01</v>
      </c>
      <c r="AF645" s="13" t="str">
        <f>_xlfn.CONCAT(R645,"…",TEXT(P645,"+00;-00;+00;"),"...",TEXT(Q645,"+00;-00;+00;"))</f>
        <v>LWWWW…+12...-01</v>
      </c>
    </row>
    <row r="646" spans="1:32" x14ac:dyDescent="0.25">
      <c r="A646" s="12" t="s">
        <v>1077</v>
      </c>
      <c r="B646" s="13" t="s">
        <v>208</v>
      </c>
      <c r="C646" s="14">
        <v>3</v>
      </c>
      <c r="D646" s="13" t="s">
        <v>1045</v>
      </c>
      <c r="E646" s="13" t="s">
        <v>1036</v>
      </c>
      <c r="F646" s="15" t="s">
        <v>31</v>
      </c>
      <c r="G646" s="15" t="s">
        <v>30</v>
      </c>
      <c r="H646" s="15" t="s">
        <v>30</v>
      </c>
      <c r="I646" s="15" t="s">
        <v>30</v>
      </c>
      <c r="J646" s="15" t="s">
        <v>30</v>
      </c>
      <c r="K646" s="15" t="s">
        <v>29</v>
      </c>
      <c r="L646" s="15" t="s">
        <v>30</v>
      </c>
      <c r="M646" s="15" t="s">
        <v>30</v>
      </c>
      <c r="N646" s="15" t="s">
        <v>31</v>
      </c>
      <c r="O646" s="15" t="s">
        <v>31</v>
      </c>
      <c r="P646" s="18">
        <v>9</v>
      </c>
      <c r="Q646" s="18">
        <v>3</v>
      </c>
      <c r="R646" s="15" t="str">
        <f>_xlfn.CONCAT(F646,G646,H646,I646,J646)</f>
        <v>LWWWW</v>
      </c>
      <c r="S646" s="13" t="str">
        <f>_xlfn.CONCAT(K646,L646,M646,N646,O646)</f>
        <v>DWWLL</v>
      </c>
      <c r="T646" s="13" t="str">
        <f>_xlfn.CONCAT(R646,"***",S646)</f>
        <v>LWWWW***DWWLL</v>
      </c>
      <c r="U646" s="19">
        <f>(P646-Q646)</f>
        <v>6</v>
      </c>
      <c r="V646" s="14"/>
      <c r="W646" s="14"/>
      <c r="X646" s="20" t="str">
        <f>IF(ISBLANK(V646),"",IF(V646&gt;W646,"1",IF(V646&lt;W646,"2",IF(V646=W646,"X"))))</f>
        <v/>
      </c>
      <c r="Y646" s="23" t="str">
        <f>COUNTIF(F646:J646, "W")&amp;COUNTIF(F646:J646, "d")&amp;COUNTIF(F646:J646, "l")</f>
        <v>401</v>
      </c>
      <c r="Z646" s="13" t="str">
        <f>COUNTIF(K646:O646, "W")&amp;COUNTIF(K646:O646, "d")&amp;COUNTIF(K646:O646, "l")</f>
        <v>212</v>
      </c>
      <c r="AA646" s="23" t="str">
        <f>_xlfn.CONCAT(Y646,"-",Z646)</f>
        <v>401-212</v>
      </c>
      <c r="AB646" s="15" t="str">
        <f>_xlfn.CONCAT(AA646,"…",TEXT(U646,"+00;-00;+00;"))</f>
        <v>401-212…+06</v>
      </c>
      <c r="AC646" s="23" t="str">
        <f>_xlfn.CONCAT(TEXT(P646,"+00;-00;+00;"),"…",TEXT(Q646,"+00;-00;+00;"))</f>
        <v>+09…+03</v>
      </c>
      <c r="AD646" s="14" t="str">
        <f>IF(X646="","?","")</f>
        <v>?</v>
      </c>
      <c r="AE646" s="15" t="str">
        <f>_xlfn.CONCAT(AA646,"…",TEXT(P646,"+00;-00;+00;"),"...",TEXT(Q646,"+00;-00;+00;"))</f>
        <v>401-212…+09...+03</v>
      </c>
      <c r="AF646" s="13" t="str">
        <f>_xlfn.CONCAT(R646,"…",TEXT(P646,"+00;-00;+00;"),"...",TEXT(Q646,"+00;-00;+00;"))</f>
        <v>LWWWW…+09...+03</v>
      </c>
    </row>
    <row r="647" spans="1:32" x14ac:dyDescent="0.25">
      <c r="A647" s="12" t="s">
        <v>1108</v>
      </c>
      <c r="B647" s="13" t="s">
        <v>117</v>
      </c>
      <c r="C647" s="14" t="s">
        <v>0</v>
      </c>
      <c r="D647" s="13" t="s">
        <v>635</v>
      </c>
      <c r="E647" s="13" t="s">
        <v>1119</v>
      </c>
      <c r="F647" s="15" t="s">
        <v>29</v>
      </c>
      <c r="G647" s="15" t="s">
        <v>29</v>
      </c>
      <c r="H647" s="15" t="s">
        <v>29</v>
      </c>
      <c r="I647" s="15" t="s">
        <v>29</v>
      </c>
      <c r="J647" s="15" t="s">
        <v>31</v>
      </c>
      <c r="K647" s="15" t="s">
        <v>29</v>
      </c>
      <c r="L647" s="15" t="s">
        <v>31</v>
      </c>
      <c r="M647" s="15" t="s">
        <v>30</v>
      </c>
      <c r="N647" s="15" t="s">
        <v>31</v>
      </c>
      <c r="O647" s="15" t="s">
        <v>30</v>
      </c>
      <c r="P647" s="18">
        <v>-3</v>
      </c>
      <c r="Q647" s="18">
        <v>-4</v>
      </c>
      <c r="R647" s="15" t="str">
        <f>_xlfn.CONCAT(F647,G647,H647,I647,J647)</f>
        <v>DDDDL</v>
      </c>
      <c r="S647" s="13" t="str">
        <f>_xlfn.CONCAT(K647,L647,M647,N647,O647)</f>
        <v>DLWLW</v>
      </c>
      <c r="T647" s="13" t="str">
        <f>_xlfn.CONCAT(R647,"***",S647)</f>
        <v>DDDDL***DLWLW</v>
      </c>
      <c r="U647" s="19">
        <f>(P647-Q647)</f>
        <v>1</v>
      </c>
      <c r="V647" s="14"/>
      <c r="W647" s="14"/>
      <c r="X647" s="20" t="str">
        <f>IF(ISBLANK(V647),"",IF(V647&gt;W647,"1",IF(V647&lt;W647,"2",IF(V647=W647,"X"))))</f>
        <v/>
      </c>
      <c r="Y647" s="23" t="str">
        <f>COUNTIF(F647:J647, "W")&amp;COUNTIF(F647:J647, "d")&amp;COUNTIF(F647:J647, "l")</f>
        <v>041</v>
      </c>
      <c r="Z647" s="13" t="str">
        <f>COUNTIF(K647:O647, "W")&amp;COUNTIF(K647:O647, "d")&amp;COUNTIF(K647:O647, "l")</f>
        <v>212</v>
      </c>
      <c r="AA647" s="23" t="str">
        <f>_xlfn.CONCAT(Y647,"-",Z647)</f>
        <v>041-212</v>
      </c>
      <c r="AB647" s="15" t="str">
        <f>_xlfn.CONCAT(AA647,"…",TEXT(U647,"+00;-00;+00;"))</f>
        <v>041-212…+01</v>
      </c>
      <c r="AC647" s="23" t="str">
        <f>_xlfn.CONCAT(TEXT(P647,"+00;-00;+00;"),"…",TEXT(Q647,"+00;-00;+00;"))</f>
        <v>-03…-04</v>
      </c>
      <c r="AD647" s="14" t="str">
        <f>IF(X647="","?","")</f>
        <v>?</v>
      </c>
      <c r="AE647" s="15" t="str">
        <f>_xlfn.CONCAT(AA647,"…",TEXT(P647,"+00;-00;+00;"),"...",TEXT(Q647,"+00;-00;+00;"))</f>
        <v>041-212…-03...-04</v>
      </c>
      <c r="AF647" s="13" t="str">
        <f>_xlfn.CONCAT(R647,"…",TEXT(P647,"+00;-00;+00;"),"...",TEXT(Q647,"+00;-00;+00;"))</f>
        <v>DDDDL…-03...-04</v>
      </c>
    </row>
    <row r="648" spans="1:32" x14ac:dyDescent="0.25">
      <c r="A648" s="12" t="s">
        <v>1108</v>
      </c>
      <c r="B648" s="13" t="s">
        <v>250</v>
      </c>
      <c r="C648" s="14">
        <v>2</v>
      </c>
      <c r="D648" s="13" t="s">
        <v>862</v>
      </c>
      <c r="E648" s="13" t="s">
        <v>287</v>
      </c>
      <c r="F648" s="15" t="s">
        <v>31</v>
      </c>
      <c r="G648" s="15" t="s">
        <v>31</v>
      </c>
      <c r="H648" s="15" t="s">
        <v>31</v>
      </c>
      <c r="I648" s="15" t="s">
        <v>30</v>
      </c>
      <c r="J648" s="15" t="s">
        <v>31</v>
      </c>
      <c r="K648" s="15" t="s">
        <v>30</v>
      </c>
      <c r="L648" s="15" t="s">
        <v>31</v>
      </c>
      <c r="M648" s="15" t="s">
        <v>29</v>
      </c>
      <c r="N648" s="15" t="s">
        <v>31</v>
      </c>
      <c r="O648" s="15" t="s">
        <v>30</v>
      </c>
      <c r="P648" s="18">
        <v>-9</v>
      </c>
      <c r="Q648" s="18">
        <v>4</v>
      </c>
      <c r="R648" s="15" t="str">
        <f>_xlfn.CONCAT(F648,G648,H648,I648,J648)</f>
        <v>LLLWL</v>
      </c>
      <c r="S648" s="13" t="str">
        <f>_xlfn.CONCAT(K648,L648,M648,N648,O648)</f>
        <v>WLDLW</v>
      </c>
      <c r="T648" s="13" t="str">
        <f>_xlfn.CONCAT(R648,"***",S648)</f>
        <v>LLLWL***WLDLW</v>
      </c>
      <c r="U648" s="19">
        <f>(P648-Q648)</f>
        <v>-13</v>
      </c>
      <c r="V648" s="14"/>
      <c r="W648" s="14"/>
      <c r="X648" s="20" t="str">
        <f>IF(ISBLANK(V648),"",IF(V648&gt;W648,"1",IF(V648&lt;W648,"2",IF(V648=W648,"X"))))</f>
        <v/>
      </c>
      <c r="Y648" s="23" t="str">
        <f>COUNTIF(F648:J648, "W")&amp;COUNTIF(F648:J648, "d")&amp;COUNTIF(F648:J648, "l")</f>
        <v>104</v>
      </c>
      <c r="Z648" s="13" t="str">
        <f>COUNTIF(K648:O648, "W")&amp;COUNTIF(K648:O648, "d")&amp;COUNTIF(K648:O648, "l")</f>
        <v>212</v>
      </c>
      <c r="AA648" s="23" t="str">
        <f>_xlfn.CONCAT(Y648,"-",Z648)</f>
        <v>104-212</v>
      </c>
      <c r="AB648" s="15" t="str">
        <f>_xlfn.CONCAT(AA648,"…",TEXT(U648,"+00;-00;+00;"))</f>
        <v>104-212…-13</v>
      </c>
      <c r="AC648" s="23" t="str">
        <f>_xlfn.CONCAT(TEXT(P648,"+00;-00;+00;"),"…",TEXT(Q648,"+00;-00;+00;"))</f>
        <v>-09…+04</v>
      </c>
      <c r="AD648" s="14" t="str">
        <f>IF(X648="","?","")</f>
        <v>?</v>
      </c>
      <c r="AE648" s="15" t="str">
        <f>_xlfn.CONCAT(AA648,"…",TEXT(P648,"+00;-00;+00;"),"...",TEXT(Q648,"+00;-00;+00;"))</f>
        <v>104-212…-09...+04</v>
      </c>
      <c r="AF648" s="13" t="str">
        <f>_xlfn.CONCAT(R648,"…",TEXT(P648,"+00;-00;+00;"),"...",TEXT(Q648,"+00;-00;+00;"))</f>
        <v>LLLWL…-09...+04</v>
      </c>
    </row>
    <row r="649" spans="1:32" x14ac:dyDescent="0.25">
      <c r="A649" s="27" t="s">
        <v>1108</v>
      </c>
      <c r="B649" s="28" t="s">
        <v>1198</v>
      </c>
      <c r="C649" s="29">
        <v>1</v>
      </c>
      <c r="D649" s="28" t="s">
        <v>1199</v>
      </c>
      <c r="E649" s="28" t="s">
        <v>1200</v>
      </c>
      <c r="F649" s="30" t="s">
        <v>31</v>
      </c>
      <c r="G649" s="30" t="s">
        <v>31</v>
      </c>
      <c r="H649" s="30" t="s">
        <v>31</v>
      </c>
      <c r="I649" s="30" t="s">
        <v>31</v>
      </c>
      <c r="J649" s="30" t="s">
        <v>30</v>
      </c>
      <c r="K649" s="30" t="s">
        <v>29</v>
      </c>
      <c r="L649" s="30" t="s">
        <v>30</v>
      </c>
      <c r="M649" s="30" t="s">
        <v>30</v>
      </c>
      <c r="N649" s="30" t="s">
        <v>29</v>
      </c>
      <c r="O649" s="30" t="s">
        <v>30</v>
      </c>
      <c r="P649" s="31">
        <v>-12</v>
      </c>
      <c r="Q649" s="31">
        <v>1</v>
      </c>
      <c r="R649" s="32" t="str">
        <f>_xlfn.CONCAT(F649,G649,H649,I649,J649)</f>
        <v>LLLLW</v>
      </c>
      <c r="S649" s="33" t="str">
        <f>_xlfn.CONCAT(K649,L649,M649,N649,O649)</f>
        <v>DWWDW</v>
      </c>
      <c r="T649" s="33" t="str">
        <f>_xlfn.CONCAT(R649,"***",S649)</f>
        <v>LLLLW***DWWDW</v>
      </c>
      <c r="U649" s="34">
        <f>(P649-Q649)</f>
        <v>-13</v>
      </c>
      <c r="V649" s="29"/>
      <c r="W649" s="29"/>
      <c r="X649" s="35" t="str">
        <f>IF(ISBLANK(V649),"",IF(V649&gt;W649,"1",IF(V649&lt;W649,"2",IF(V649=W649,"X"))))</f>
        <v/>
      </c>
      <c r="Y649" s="36" t="str">
        <f>COUNTIF(F649:J649, "W")&amp;COUNTIF(F649:J649, "d")&amp;COUNTIF(F649:J649, "l")</f>
        <v>104</v>
      </c>
      <c r="Z649" s="37" t="str">
        <f>COUNTIF(K649:O649, "W")&amp;COUNTIF(K649:O649, "d")&amp;COUNTIF(K649:O649, "l")</f>
        <v>320</v>
      </c>
      <c r="AA649" s="38" t="str">
        <f>_xlfn.CONCAT(Y649,"-",Z649)</f>
        <v>104-320</v>
      </c>
      <c r="AB649" s="30" t="str">
        <f>_xlfn.CONCAT(AA649,"…",TEXT(U649,"+00;-00;+00;"))</f>
        <v>104-320…-13</v>
      </c>
      <c r="AC649" s="36" t="str">
        <f>_xlfn.CONCAT(TEXT(P649,"+00;-00;+00;"),"…",TEXT(Q649,"+00;-00;+00;"))</f>
        <v>-12…+01</v>
      </c>
      <c r="AD649" s="39" t="str">
        <f>IF(X649="","?","")</f>
        <v>?</v>
      </c>
      <c r="AE649" s="40" t="str">
        <f>_xlfn.CONCAT(AA649,"…",TEXT(P649,"+00;-00;+00;"),"...",TEXT(Q649,"+00;-00;+00;"))</f>
        <v>104-320…-12...+01</v>
      </c>
      <c r="AF649" s="33" t="str">
        <f>_xlfn.CONCAT(R649,"…",TEXT(P649,"+00;-00;+00;"),"...",TEXT(Q649,"+00;-00;+00;"))</f>
        <v>LLLLW…-12...+01</v>
      </c>
    </row>
    <row r="650" spans="1:32" x14ac:dyDescent="0.25">
      <c r="A650" s="27" t="s">
        <v>1108</v>
      </c>
      <c r="B650" s="28" t="s">
        <v>1198</v>
      </c>
      <c r="C650" s="29">
        <v>1</v>
      </c>
      <c r="D650" s="28" t="s">
        <v>1203</v>
      </c>
      <c r="E650" s="28" t="s">
        <v>1204</v>
      </c>
      <c r="F650" s="30" t="s">
        <v>29</v>
      </c>
      <c r="G650" s="30" t="s">
        <v>31</v>
      </c>
      <c r="H650" s="30" t="s">
        <v>31</v>
      </c>
      <c r="I650" s="30" t="s">
        <v>31</v>
      </c>
      <c r="J650" s="30" t="s">
        <v>30</v>
      </c>
      <c r="K650" s="30" t="s">
        <v>30</v>
      </c>
      <c r="L650" s="30" t="s">
        <v>29</v>
      </c>
      <c r="M650" s="30" t="s">
        <v>30</v>
      </c>
      <c r="N650" s="30" t="s">
        <v>30</v>
      </c>
      <c r="O650" s="30" t="s">
        <v>29</v>
      </c>
      <c r="P650" s="31">
        <v>3</v>
      </c>
      <c r="Q650" s="31">
        <v>7</v>
      </c>
      <c r="R650" s="32" t="str">
        <f>_xlfn.CONCAT(F650,G650,H650,I650,J650)</f>
        <v>DLLLW</v>
      </c>
      <c r="S650" s="33" t="str">
        <f>_xlfn.CONCAT(K650,L650,M650,N650,O650)</f>
        <v>WDWWD</v>
      </c>
      <c r="T650" s="33" t="str">
        <f>_xlfn.CONCAT(R650,"***",S650)</f>
        <v>DLLLW***WDWWD</v>
      </c>
      <c r="U650" s="34">
        <f>(P650-Q650)</f>
        <v>-4</v>
      </c>
      <c r="V650" s="29"/>
      <c r="W650" s="29"/>
      <c r="X650" s="35" t="str">
        <f>IF(ISBLANK(V650),"",IF(V650&gt;W650,"1",IF(V650&lt;W650,"2",IF(V650=W650,"X"))))</f>
        <v/>
      </c>
      <c r="Y650" s="36" t="str">
        <f>COUNTIF(F650:J650, "W")&amp;COUNTIF(F650:J650, "d")&amp;COUNTIF(F650:J650, "l")</f>
        <v>113</v>
      </c>
      <c r="Z650" s="37" t="str">
        <f>COUNTIF(K650:O650, "W")&amp;COUNTIF(K650:O650, "d")&amp;COUNTIF(K650:O650, "l")</f>
        <v>320</v>
      </c>
      <c r="AA650" s="38" t="str">
        <f>_xlfn.CONCAT(Y650,"-",Z650)</f>
        <v>113-320</v>
      </c>
      <c r="AB650" s="30" t="str">
        <f>_xlfn.CONCAT(AA650,"…",TEXT(U650,"+00;-00;+00;"))</f>
        <v>113-320…-04</v>
      </c>
      <c r="AC650" s="36" t="str">
        <f>_xlfn.CONCAT(TEXT(P650,"+00;-00;+00;"),"…",TEXT(Q650,"+00;-00;+00;"))</f>
        <v>+03…+07</v>
      </c>
      <c r="AD650" s="39" t="str">
        <f>IF(X650="","?","")</f>
        <v>?</v>
      </c>
      <c r="AE650" s="40" t="str">
        <f>_xlfn.CONCAT(AA650,"…",TEXT(P650,"+00;-00;+00;"),"...",TEXT(Q650,"+00;-00;+00;"))</f>
        <v>113-320…+03...+07</v>
      </c>
      <c r="AF650" s="33" t="str">
        <f>_xlfn.CONCAT(R650,"…",TEXT(P650,"+00;-00;+00;"),"...",TEXT(Q650,"+00;-00;+00;"))</f>
        <v>DLLLW…+03...+07</v>
      </c>
    </row>
    <row r="651" spans="1:32" x14ac:dyDescent="0.25">
      <c r="A651" s="27" t="s">
        <v>1108</v>
      </c>
      <c r="B651" s="28" t="s">
        <v>1198</v>
      </c>
      <c r="C651" s="29">
        <v>1</v>
      </c>
      <c r="D651" s="28" t="s">
        <v>1205</v>
      </c>
      <c r="E651" s="28" t="s">
        <v>1206</v>
      </c>
      <c r="F651" s="30" t="s">
        <v>31</v>
      </c>
      <c r="G651" s="30" t="s">
        <v>31</v>
      </c>
      <c r="H651" s="30" t="s">
        <v>29</v>
      </c>
      <c r="I651" s="30" t="s">
        <v>30</v>
      </c>
      <c r="J651" s="30" t="s">
        <v>29</v>
      </c>
      <c r="K651" s="30" t="s">
        <v>30</v>
      </c>
      <c r="L651" s="30" t="s">
        <v>31</v>
      </c>
      <c r="M651" s="30" t="s">
        <v>29</v>
      </c>
      <c r="N651" s="30" t="s">
        <v>29</v>
      </c>
      <c r="O651" s="30" t="s">
        <v>29</v>
      </c>
      <c r="P651" s="31">
        <v>-24</v>
      </c>
      <c r="Q651" s="31">
        <v>-5</v>
      </c>
      <c r="R651" s="32" t="str">
        <f>_xlfn.CONCAT(F651,G651,H651,I651,J651)</f>
        <v>LLDWD</v>
      </c>
      <c r="S651" s="33" t="str">
        <f>_xlfn.CONCAT(K651,L651,M651,N651,O651)</f>
        <v>WLDDD</v>
      </c>
      <c r="T651" s="33" t="str">
        <f>_xlfn.CONCAT(R651,"***",S651)</f>
        <v>LLDWD***WLDDD</v>
      </c>
      <c r="U651" s="34">
        <f>(P651-Q651)</f>
        <v>-19</v>
      </c>
      <c r="V651" s="29"/>
      <c r="W651" s="29"/>
      <c r="X651" s="35" t="str">
        <f>IF(ISBLANK(V651),"",IF(V651&gt;W651,"1",IF(V651&lt;W651,"2",IF(V651=W651,"X"))))</f>
        <v/>
      </c>
      <c r="Y651" s="36" t="str">
        <f>COUNTIF(F651:J651, "W")&amp;COUNTIF(F651:J651, "d")&amp;COUNTIF(F651:J651, "l")</f>
        <v>122</v>
      </c>
      <c r="Z651" s="37" t="str">
        <f>COUNTIF(K651:O651, "W")&amp;COUNTIF(K651:O651, "d")&amp;COUNTIF(K651:O651, "l")</f>
        <v>131</v>
      </c>
      <c r="AA651" s="38" t="str">
        <f>_xlfn.CONCAT(Y651,"-",Z651)</f>
        <v>122-131</v>
      </c>
      <c r="AB651" s="30" t="str">
        <f>_xlfn.CONCAT(AA651,"…",TEXT(U651,"+00;-00;+00;"))</f>
        <v>122-131…-19</v>
      </c>
      <c r="AC651" s="36" t="str">
        <f>_xlfn.CONCAT(TEXT(P651,"+00;-00;+00;"),"…",TEXT(Q651,"+00;-00;+00;"))</f>
        <v>-24…-05</v>
      </c>
      <c r="AD651" s="39" t="str">
        <f>IF(X651="","?","")</f>
        <v>?</v>
      </c>
      <c r="AE651" s="40" t="str">
        <f>_xlfn.CONCAT(AA651,"…",TEXT(P651,"+00;-00;+00;"),"...",TEXT(Q651,"+00;-00;+00;"))</f>
        <v>122-131…-24...-05</v>
      </c>
      <c r="AF651" s="33" t="str">
        <f>_xlfn.CONCAT(R651,"…",TEXT(P651,"+00;-00;+00;"),"...",TEXT(Q651,"+00;-00;+00;"))</f>
        <v>LLDWD…-24...-05</v>
      </c>
    </row>
    <row r="652" spans="1:32" x14ac:dyDescent="0.25">
      <c r="A652" s="12" t="s">
        <v>1108</v>
      </c>
      <c r="B652" s="13" t="s">
        <v>167</v>
      </c>
      <c r="C652" s="14">
        <v>2</v>
      </c>
      <c r="D652" s="13" t="s">
        <v>926</v>
      </c>
      <c r="E652" s="13" t="s">
        <v>709</v>
      </c>
      <c r="F652" s="15" t="s">
        <v>31</v>
      </c>
      <c r="G652" s="15" t="s">
        <v>31</v>
      </c>
      <c r="H652" s="15" t="s">
        <v>30</v>
      </c>
      <c r="I652" s="15" t="s">
        <v>30</v>
      </c>
      <c r="J652" s="15" t="s">
        <v>31</v>
      </c>
      <c r="K652" s="15" t="s">
        <v>31</v>
      </c>
      <c r="L652" s="15" t="s">
        <v>31</v>
      </c>
      <c r="M652" s="15" t="s">
        <v>31</v>
      </c>
      <c r="N652" s="15" t="s">
        <v>31</v>
      </c>
      <c r="O652" s="15" t="s">
        <v>31</v>
      </c>
      <c r="P652" s="18">
        <v>-7</v>
      </c>
      <c r="Q652" s="18">
        <v>-1</v>
      </c>
      <c r="R652" s="15" t="str">
        <f>_xlfn.CONCAT(F652,G652,H652,I652,J652)</f>
        <v>LLWWL</v>
      </c>
      <c r="S652" s="13" t="str">
        <f>_xlfn.CONCAT(K652,L652,M652,N652,O652)</f>
        <v>LLLLL</v>
      </c>
      <c r="T652" s="13" t="str">
        <f>_xlfn.CONCAT(R652,"***",S652)</f>
        <v>LLWWL***LLLLL</v>
      </c>
      <c r="U652" s="19">
        <f>(P652-Q652)</f>
        <v>-6</v>
      </c>
      <c r="V652" s="14"/>
      <c r="W652" s="14"/>
      <c r="X652" s="20" t="str">
        <f>IF(ISBLANK(V652),"",IF(V652&gt;W652,"1",IF(V652&lt;W652,"2",IF(V652=W652,"X"))))</f>
        <v/>
      </c>
      <c r="Y652" s="23" t="str">
        <f>COUNTIF(F652:J652, "W")&amp;COUNTIF(F652:J652, "d")&amp;COUNTIF(F652:J652, "l")</f>
        <v>203</v>
      </c>
      <c r="Z652" s="13" t="str">
        <f>COUNTIF(K652:O652, "W")&amp;COUNTIF(K652:O652, "d")&amp;COUNTIF(K652:O652, "l")</f>
        <v>005</v>
      </c>
      <c r="AA652" s="23" t="str">
        <f>_xlfn.CONCAT(Y652,"-",Z652)</f>
        <v>203-005</v>
      </c>
      <c r="AB652" s="15" t="str">
        <f>_xlfn.CONCAT(AA652,"…",TEXT(U652,"+00;-00;+00;"))</f>
        <v>203-005…-06</v>
      </c>
      <c r="AC652" s="23" t="str">
        <f>_xlfn.CONCAT(TEXT(P652,"+00;-00;+00;"),"…",TEXT(Q652,"+00;-00;+00;"))</f>
        <v>-07…-01</v>
      </c>
      <c r="AD652" s="14" t="str">
        <f>IF(X652="","?","")</f>
        <v>?</v>
      </c>
      <c r="AE652" s="15" t="str">
        <f>_xlfn.CONCAT(AA652,"…",TEXT(P652,"+00;-00;+00;"),"...",TEXT(Q652,"+00;-00;+00;"))</f>
        <v>203-005…-07...-01</v>
      </c>
      <c r="AF652" s="13" t="str">
        <f>_xlfn.CONCAT(R652,"…",TEXT(P652,"+00;-00;+00;"),"...",TEXT(Q652,"+00;-00;+00;"))</f>
        <v>LLWWL…-07...-01</v>
      </c>
    </row>
    <row r="653" spans="1:32" x14ac:dyDescent="0.25">
      <c r="A653" s="27" t="s">
        <v>1108</v>
      </c>
      <c r="B653" s="28" t="s">
        <v>1198</v>
      </c>
      <c r="C653" s="29">
        <v>1</v>
      </c>
      <c r="D653" s="28" t="s">
        <v>1201</v>
      </c>
      <c r="E653" s="28" t="s">
        <v>1202</v>
      </c>
      <c r="F653" s="30" t="s">
        <v>31</v>
      </c>
      <c r="G653" s="30" t="s">
        <v>30</v>
      </c>
      <c r="H653" s="30" t="s">
        <v>30</v>
      </c>
      <c r="I653" s="30" t="s">
        <v>29</v>
      </c>
      <c r="J653" s="30" t="s">
        <v>29</v>
      </c>
      <c r="K653" s="30" t="s">
        <v>29</v>
      </c>
      <c r="L653" s="30" t="s">
        <v>31</v>
      </c>
      <c r="M653" s="30" t="s">
        <v>31</v>
      </c>
      <c r="N653" s="30" t="s">
        <v>31</v>
      </c>
      <c r="O653" s="30" t="s">
        <v>30</v>
      </c>
      <c r="P653" s="31">
        <v>-8</v>
      </c>
      <c r="Q653" s="31">
        <v>-11</v>
      </c>
      <c r="R653" s="32" t="str">
        <f>_xlfn.CONCAT(F653,G653,H653,I653,J653)</f>
        <v>LWWDD</v>
      </c>
      <c r="S653" s="33" t="str">
        <f>_xlfn.CONCAT(K653,L653,M653,N653,O653)</f>
        <v>DLLLW</v>
      </c>
      <c r="T653" s="33" t="str">
        <f>_xlfn.CONCAT(R653,"***",S653)</f>
        <v>LWWDD***DLLLW</v>
      </c>
      <c r="U653" s="34">
        <f>(P653-Q653)</f>
        <v>3</v>
      </c>
      <c r="V653" s="29"/>
      <c r="W653" s="29"/>
      <c r="X653" s="35" t="str">
        <f>IF(ISBLANK(V653),"",IF(V653&gt;W653,"1",IF(V653&lt;W653,"2",IF(V653=W653,"X"))))</f>
        <v/>
      </c>
      <c r="Y653" s="36" t="str">
        <f>COUNTIF(F653:J653, "W")&amp;COUNTIF(F653:J653, "d")&amp;COUNTIF(F653:J653, "l")</f>
        <v>221</v>
      </c>
      <c r="Z653" s="37" t="str">
        <f>COUNTIF(K653:O653, "W")&amp;COUNTIF(K653:O653, "d")&amp;COUNTIF(K653:O653, "l")</f>
        <v>113</v>
      </c>
      <c r="AA653" s="38" t="str">
        <f>_xlfn.CONCAT(Y653,"-",Z653)</f>
        <v>221-113</v>
      </c>
      <c r="AB653" s="30" t="str">
        <f>_xlfn.CONCAT(AA653,"…",TEXT(U653,"+00;-00;+00;"))</f>
        <v>221-113…+03</v>
      </c>
      <c r="AC653" s="36" t="str">
        <f>_xlfn.CONCAT(TEXT(P653,"+00;-00;+00;"),"…",TEXT(Q653,"+00;-00;+00;"))</f>
        <v>-08…-11</v>
      </c>
      <c r="AD653" s="39" t="str">
        <f>IF(X653="","?","")</f>
        <v>?</v>
      </c>
      <c r="AE653" s="40" t="str">
        <f>_xlfn.CONCAT(AA653,"…",TEXT(P653,"+00;-00;+00;"),"...",TEXT(Q653,"+00;-00;+00;"))</f>
        <v>221-113…-08...-11</v>
      </c>
      <c r="AF653" s="33" t="str">
        <f>_xlfn.CONCAT(R653,"…",TEXT(P653,"+00;-00;+00;"),"...",TEXT(Q653,"+00;-00;+00;"))</f>
        <v>LWWDD…-08...-11</v>
      </c>
    </row>
    <row r="654" spans="1:32" x14ac:dyDescent="0.25">
      <c r="A654" s="12" t="s">
        <v>1108</v>
      </c>
      <c r="B654" s="13" t="s">
        <v>167</v>
      </c>
      <c r="C654" s="14">
        <v>2</v>
      </c>
      <c r="D654" s="13" t="s">
        <v>710</v>
      </c>
      <c r="E654" s="13" t="s">
        <v>706</v>
      </c>
      <c r="F654" s="15" t="s">
        <v>30</v>
      </c>
      <c r="G654" s="15" t="s">
        <v>30</v>
      </c>
      <c r="H654" s="15" t="s">
        <v>29</v>
      </c>
      <c r="I654" s="15" t="s">
        <v>30</v>
      </c>
      <c r="J654" s="15" t="s">
        <v>31</v>
      </c>
      <c r="K654" s="15" t="s">
        <v>30</v>
      </c>
      <c r="L654" s="15" t="s">
        <v>29</v>
      </c>
      <c r="M654" s="15" t="s">
        <v>31</v>
      </c>
      <c r="N654" s="15" t="s">
        <v>30</v>
      </c>
      <c r="O654" s="15" t="s">
        <v>30</v>
      </c>
      <c r="P654" s="18">
        <v>16</v>
      </c>
      <c r="Q654" s="18">
        <v>3</v>
      </c>
      <c r="R654" s="15" t="str">
        <f>_xlfn.CONCAT(F654,G654,H654,I654,J654)</f>
        <v>WWDWL</v>
      </c>
      <c r="S654" s="13" t="str">
        <f>_xlfn.CONCAT(K654,L654,M654,N654,O654)</f>
        <v>WDLWW</v>
      </c>
      <c r="T654" s="13" t="str">
        <f>_xlfn.CONCAT(R654,"***",S654)</f>
        <v>WWDWL***WDLWW</v>
      </c>
      <c r="U654" s="19">
        <f>(P654-Q654)</f>
        <v>13</v>
      </c>
      <c r="V654" s="14"/>
      <c r="W654" s="14"/>
      <c r="X654" s="20" t="str">
        <f>IF(ISBLANK(V654),"",IF(V654&gt;W654,"1",IF(V654&lt;W654,"2",IF(V654=W654,"X"))))</f>
        <v/>
      </c>
      <c r="Y654" s="23" t="str">
        <f>COUNTIF(F654:J654, "W")&amp;COUNTIF(F654:J654, "d")&amp;COUNTIF(F654:J654, "l")</f>
        <v>311</v>
      </c>
      <c r="Z654" s="13" t="str">
        <f>COUNTIF(K654:O654, "W")&amp;COUNTIF(K654:O654, "d")&amp;COUNTIF(K654:O654, "l")</f>
        <v>311</v>
      </c>
      <c r="AA654" s="23" t="str">
        <f>_xlfn.CONCAT(Y654,"-",Z654)</f>
        <v>311-311</v>
      </c>
      <c r="AB654" s="15" t="str">
        <f>_xlfn.CONCAT(AA654,"…",TEXT(U654,"+00;-00;+00;"))</f>
        <v>311-311…+13</v>
      </c>
      <c r="AC654" s="23" t="str">
        <f>_xlfn.CONCAT(TEXT(P654,"+00;-00;+00;"),"…",TEXT(Q654,"+00;-00;+00;"))</f>
        <v>+16…+03</v>
      </c>
      <c r="AD654" s="14" t="str">
        <f>IF(X654="","?","")</f>
        <v>?</v>
      </c>
      <c r="AE654" s="15" t="str">
        <f>_xlfn.CONCAT(AA654,"…",TEXT(P654,"+00;-00;+00;"),"...",TEXT(Q654,"+00;-00;+00;"))</f>
        <v>311-311…+16...+03</v>
      </c>
      <c r="AF654" s="13" t="str">
        <f>_xlfn.CONCAT(R654,"…",TEXT(P654,"+00;-00;+00;"),"...",TEXT(Q654,"+00;-00;+00;"))</f>
        <v>WWDWL…+16...+03</v>
      </c>
    </row>
    <row r="655" spans="1:32" x14ac:dyDescent="0.25">
      <c r="A655" s="12" t="s">
        <v>1141</v>
      </c>
      <c r="B655" s="13" t="s">
        <v>208</v>
      </c>
      <c r="C655" s="14">
        <v>1</v>
      </c>
      <c r="D655" s="13" t="s">
        <v>1147</v>
      </c>
      <c r="E655" s="13" t="s">
        <v>1148</v>
      </c>
      <c r="F655" s="15" t="s">
        <v>31</v>
      </c>
      <c r="G655" s="15" t="s">
        <v>31</v>
      </c>
      <c r="H655" s="15" t="s">
        <v>29</v>
      </c>
      <c r="I655" s="15" t="s">
        <v>29</v>
      </c>
      <c r="J655" s="15" t="s">
        <v>31</v>
      </c>
      <c r="K655" s="15" t="s">
        <v>31</v>
      </c>
      <c r="L655" s="15" t="s">
        <v>31</v>
      </c>
      <c r="M655" s="15" t="s">
        <v>30</v>
      </c>
      <c r="N655" s="15" t="s">
        <v>31</v>
      </c>
      <c r="O655" s="15" t="s">
        <v>29</v>
      </c>
      <c r="P655" s="18">
        <v>-20</v>
      </c>
      <c r="Q655" s="18">
        <v>-7</v>
      </c>
      <c r="R655" s="15" t="str">
        <f>_xlfn.CONCAT(F655,G655,H655,I655,J655)</f>
        <v>LLDDL</v>
      </c>
      <c r="S655" s="13" t="str">
        <f>_xlfn.CONCAT(K655,L655,M655,N655,O655)</f>
        <v>LLWLD</v>
      </c>
      <c r="T655" s="13" t="str">
        <f>_xlfn.CONCAT(R655,"***",S655)</f>
        <v>LLDDL***LLWLD</v>
      </c>
      <c r="U655" s="19">
        <f>(P655-Q655)</f>
        <v>-13</v>
      </c>
      <c r="V655" s="14"/>
      <c r="W655" s="14"/>
      <c r="X655" s="20" t="str">
        <f>IF(ISBLANK(V655),"",IF(V655&gt;W655,"1",IF(V655&lt;W655,"2",IF(V655=W655,"X"))))</f>
        <v/>
      </c>
      <c r="Y655" s="23" t="str">
        <f>COUNTIF(F655:J655, "W")&amp;COUNTIF(F655:J655, "d")&amp;COUNTIF(F655:J655, "l")</f>
        <v>023</v>
      </c>
      <c r="Z655" s="13" t="str">
        <f>COUNTIF(K655:O655, "W")&amp;COUNTIF(K655:O655, "d")&amp;COUNTIF(K655:O655, "l")</f>
        <v>113</v>
      </c>
      <c r="AA655" s="23" t="str">
        <f>_xlfn.CONCAT(Y655,"-",Z655)</f>
        <v>023-113</v>
      </c>
      <c r="AB655" s="15" t="str">
        <f>_xlfn.CONCAT(AA655,"…",TEXT(U655,"+00;-00;+00;"))</f>
        <v>023-113…-13</v>
      </c>
      <c r="AC655" s="23" t="str">
        <f>_xlfn.CONCAT(TEXT(P655,"+00;-00;+00;"),"…",TEXT(Q655,"+00;-00;+00;"))</f>
        <v>-20…-07</v>
      </c>
      <c r="AD655" s="14" t="str">
        <f>IF(X655="","?","")</f>
        <v>?</v>
      </c>
      <c r="AE655" s="15" t="str">
        <f>_xlfn.CONCAT(AA655,"…",TEXT(P655,"+00;-00;+00;"),"...",TEXT(Q655,"+00;-00;+00;"))</f>
        <v>023-113…-20...-07</v>
      </c>
      <c r="AF655" s="13" t="str">
        <f>_xlfn.CONCAT(R655,"…",TEXT(P655,"+00;-00;+00;"),"...",TEXT(Q655,"+00;-00;+00;"))</f>
        <v>LLDDL…-20...-07</v>
      </c>
    </row>
    <row r="656" spans="1:32" x14ac:dyDescent="0.25">
      <c r="A656" s="12" t="s">
        <v>1141</v>
      </c>
      <c r="B656" s="13" t="s">
        <v>208</v>
      </c>
      <c r="C656" s="14">
        <v>1</v>
      </c>
      <c r="D656" s="13" t="s">
        <v>967</v>
      </c>
      <c r="E656" s="13" t="s">
        <v>1145</v>
      </c>
      <c r="F656" s="15" t="s">
        <v>31</v>
      </c>
      <c r="G656" s="15" t="s">
        <v>30</v>
      </c>
      <c r="H656" s="15" t="s">
        <v>29</v>
      </c>
      <c r="I656" s="15" t="s">
        <v>29</v>
      </c>
      <c r="J656" s="15" t="s">
        <v>29</v>
      </c>
      <c r="K656" s="15" t="s">
        <v>31</v>
      </c>
      <c r="L656" s="15" t="s">
        <v>29</v>
      </c>
      <c r="M656" s="15" t="s">
        <v>30</v>
      </c>
      <c r="N656" s="15" t="s">
        <v>31</v>
      </c>
      <c r="O656" s="15" t="s">
        <v>31</v>
      </c>
      <c r="P656" s="18">
        <v>-4</v>
      </c>
      <c r="Q656" s="18">
        <v>5</v>
      </c>
      <c r="R656" s="15" t="str">
        <f>_xlfn.CONCAT(F656,G656,H656,I656,J656)</f>
        <v>LWDDD</v>
      </c>
      <c r="S656" s="13" t="str">
        <f>_xlfn.CONCAT(K656,L656,M656,N656,O656)</f>
        <v>LDWLL</v>
      </c>
      <c r="T656" s="13" t="str">
        <f>_xlfn.CONCAT(R656,"***",S656)</f>
        <v>LWDDD***LDWLL</v>
      </c>
      <c r="U656" s="19">
        <f>(P656-Q656)</f>
        <v>-9</v>
      </c>
      <c r="V656" s="14"/>
      <c r="W656" s="14"/>
      <c r="X656" s="20" t="str">
        <f>IF(ISBLANK(V656),"",IF(V656&gt;W656,"1",IF(V656&lt;W656,"2",IF(V656=W656,"X"))))</f>
        <v/>
      </c>
      <c r="Y656" s="23" t="str">
        <f>COUNTIF(F656:J656, "W")&amp;COUNTIF(F656:J656, "d")&amp;COUNTIF(F656:J656, "l")</f>
        <v>131</v>
      </c>
      <c r="Z656" s="13" t="str">
        <f>COUNTIF(K656:O656, "W")&amp;COUNTIF(K656:O656, "d")&amp;COUNTIF(K656:O656, "l")</f>
        <v>113</v>
      </c>
      <c r="AA656" s="23" t="str">
        <f>_xlfn.CONCAT(Y656,"-",Z656)</f>
        <v>131-113</v>
      </c>
      <c r="AB656" s="15" t="str">
        <f>_xlfn.CONCAT(AA656,"…",TEXT(U656,"+00;-00;+00;"))</f>
        <v>131-113…-09</v>
      </c>
      <c r="AC656" s="23" t="str">
        <f>_xlfn.CONCAT(TEXT(P656,"+00;-00;+00;"),"…",TEXT(Q656,"+00;-00;+00;"))</f>
        <v>-04…+05</v>
      </c>
      <c r="AD656" s="14" t="str">
        <f>IF(X656="","?","")</f>
        <v>?</v>
      </c>
      <c r="AE656" s="15" t="str">
        <f>_xlfn.CONCAT(AA656,"…",TEXT(P656,"+00;-00;+00;"),"...",TEXT(Q656,"+00;-00;+00;"))</f>
        <v>131-113…-04...+05</v>
      </c>
      <c r="AF656" s="13" t="str">
        <f>_xlfn.CONCAT(R656,"…",TEXT(P656,"+00;-00;+00;"),"...",TEXT(Q656,"+00;-00;+00;"))</f>
        <v>LWDDD…-04...+05</v>
      </c>
    </row>
    <row r="657" spans="1:32" x14ac:dyDescent="0.25">
      <c r="A657" s="12" t="s">
        <v>1141</v>
      </c>
      <c r="B657" s="13" t="s">
        <v>208</v>
      </c>
      <c r="C657" s="14">
        <v>1</v>
      </c>
      <c r="D657" s="13" t="s">
        <v>225</v>
      </c>
      <c r="E657" s="13" t="s">
        <v>571</v>
      </c>
      <c r="F657" s="15" t="s">
        <v>29</v>
      </c>
      <c r="G657" s="15" t="s">
        <v>31</v>
      </c>
      <c r="H657" s="15" t="s">
        <v>29</v>
      </c>
      <c r="I657" s="15" t="s">
        <v>29</v>
      </c>
      <c r="J657" s="15" t="s">
        <v>30</v>
      </c>
      <c r="K657" s="15" t="s">
        <v>30</v>
      </c>
      <c r="L657" s="15" t="s">
        <v>31</v>
      </c>
      <c r="M657" s="15" t="s">
        <v>29</v>
      </c>
      <c r="N657" s="15" t="s">
        <v>31</v>
      </c>
      <c r="O657" s="15" t="s">
        <v>30</v>
      </c>
      <c r="P657" s="18">
        <v>-14</v>
      </c>
      <c r="Q657" s="18">
        <v>-9</v>
      </c>
      <c r="R657" s="15" t="str">
        <f>_xlfn.CONCAT(F657,G657,H657,I657,J657)</f>
        <v>DLDDW</v>
      </c>
      <c r="S657" s="13" t="str">
        <f>_xlfn.CONCAT(K657,L657,M657,N657,O657)</f>
        <v>WLDLW</v>
      </c>
      <c r="T657" s="13" t="str">
        <f>_xlfn.CONCAT(R657,"***",S657)</f>
        <v>DLDDW***WLDLW</v>
      </c>
      <c r="U657" s="19">
        <f>(P657-Q657)</f>
        <v>-5</v>
      </c>
      <c r="V657" s="14"/>
      <c r="W657" s="14"/>
      <c r="X657" s="20" t="str">
        <f>IF(ISBLANK(V657),"",IF(V657&gt;W657,"1",IF(V657&lt;W657,"2",IF(V657=W657,"X"))))</f>
        <v/>
      </c>
      <c r="Y657" s="23" t="str">
        <f>COUNTIF(F657:J657, "W")&amp;COUNTIF(F657:J657, "d")&amp;COUNTIF(F657:J657, "l")</f>
        <v>131</v>
      </c>
      <c r="Z657" s="13" t="str">
        <f>COUNTIF(K657:O657, "W")&amp;COUNTIF(K657:O657, "d")&amp;COUNTIF(K657:O657, "l")</f>
        <v>212</v>
      </c>
      <c r="AA657" s="23" t="str">
        <f>_xlfn.CONCAT(Y657,"-",Z657)</f>
        <v>131-212</v>
      </c>
      <c r="AB657" s="15" t="str">
        <f>_xlfn.CONCAT(AA657,"…",TEXT(U657,"+00;-00;+00;"))</f>
        <v>131-212…-05</v>
      </c>
      <c r="AC657" s="23" t="str">
        <f>_xlfn.CONCAT(TEXT(P657,"+00;-00;+00;"),"…",TEXT(Q657,"+00;-00;+00;"))</f>
        <v>-14…-09</v>
      </c>
      <c r="AD657" s="14" t="str">
        <f>IF(X657="","?","")</f>
        <v>?</v>
      </c>
      <c r="AE657" s="15" t="str">
        <f>_xlfn.CONCAT(AA657,"…",TEXT(P657,"+00;-00;+00;"),"...",TEXT(Q657,"+00;-00;+00;"))</f>
        <v>131-212…-14...-09</v>
      </c>
      <c r="AF657" s="13" t="str">
        <f>_xlfn.CONCAT(R657,"…",TEXT(P657,"+00;-00;+00;"),"...",TEXT(Q657,"+00;-00;+00;"))</f>
        <v>DLDDW…-14...-09</v>
      </c>
    </row>
    <row r="658" spans="1:32" x14ac:dyDescent="0.25">
      <c r="A658" s="12" t="s">
        <v>1141</v>
      </c>
      <c r="B658" s="13" t="s">
        <v>208</v>
      </c>
      <c r="C658" s="14">
        <v>1</v>
      </c>
      <c r="D658" s="13" t="s">
        <v>568</v>
      </c>
      <c r="E658" s="13" t="s">
        <v>1146</v>
      </c>
      <c r="F658" s="15" t="s">
        <v>31</v>
      </c>
      <c r="G658" s="15" t="s">
        <v>30</v>
      </c>
      <c r="H658" s="15" t="s">
        <v>29</v>
      </c>
      <c r="I658" s="15" t="s">
        <v>29</v>
      </c>
      <c r="J658" s="15" t="s">
        <v>30</v>
      </c>
      <c r="K658" s="15" t="s">
        <v>30</v>
      </c>
      <c r="L658" s="15" t="s">
        <v>29</v>
      </c>
      <c r="M658" s="15" t="s">
        <v>31</v>
      </c>
      <c r="N658" s="15" t="s">
        <v>31</v>
      </c>
      <c r="O658" s="15" t="s">
        <v>31</v>
      </c>
      <c r="P658" s="18">
        <v>-14</v>
      </c>
      <c r="Q658" s="18">
        <v>-13</v>
      </c>
      <c r="R658" s="15" t="str">
        <f>_xlfn.CONCAT(F658,G658,H658,I658,J658)</f>
        <v>LWDDW</v>
      </c>
      <c r="S658" s="13" t="str">
        <f>_xlfn.CONCAT(K658,L658,M658,N658,O658)</f>
        <v>WDLLL</v>
      </c>
      <c r="T658" s="13" t="str">
        <f>_xlfn.CONCAT(R658,"***",S658)</f>
        <v>LWDDW***WDLLL</v>
      </c>
      <c r="U658" s="19">
        <f>(P658-Q658)</f>
        <v>-1</v>
      </c>
      <c r="V658" s="14"/>
      <c r="W658" s="14"/>
      <c r="X658" s="20" t="str">
        <f>IF(ISBLANK(V658),"",IF(V658&gt;W658,"1",IF(V658&lt;W658,"2",IF(V658=W658,"X"))))</f>
        <v/>
      </c>
      <c r="Y658" s="23" t="str">
        <f>COUNTIF(F658:J658, "W")&amp;COUNTIF(F658:J658, "d")&amp;COUNTIF(F658:J658, "l")</f>
        <v>221</v>
      </c>
      <c r="Z658" s="13" t="str">
        <f>COUNTIF(K658:O658, "W")&amp;COUNTIF(K658:O658, "d")&amp;COUNTIF(K658:O658, "l")</f>
        <v>113</v>
      </c>
      <c r="AA658" s="23" t="str">
        <f>_xlfn.CONCAT(Y658,"-",Z658)</f>
        <v>221-113</v>
      </c>
      <c r="AB658" s="15" t="str">
        <f>_xlfn.CONCAT(AA658,"…",TEXT(U658,"+00;-00;+00;"))</f>
        <v>221-113…-01</v>
      </c>
      <c r="AC658" s="23" t="str">
        <f>_xlfn.CONCAT(TEXT(P658,"+00;-00;+00;"),"…",TEXT(Q658,"+00;-00;+00;"))</f>
        <v>-14…-13</v>
      </c>
      <c r="AD658" s="14" t="str">
        <f>IF(X658="","?","")</f>
        <v>?</v>
      </c>
      <c r="AE658" s="15" t="str">
        <f>_xlfn.CONCAT(AA658,"…",TEXT(P658,"+00;-00;+00;"),"...",TEXT(Q658,"+00;-00;+00;"))</f>
        <v>221-113…-14...-13</v>
      </c>
      <c r="AF658" s="13" t="str">
        <f>_xlfn.CONCAT(R658,"…",TEXT(P658,"+00;-00;+00;"),"...",TEXT(Q658,"+00;-00;+00;"))</f>
        <v>LWDDW…-14...-13</v>
      </c>
    </row>
    <row r="659" spans="1:32" x14ac:dyDescent="0.25">
      <c r="A659" s="12" t="s">
        <v>1063</v>
      </c>
      <c r="B659" s="13" t="s">
        <v>318</v>
      </c>
      <c r="C659" s="14">
        <v>1</v>
      </c>
      <c r="D659" s="13" t="s">
        <v>332</v>
      </c>
      <c r="E659" s="13" t="s">
        <v>763</v>
      </c>
      <c r="F659" s="15" t="s">
        <v>29</v>
      </c>
      <c r="G659" s="15" t="s">
        <v>31</v>
      </c>
      <c r="H659" s="15" t="s">
        <v>31</v>
      </c>
      <c r="I659" s="15" t="s">
        <v>31</v>
      </c>
      <c r="J659" s="15" t="s">
        <v>31</v>
      </c>
      <c r="K659" s="15" t="s">
        <v>31</v>
      </c>
      <c r="L659" s="15" t="s">
        <v>31</v>
      </c>
      <c r="M659" s="15" t="s">
        <v>30</v>
      </c>
      <c r="N659" s="15" t="s">
        <v>29</v>
      </c>
      <c r="O659" s="15" t="s">
        <v>31</v>
      </c>
      <c r="P659" s="18">
        <v>-11</v>
      </c>
      <c r="Q659" s="18">
        <v>1</v>
      </c>
      <c r="R659" s="15" t="str">
        <f>_xlfn.CONCAT(F659,G659,H659,I659,J659)</f>
        <v>DLLLL</v>
      </c>
      <c r="S659" s="13" t="str">
        <f>_xlfn.CONCAT(K659,L659,M659,N659,O659)</f>
        <v>LLWDL</v>
      </c>
      <c r="T659" s="13" t="str">
        <f>_xlfn.CONCAT(R659,"***",S659)</f>
        <v>DLLLL***LLWDL</v>
      </c>
      <c r="U659" s="19">
        <f>(P659-Q659)</f>
        <v>-12</v>
      </c>
      <c r="V659" s="14"/>
      <c r="W659" s="14"/>
      <c r="X659" s="20" t="str">
        <f>IF(ISBLANK(V659),"",IF(V659&gt;W659,"1",IF(V659&lt;W659,"2",IF(V659=W659,"X"))))</f>
        <v/>
      </c>
      <c r="Y659" s="23" t="str">
        <f>COUNTIF(F659:J659, "W")&amp;COUNTIF(F659:J659, "d")&amp;COUNTIF(F659:J659, "l")</f>
        <v>014</v>
      </c>
      <c r="Z659" s="13" t="str">
        <f>COUNTIF(K659:O659, "W")&amp;COUNTIF(K659:O659, "d")&amp;COUNTIF(K659:O659, "l")</f>
        <v>113</v>
      </c>
      <c r="AA659" s="23" t="str">
        <f>_xlfn.CONCAT(Y659,"-",Z659)</f>
        <v>014-113</v>
      </c>
      <c r="AB659" s="15" t="str">
        <f>_xlfn.CONCAT(AA659,"…",TEXT(U659,"+00;-00;+00;"))</f>
        <v>014-113…-12</v>
      </c>
      <c r="AC659" s="23" t="str">
        <f>_xlfn.CONCAT(TEXT(P659,"+00;-00;+00;"),"…",TEXT(Q659,"+00;-00;+00;"))</f>
        <v>-11…+01</v>
      </c>
      <c r="AD659" s="14" t="str">
        <f>IF(X659="","?","")</f>
        <v>?</v>
      </c>
      <c r="AE659" s="15" t="str">
        <f>_xlfn.CONCAT(AA659,"…",TEXT(P659,"+00;-00;+00;"),"...",TEXT(Q659,"+00;-00;+00;"))</f>
        <v>014-113…-11...+01</v>
      </c>
      <c r="AF659" s="13" t="str">
        <f>_xlfn.CONCAT(R659,"…",TEXT(P659,"+00;-00;+00;"),"...",TEXT(Q659,"+00;-00;+00;"))</f>
        <v>DLLLL…-11...+01</v>
      </c>
    </row>
    <row r="660" spans="1:32" x14ac:dyDescent="0.25">
      <c r="A660" s="27" t="s">
        <v>1063</v>
      </c>
      <c r="B660" s="28" t="s">
        <v>7</v>
      </c>
      <c r="C660" s="29" t="s">
        <v>32</v>
      </c>
      <c r="D660" s="28" t="s">
        <v>507</v>
      </c>
      <c r="E660" s="28" t="s">
        <v>505</v>
      </c>
      <c r="F660" s="30" t="s">
        <v>31</v>
      </c>
      <c r="G660" s="30" t="s">
        <v>31</v>
      </c>
      <c r="H660" s="30" t="s">
        <v>29</v>
      </c>
      <c r="I660" s="30" t="s">
        <v>31</v>
      </c>
      <c r="J660" s="30" t="s">
        <v>31</v>
      </c>
      <c r="K660" s="30" t="s">
        <v>31</v>
      </c>
      <c r="L660" s="30" t="s">
        <v>29</v>
      </c>
      <c r="M660" s="30" t="s">
        <v>29</v>
      </c>
      <c r="N660" s="30" t="s">
        <v>30</v>
      </c>
      <c r="O660" s="30" t="s">
        <v>31</v>
      </c>
      <c r="P660" s="31">
        <v>-7</v>
      </c>
      <c r="Q660" s="31">
        <v>-15</v>
      </c>
      <c r="R660" s="32" t="str">
        <f>_xlfn.CONCAT(F660,G660,H660,I660,J660)</f>
        <v>LLDLL</v>
      </c>
      <c r="S660" s="33" t="str">
        <f>_xlfn.CONCAT(K660,L660,M660,N660,O660)</f>
        <v>LDDWL</v>
      </c>
      <c r="T660" s="33" t="str">
        <f>_xlfn.CONCAT(R660,"***",S660)</f>
        <v>LLDLL***LDDWL</v>
      </c>
      <c r="U660" s="34">
        <f>(P660-Q660)</f>
        <v>8</v>
      </c>
      <c r="V660" s="29"/>
      <c r="W660" s="29"/>
      <c r="X660" s="35" t="str">
        <f>IF(ISBLANK(V660),"",IF(V660&gt;W660,"1",IF(V660&lt;W660,"2",IF(V660=W660,"X"))))</f>
        <v/>
      </c>
      <c r="Y660" s="36" t="str">
        <f>COUNTIF(F660:J660, "W")&amp;COUNTIF(F660:J660, "d")&amp;COUNTIF(F660:J660, "l")</f>
        <v>014</v>
      </c>
      <c r="Z660" s="37" t="str">
        <f>COUNTIF(K660:O660, "W")&amp;COUNTIF(K660:O660, "d")&amp;COUNTIF(K660:O660, "l")</f>
        <v>122</v>
      </c>
      <c r="AA660" s="38" t="str">
        <f>_xlfn.CONCAT(Y660,"-",Z660)</f>
        <v>014-122</v>
      </c>
      <c r="AB660" s="30" t="str">
        <f>_xlfn.CONCAT(AA660,"…",TEXT(U660,"+00;-00;+00;"))</f>
        <v>014-122…+08</v>
      </c>
      <c r="AC660" s="36" t="str">
        <f>_xlfn.CONCAT(TEXT(P660,"+00;-00;+00;"),"…",TEXT(Q660,"+00;-00;+00;"))</f>
        <v>-07…-15</v>
      </c>
      <c r="AD660" s="39" t="str">
        <f>IF(X660="","?","")</f>
        <v>?</v>
      </c>
      <c r="AE660" s="40" t="str">
        <f>_xlfn.CONCAT(AA660,"…",TEXT(P660,"+00;-00;+00;"),"...",TEXT(Q660,"+00;-00;+00;"))</f>
        <v>014-122…-07...-15</v>
      </c>
      <c r="AF660" s="33" t="str">
        <f>_xlfn.CONCAT(R660,"…",TEXT(P660,"+00;-00;+00;"),"...",TEXT(Q660,"+00;-00;+00;"))</f>
        <v>LLDLL…-07...-15</v>
      </c>
    </row>
    <row r="661" spans="1:32" x14ac:dyDescent="0.25">
      <c r="A661" s="12" t="s">
        <v>1063</v>
      </c>
      <c r="B661" s="13" t="s">
        <v>7</v>
      </c>
      <c r="C661" s="14">
        <v>1</v>
      </c>
      <c r="D661" s="13" t="s">
        <v>532</v>
      </c>
      <c r="E661" s="13" t="s">
        <v>887</v>
      </c>
      <c r="F661" s="15" t="s">
        <v>31</v>
      </c>
      <c r="G661" s="15" t="s">
        <v>31</v>
      </c>
      <c r="H661" s="15" t="s">
        <v>29</v>
      </c>
      <c r="I661" s="15" t="s">
        <v>31</v>
      </c>
      <c r="J661" s="15" t="s">
        <v>31</v>
      </c>
      <c r="K661" s="15" t="s">
        <v>30</v>
      </c>
      <c r="L661" s="15" t="s">
        <v>31</v>
      </c>
      <c r="M661" s="15" t="s">
        <v>30</v>
      </c>
      <c r="N661" s="15" t="s">
        <v>30</v>
      </c>
      <c r="O661" s="15" t="s">
        <v>30</v>
      </c>
      <c r="P661" s="18">
        <v>-14</v>
      </c>
      <c r="Q661" s="18">
        <v>-2</v>
      </c>
      <c r="R661" s="15" t="str">
        <f>_xlfn.CONCAT(F661,G661,H661,I661,J661)</f>
        <v>LLDLL</v>
      </c>
      <c r="S661" s="13" t="str">
        <f>_xlfn.CONCAT(K661,L661,M661,N661,O661)</f>
        <v>WLWWW</v>
      </c>
      <c r="T661" s="13" t="str">
        <f>_xlfn.CONCAT(R661,"***",S661)</f>
        <v>LLDLL***WLWWW</v>
      </c>
      <c r="U661" s="19">
        <f>(P661-Q661)</f>
        <v>-12</v>
      </c>
      <c r="V661" s="14"/>
      <c r="W661" s="14"/>
      <c r="X661" s="20" t="str">
        <f>IF(ISBLANK(V661),"",IF(V661&gt;W661,"1",IF(V661&lt;W661,"2",IF(V661=W661,"X"))))</f>
        <v/>
      </c>
      <c r="Y661" s="23" t="str">
        <f>COUNTIF(F661:J661, "W")&amp;COUNTIF(F661:J661, "d")&amp;COUNTIF(F661:J661, "l")</f>
        <v>014</v>
      </c>
      <c r="Z661" s="13" t="str">
        <f>COUNTIF(K661:O661, "W")&amp;COUNTIF(K661:O661, "d")&amp;COUNTIF(K661:O661, "l")</f>
        <v>401</v>
      </c>
      <c r="AA661" s="23" t="str">
        <f>_xlfn.CONCAT(Y661,"-",Z661)</f>
        <v>014-401</v>
      </c>
      <c r="AB661" s="15" t="str">
        <f>_xlfn.CONCAT(AA661,"…",TEXT(U661,"+00;-00;+00;"))</f>
        <v>014-401…-12</v>
      </c>
      <c r="AC661" s="23" t="str">
        <f>_xlfn.CONCAT(TEXT(P661,"+00;-00;+00;"),"…",TEXT(Q661,"+00;-00;+00;"))</f>
        <v>-14…-02</v>
      </c>
      <c r="AD661" s="14" t="str">
        <f>IF(X661="","?","")</f>
        <v>?</v>
      </c>
      <c r="AE661" s="15" t="str">
        <f>_xlfn.CONCAT(AA661,"…",TEXT(P661,"+00;-00;+00;"),"...",TEXT(Q661,"+00;-00;+00;"))</f>
        <v>014-401…-14...-02</v>
      </c>
      <c r="AF661" s="13" t="str">
        <f>_xlfn.CONCAT(R661,"…",TEXT(P661,"+00;-00;+00;"),"...",TEXT(Q661,"+00;-00;+00;"))</f>
        <v>LLDLL…-14...-02</v>
      </c>
    </row>
    <row r="662" spans="1:32" x14ac:dyDescent="0.25">
      <c r="A662" s="12" t="s">
        <v>1063</v>
      </c>
      <c r="B662" s="13" t="s">
        <v>7</v>
      </c>
      <c r="C662" s="14">
        <v>2</v>
      </c>
      <c r="D662" s="13" t="s">
        <v>554</v>
      </c>
      <c r="E662" s="13" t="s">
        <v>542</v>
      </c>
      <c r="F662" s="15" t="s">
        <v>29</v>
      </c>
      <c r="G662" s="15" t="s">
        <v>31</v>
      </c>
      <c r="H662" s="15" t="s">
        <v>31</v>
      </c>
      <c r="I662" s="15" t="s">
        <v>31</v>
      </c>
      <c r="J662" s="15" t="s">
        <v>29</v>
      </c>
      <c r="K662" s="15" t="s">
        <v>30</v>
      </c>
      <c r="L662" s="15" t="s">
        <v>31</v>
      </c>
      <c r="M662" s="15" t="s">
        <v>30</v>
      </c>
      <c r="N662" s="15" t="s">
        <v>30</v>
      </c>
      <c r="O662" s="15" t="s">
        <v>31</v>
      </c>
      <c r="P662" s="18">
        <v>-3</v>
      </c>
      <c r="Q662" s="18">
        <v>11</v>
      </c>
      <c r="R662" s="15" t="str">
        <f>_xlfn.CONCAT(F662,G662,H662,I662,J662)</f>
        <v>DLLLD</v>
      </c>
      <c r="S662" s="13" t="str">
        <f>_xlfn.CONCAT(K662,L662,M662,N662,O662)</f>
        <v>WLWWL</v>
      </c>
      <c r="T662" s="13" t="str">
        <f>_xlfn.CONCAT(R662,"***",S662)</f>
        <v>DLLLD***WLWWL</v>
      </c>
      <c r="U662" s="19">
        <f>(P662-Q662)</f>
        <v>-14</v>
      </c>
      <c r="V662" s="14"/>
      <c r="W662" s="14"/>
      <c r="X662" s="20" t="str">
        <f>IF(ISBLANK(V662),"",IF(V662&gt;W662,"1",IF(V662&lt;W662,"2",IF(V662=W662,"X"))))</f>
        <v/>
      </c>
      <c r="Y662" s="23" t="str">
        <f>COUNTIF(F662:J662, "W")&amp;COUNTIF(F662:J662, "d")&amp;COUNTIF(F662:J662, "l")</f>
        <v>023</v>
      </c>
      <c r="Z662" s="13" t="str">
        <f>COUNTIF(K662:O662, "W")&amp;COUNTIF(K662:O662, "d")&amp;COUNTIF(K662:O662, "l")</f>
        <v>302</v>
      </c>
      <c r="AA662" s="23" t="str">
        <f>_xlfn.CONCAT(Y662,"-",Z662)</f>
        <v>023-302</v>
      </c>
      <c r="AB662" s="15" t="str">
        <f>_xlfn.CONCAT(AA662,"…",TEXT(U662,"+00;-00;+00;"))</f>
        <v>023-302…-14</v>
      </c>
      <c r="AC662" s="23" t="str">
        <f>_xlfn.CONCAT(TEXT(P662,"+00;-00;+00;"),"…",TEXT(Q662,"+00;-00;+00;"))</f>
        <v>-03…+11</v>
      </c>
      <c r="AD662" s="14" t="str">
        <f>IF(X662="","?","")</f>
        <v>?</v>
      </c>
      <c r="AE662" s="15" t="str">
        <f>_xlfn.CONCAT(AA662,"…",TEXT(P662,"+00;-00;+00;"),"...",TEXT(Q662,"+00;-00;+00;"))</f>
        <v>023-302…-03...+11</v>
      </c>
      <c r="AF662" s="13" t="str">
        <f>_xlfn.CONCAT(R662,"…",TEXT(P662,"+00;-00;+00;"),"...",TEXT(Q662,"+00;-00;+00;"))</f>
        <v>DLLLD…-03...+11</v>
      </c>
    </row>
    <row r="663" spans="1:32" x14ac:dyDescent="0.25">
      <c r="A663" s="12" t="s">
        <v>1063</v>
      </c>
      <c r="B663" s="13" t="s">
        <v>7</v>
      </c>
      <c r="C663" s="14">
        <v>1</v>
      </c>
      <c r="D663" s="13" t="s">
        <v>1070</v>
      </c>
      <c r="E663" s="13" t="s">
        <v>1068</v>
      </c>
      <c r="F663" s="15" t="s">
        <v>29</v>
      </c>
      <c r="G663" s="15" t="s">
        <v>31</v>
      </c>
      <c r="H663" s="15" t="s">
        <v>31</v>
      </c>
      <c r="I663" s="15" t="s">
        <v>31</v>
      </c>
      <c r="J663" s="15" t="s">
        <v>29</v>
      </c>
      <c r="K663" s="15" t="s">
        <v>30</v>
      </c>
      <c r="L663" s="15" t="s">
        <v>31</v>
      </c>
      <c r="M663" s="15" t="s">
        <v>30</v>
      </c>
      <c r="N663" s="15" t="s">
        <v>30</v>
      </c>
      <c r="O663" s="15" t="s">
        <v>31</v>
      </c>
      <c r="P663" s="18">
        <v>-11</v>
      </c>
      <c r="Q663" s="18">
        <v>11</v>
      </c>
      <c r="R663" s="15" t="str">
        <f>_xlfn.CONCAT(F663,G663,H663,I663,J663)</f>
        <v>DLLLD</v>
      </c>
      <c r="S663" s="13" t="str">
        <f>_xlfn.CONCAT(K663,L663,M663,N663,O663)</f>
        <v>WLWWL</v>
      </c>
      <c r="T663" s="13" t="str">
        <f>_xlfn.CONCAT(R663,"***",S663)</f>
        <v>DLLLD***WLWWL</v>
      </c>
      <c r="U663" s="19">
        <f>(P663-Q663)</f>
        <v>-22</v>
      </c>
      <c r="V663" s="14"/>
      <c r="W663" s="14"/>
      <c r="X663" s="20" t="str">
        <f>IF(ISBLANK(V663),"",IF(V663&gt;W663,"1",IF(V663&lt;W663,"2",IF(V663=W663,"X"))))</f>
        <v/>
      </c>
      <c r="Y663" s="23" t="str">
        <f>COUNTIF(F663:J663, "W")&amp;COUNTIF(F663:J663, "d")&amp;COUNTIF(F663:J663, "l")</f>
        <v>023</v>
      </c>
      <c r="Z663" s="13" t="str">
        <f>COUNTIF(K663:O663, "W")&amp;COUNTIF(K663:O663, "d")&amp;COUNTIF(K663:O663, "l")</f>
        <v>302</v>
      </c>
      <c r="AA663" s="23" t="str">
        <f>_xlfn.CONCAT(Y663,"-",Z663)</f>
        <v>023-302</v>
      </c>
      <c r="AB663" s="15" t="str">
        <f>_xlfn.CONCAT(AA663,"…",TEXT(U663,"+00;-00;+00;"))</f>
        <v>023-302…-22</v>
      </c>
      <c r="AC663" s="23" t="str">
        <f>_xlfn.CONCAT(TEXT(P663,"+00;-00;+00;"),"…",TEXT(Q663,"+00;-00;+00;"))</f>
        <v>-11…+11</v>
      </c>
      <c r="AD663" s="14" t="str">
        <f>IF(X663="","?","")</f>
        <v>?</v>
      </c>
      <c r="AE663" s="15" t="str">
        <f>_xlfn.CONCAT(AA663,"…",TEXT(P663,"+00;-00;+00;"),"...",TEXT(Q663,"+00;-00;+00;"))</f>
        <v>023-302…-11...+11</v>
      </c>
      <c r="AF663" s="13" t="str">
        <f>_xlfn.CONCAT(R663,"…",TEXT(P663,"+00;-00;+00;"),"...",TEXT(Q663,"+00;-00;+00;"))</f>
        <v>DLLLD…-11...+11</v>
      </c>
    </row>
    <row r="664" spans="1:32" x14ac:dyDescent="0.25">
      <c r="A664" s="12" t="s">
        <v>1063</v>
      </c>
      <c r="B664" s="13" t="s">
        <v>7</v>
      </c>
      <c r="C664" s="14" t="s">
        <v>8</v>
      </c>
      <c r="D664" s="13" t="s">
        <v>617</v>
      </c>
      <c r="E664" s="13" t="s">
        <v>14</v>
      </c>
      <c r="F664" s="15" t="s">
        <v>31</v>
      </c>
      <c r="G664" s="15" t="s">
        <v>31</v>
      </c>
      <c r="H664" s="15" t="s">
        <v>30</v>
      </c>
      <c r="I664" s="15" t="s">
        <v>31</v>
      </c>
      <c r="J664" s="15" t="s">
        <v>29</v>
      </c>
      <c r="K664" s="15" t="s">
        <v>30</v>
      </c>
      <c r="L664" s="15" t="s">
        <v>31</v>
      </c>
      <c r="M664" s="15" t="s">
        <v>31</v>
      </c>
      <c r="N664" s="15" t="s">
        <v>31</v>
      </c>
      <c r="O664" s="15" t="s">
        <v>29</v>
      </c>
      <c r="P664" s="18">
        <v>0</v>
      </c>
      <c r="Q664" s="18">
        <v>-29</v>
      </c>
      <c r="R664" s="15" t="str">
        <f>_xlfn.CONCAT(F664,G664,H664,I664,J664)</f>
        <v>LLWLD</v>
      </c>
      <c r="S664" s="13" t="str">
        <f>_xlfn.CONCAT(K664,L664,M664,N664,O664)</f>
        <v>WLLLD</v>
      </c>
      <c r="T664" s="13" t="str">
        <f>_xlfn.CONCAT(R664,"***",S664)</f>
        <v>LLWLD***WLLLD</v>
      </c>
      <c r="U664" s="19">
        <f>(P664-Q664)</f>
        <v>29</v>
      </c>
      <c r="V664" s="14"/>
      <c r="W664" s="14"/>
      <c r="X664" s="20" t="str">
        <f>IF(ISBLANK(V664),"",IF(V664&gt;W664,"1",IF(V664&lt;W664,"2",IF(V664=W664,"X"))))</f>
        <v/>
      </c>
      <c r="Y664" s="23" t="str">
        <f>COUNTIF(F664:J664, "W")&amp;COUNTIF(F664:J664, "d")&amp;COUNTIF(F664:J664, "l")</f>
        <v>113</v>
      </c>
      <c r="Z664" s="13" t="str">
        <f>COUNTIF(K664:O664, "W")&amp;COUNTIF(K664:O664, "d")&amp;COUNTIF(K664:O664, "l")</f>
        <v>113</v>
      </c>
      <c r="AA664" s="23" t="str">
        <f>_xlfn.CONCAT(Y664,"-",Z664)</f>
        <v>113-113</v>
      </c>
      <c r="AB664" s="15" t="str">
        <f>_xlfn.CONCAT(AA664,"…",TEXT(U664,"+00;-00;+00;"))</f>
        <v>113-113…+29</v>
      </c>
      <c r="AC664" s="23" t="str">
        <f>_xlfn.CONCAT(TEXT(P664,"+00;-00;+00;"),"…",TEXT(Q664,"+00;-00;+00;"))</f>
        <v>+00…-29</v>
      </c>
      <c r="AD664" s="14" t="str">
        <f>IF(X664="","?","")</f>
        <v>?</v>
      </c>
      <c r="AE664" s="15" t="str">
        <f>_xlfn.CONCAT(AA664,"…",TEXT(P664,"+00;-00;+00;"),"...",TEXT(Q664,"+00;-00;+00;"))</f>
        <v>113-113…+00...-29</v>
      </c>
      <c r="AF664" s="13" t="str">
        <f>_xlfn.CONCAT(R664,"…",TEXT(P664,"+00;-00;+00;"),"...",TEXT(Q664,"+00;-00;+00;"))</f>
        <v>LLWLD…+00...-29</v>
      </c>
    </row>
    <row r="665" spans="1:32" x14ac:dyDescent="0.25">
      <c r="A665" s="27" t="s">
        <v>1063</v>
      </c>
      <c r="B665" s="28" t="s">
        <v>7</v>
      </c>
      <c r="C665" s="29" t="s">
        <v>32</v>
      </c>
      <c r="D665" s="28" t="s">
        <v>503</v>
      </c>
      <c r="E665" s="28" t="s">
        <v>504</v>
      </c>
      <c r="F665" s="30" t="s">
        <v>31</v>
      </c>
      <c r="G665" s="30" t="s">
        <v>29</v>
      </c>
      <c r="H665" s="30" t="s">
        <v>31</v>
      </c>
      <c r="I665" s="30" t="s">
        <v>31</v>
      </c>
      <c r="J665" s="30" t="s">
        <v>30</v>
      </c>
      <c r="K665" s="30" t="s">
        <v>30</v>
      </c>
      <c r="L665" s="30" t="s">
        <v>30</v>
      </c>
      <c r="M665" s="30" t="s">
        <v>29</v>
      </c>
      <c r="N665" s="30" t="s">
        <v>31</v>
      </c>
      <c r="O665" s="30" t="s">
        <v>31</v>
      </c>
      <c r="P665" s="31">
        <v>-2</v>
      </c>
      <c r="Q665" s="31">
        <v>9</v>
      </c>
      <c r="R665" s="32" t="str">
        <f>_xlfn.CONCAT(F665,G665,H665,I665,J665)</f>
        <v>LDLLW</v>
      </c>
      <c r="S665" s="33" t="str">
        <f>_xlfn.CONCAT(K665,L665,M665,N665,O665)</f>
        <v>WWDLL</v>
      </c>
      <c r="T665" s="33" t="str">
        <f>_xlfn.CONCAT(R665,"***",S665)</f>
        <v>LDLLW***WWDLL</v>
      </c>
      <c r="U665" s="34">
        <f>(P665-Q665)</f>
        <v>-11</v>
      </c>
      <c r="V665" s="29"/>
      <c r="W665" s="29"/>
      <c r="X665" s="35" t="str">
        <f>IF(ISBLANK(V665),"",IF(V665&gt;W665,"1",IF(V665&lt;W665,"2",IF(V665=W665,"X"))))</f>
        <v/>
      </c>
      <c r="Y665" s="36" t="str">
        <f>COUNTIF(F665:J665, "W")&amp;COUNTIF(F665:J665, "d")&amp;COUNTIF(F665:J665, "l")</f>
        <v>113</v>
      </c>
      <c r="Z665" s="37" t="str">
        <f>COUNTIF(K665:O665, "W")&amp;COUNTIF(K665:O665, "d")&amp;COUNTIF(K665:O665, "l")</f>
        <v>212</v>
      </c>
      <c r="AA665" s="38" t="str">
        <f>_xlfn.CONCAT(Y665,"-",Z665)</f>
        <v>113-212</v>
      </c>
      <c r="AB665" s="30" t="str">
        <f>_xlfn.CONCAT(AA665,"…",TEXT(U665,"+00;-00;+00;"))</f>
        <v>113-212…-11</v>
      </c>
      <c r="AC665" s="36" t="str">
        <f>_xlfn.CONCAT(TEXT(P665,"+00;-00;+00;"),"…",TEXT(Q665,"+00;-00;+00;"))</f>
        <v>-02…+09</v>
      </c>
      <c r="AD665" s="39" t="str">
        <f>IF(X665="","?","")</f>
        <v>?</v>
      </c>
      <c r="AE665" s="40" t="str">
        <f>_xlfn.CONCAT(AA665,"…",TEXT(P665,"+00;-00;+00;"),"...",TEXT(Q665,"+00;-00;+00;"))</f>
        <v>113-212…-02...+09</v>
      </c>
      <c r="AF665" s="33" t="str">
        <f>_xlfn.CONCAT(R665,"…",TEXT(P665,"+00;-00;+00;"),"...",TEXT(Q665,"+00;-00;+00;"))</f>
        <v>LDLLW…-02...+09</v>
      </c>
    </row>
    <row r="666" spans="1:32" x14ac:dyDescent="0.25">
      <c r="A666" s="27" t="s">
        <v>1063</v>
      </c>
      <c r="B666" s="28" t="s">
        <v>7</v>
      </c>
      <c r="C666" s="29" t="s">
        <v>32</v>
      </c>
      <c r="D666" s="28" t="s">
        <v>494</v>
      </c>
      <c r="E666" s="28" t="s">
        <v>657</v>
      </c>
      <c r="F666" s="30" t="s">
        <v>30</v>
      </c>
      <c r="G666" s="30" t="s">
        <v>29</v>
      </c>
      <c r="H666" s="30" t="s">
        <v>31</v>
      </c>
      <c r="I666" s="30" t="s">
        <v>31</v>
      </c>
      <c r="J666" s="30" t="s">
        <v>31</v>
      </c>
      <c r="K666" s="30" t="s">
        <v>31</v>
      </c>
      <c r="L666" s="30" t="s">
        <v>29</v>
      </c>
      <c r="M666" s="30" t="s">
        <v>30</v>
      </c>
      <c r="N666" s="30" t="s">
        <v>30</v>
      </c>
      <c r="O666" s="30" t="s">
        <v>31</v>
      </c>
      <c r="P666" s="31">
        <v>-6</v>
      </c>
      <c r="Q666" s="31">
        <v>4</v>
      </c>
      <c r="R666" s="32" t="str">
        <f>_xlfn.CONCAT(F666,G666,H666,I666,J666)</f>
        <v>WDLLL</v>
      </c>
      <c r="S666" s="33" t="str">
        <f>_xlfn.CONCAT(K666,L666,M666,N666,O666)</f>
        <v>LDWWL</v>
      </c>
      <c r="T666" s="33" t="str">
        <f>_xlfn.CONCAT(R666,"***",S666)</f>
        <v>WDLLL***LDWWL</v>
      </c>
      <c r="U666" s="34">
        <f>(P666-Q666)</f>
        <v>-10</v>
      </c>
      <c r="V666" s="29"/>
      <c r="W666" s="29"/>
      <c r="X666" s="35" t="str">
        <f>IF(ISBLANK(V666),"",IF(V666&gt;W666,"1",IF(V666&lt;W666,"2",IF(V666=W666,"X"))))</f>
        <v/>
      </c>
      <c r="Y666" s="36" t="str">
        <f>COUNTIF(F666:J666, "W")&amp;COUNTIF(F666:J666, "d")&amp;COUNTIF(F666:J666, "l")</f>
        <v>113</v>
      </c>
      <c r="Z666" s="37" t="str">
        <f>COUNTIF(K666:O666, "W")&amp;COUNTIF(K666:O666, "d")&amp;COUNTIF(K666:O666, "l")</f>
        <v>212</v>
      </c>
      <c r="AA666" s="38" t="str">
        <f>_xlfn.CONCAT(Y666,"-",Z666)</f>
        <v>113-212</v>
      </c>
      <c r="AB666" s="30" t="str">
        <f>_xlfn.CONCAT(AA666,"…",TEXT(U666,"+00;-00;+00;"))</f>
        <v>113-212…-10</v>
      </c>
      <c r="AC666" s="36" t="str">
        <f>_xlfn.CONCAT(TEXT(P666,"+00;-00;+00;"),"…",TEXT(Q666,"+00;-00;+00;"))</f>
        <v>-06…+04</v>
      </c>
      <c r="AD666" s="39" t="str">
        <f>IF(X666="","?","")</f>
        <v>?</v>
      </c>
      <c r="AE666" s="40" t="str">
        <f>_xlfn.CONCAT(AA666,"…",TEXT(P666,"+00;-00;+00;"),"...",TEXT(Q666,"+00;-00;+00;"))</f>
        <v>113-212…-06...+04</v>
      </c>
      <c r="AF666" s="33" t="str">
        <f>_xlfn.CONCAT(R666,"…",TEXT(P666,"+00;-00;+00;"),"...",TEXT(Q666,"+00;-00;+00;"))</f>
        <v>WDLLL…-06...+04</v>
      </c>
    </row>
    <row r="667" spans="1:32" x14ac:dyDescent="0.25">
      <c r="A667" s="12" t="s">
        <v>1063</v>
      </c>
      <c r="B667" s="13" t="s">
        <v>7</v>
      </c>
      <c r="C667" s="14">
        <v>1</v>
      </c>
      <c r="D667" s="13" t="s">
        <v>886</v>
      </c>
      <c r="E667" s="13" t="s">
        <v>529</v>
      </c>
      <c r="F667" s="15" t="s">
        <v>30</v>
      </c>
      <c r="G667" s="15" t="s">
        <v>31</v>
      </c>
      <c r="H667" s="15" t="s">
        <v>31</v>
      </c>
      <c r="I667" s="15" t="s">
        <v>29</v>
      </c>
      <c r="J667" s="15" t="s">
        <v>31</v>
      </c>
      <c r="K667" s="15" t="s">
        <v>29</v>
      </c>
      <c r="L667" s="15" t="s">
        <v>30</v>
      </c>
      <c r="M667" s="15" t="s">
        <v>29</v>
      </c>
      <c r="N667" s="15" t="s">
        <v>29</v>
      </c>
      <c r="O667" s="15" t="s">
        <v>30</v>
      </c>
      <c r="P667" s="18">
        <v>-12</v>
      </c>
      <c r="Q667" s="18">
        <v>7</v>
      </c>
      <c r="R667" s="15" t="str">
        <f>_xlfn.CONCAT(F667,G667,H667,I667,J667)</f>
        <v>WLLDL</v>
      </c>
      <c r="S667" s="13" t="str">
        <f>_xlfn.CONCAT(K667,L667,M667,N667,O667)</f>
        <v>DWDDW</v>
      </c>
      <c r="T667" s="13" t="str">
        <f>_xlfn.CONCAT(R667,"***",S667)</f>
        <v>WLLDL***DWDDW</v>
      </c>
      <c r="U667" s="19">
        <f>(P667-Q667)</f>
        <v>-19</v>
      </c>
      <c r="V667" s="14"/>
      <c r="W667" s="14"/>
      <c r="X667" s="20" t="str">
        <f>IF(ISBLANK(V667),"",IF(V667&gt;W667,"1",IF(V667&lt;W667,"2",IF(V667=W667,"X"))))</f>
        <v/>
      </c>
      <c r="Y667" s="23" t="str">
        <f>COUNTIF(F667:J667, "W")&amp;COUNTIF(F667:J667, "d")&amp;COUNTIF(F667:J667, "l")</f>
        <v>113</v>
      </c>
      <c r="Z667" s="13" t="str">
        <f>COUNTIF(K667:O667, "W")&amp;COUNTIF(K667:O667, "d")&amp;COUNTIF(K667:O667, "l")</f>
        <v>230</v>
      </c>
      <c r="AA667" s="23" t="str">
        <f>_xlfn.CONCAT(Y667,"-",Z667)</f>
        <v>113-230</v>
      </c>
      <c r="AB667" s="15" t="str">
        <f>_xlfn.CONCAT(AA667,"…",TEXT(U667,"+00;-00;+00;"))</f>
        <v>113-230…-19</v>
      </c>
      <c r="AC667" s="23" t="str">
        <f>_xlfn.CONCAT(TEXT(P667,"+00;-00;+00;"),"…",TEXT(Q667,"+00;-00;+00;"))</f>
        <v>-12…+07</v>
      </c>
      <c r="AD667" s="14" t="str">
        <f>IF(X667="","?","")</f>
        <v>?</v>
      </c>
      <c r="AE667" s="15" t="str">
        <f>_xlfn.CONCAT(AA667,"…",TEXT(P667,"+00;-00;+00;"),"...",TEXT(Q667,"+00;-00;+00;"))</f>
        <v>113-230…-12...+07</v>
      </c>
      <c r="AF667" s="13" t="str">
        <f>_xlfn.CONCAT(R667,"…",TEXT(P667,"+00;-00;+00;"),"...",TEXT(Q667,"+00;-00;+00;"))</f>
        <v>WLLDL…-12...+07</v>
      </c>
    </row>
    <row r="668" spans="1:32" x14ac:dyDescent="0.25">
      <c r="A668" s="12" t="s">
        <v>1063</v>
      </c>
      <c r="B668" s="13" t="s">
        <v>7</v>
      </c>
      <c r="C668" s="14">
        <v>1</v>
      </c>
      <c r="D668" s="13" t="s">
        <v>888</v>
      </c>
      <c r="E668" s="13" t="s">
        <v>528</v>
      </c>
      <c r="F668" s="15" t="s">
        <v>31</v>
      </c>
      <c r="G668" s="15" t="s">
        <v>31</v>
      </c>
      <c r="H668" s="15" t="s">
        <v>31</v>
      </c>
      <c r="I668" s="15" t="s">
        <v>30</v>
      </c>
      <c r="J668" s="15" t="s">
        <v>29</v>
      </c>
      <c r="K668" s="15" t="s">
        <v>30</v>
      </c>
      <c r="L668" s="15" t="s">
        <v>29</v>
      </c>
      <c r="M668" s="15" t="s">
        <v>30</v>
      </c>
      <c r="N668" s="15" t="s">
        <v>30</v>
      </c>
      <c r="O668" s="15" t="s">
        <v>31</v>
      </c>
      <c r="P668" s="18">
        <v>-16</v>
      </c>
      <c r="Q668" s="18">
        <v>20</v>
      </c>
      <c r="R668" s="15" t="str">
        <f>_xlfn.CONCAT(F668,G668,H668,I668,J668)</f>
        <v>LLLWD</v>
      </c>
      <c r="S668" s="13" t="str">
        <f>_xlfn.CONCAT(K668,L668,M668,N668,O668)</f>
        <v>WDWWL</v>
      </c>
      <c r="T668" s="13" t="str">
        <f>_xlfn.CONCAT(R668,"***",S668)</f>
        <v>LLLWD***WDWWL</v>
      </c>
      <c r="U668" s="19">
        <f>(P668-Q668)</f>
        <v>-36</v>
      </c>
      <c r="V668" s="14"/>
      <c r="W668" s="14"/>
      <c r="X668" s="20" t="str">
        <f>IF(ISBLANK(V668),"",IF(V668&gt;W668,"1",IF(V668&lt;W668,"2",IF(V668=W668,"X"))))</f>
        <v/>
      </c>
      <c r="Y668" s="23" t="str">
        <f>COUNTIF(F668:J668, "W")&amp;COUNTIF(F668:J668, "d")&amp;COUNTIF(F668:J668, "l")</f>
        <v>113</v>
      </c>
      <c r="Z668" s="13" t="str">
        <f>COUNTIF(K668:O668, "W")&amp;COUNTIF(K668:O668, "d")&amp;COUNTIF(K668:O668, "l")</f>
        <v>311</v>
      </c>
      <c r="AA668" s="23" t="str">
        <f>_xlfn.CONCAT(Y668,"-",Z668)</f>
        <v>113-311</v>
      </c>
      <c r="AB668" s="15" t="str">
        <f>_xlfn.CONCAT(AA668,"…",TEXT(U668,"+00;-00;+00;"))</f>
        <v>113-311…-36</v>
      </c>
      <c r="AC668" s="23" t="str">
        <f>_xlfn.CONCAT(TEXT(P668,"+00;-00;+00;"),"…",TEXT(Q668,"+00;-00;+00;"))</f>
        <v>-16…+20</v>
      </c>
      <c r="AD668" s="14" t="str">
        <f>IF(X668="","?","")</f>
        <v>?</v>
      </c>
      <c r="AE668" s="15" t="str">
        <f>_xlfn.CONCAT(AA668,"…",TEXT(P668,"+00;-00;+00;"),"...",TEXT(Q668,"+00;-00;+00;"))</f>
        <v>113-311…-16...+20</v>
      </c>
      <c r="AF668" s="13" t="str">
        <f>_xlfn.CONCAT(R668,"…",TEXT(P668,"+00;-00;+00;"),"...",TEXT(Q668,"+00;-00;+00;"))</f>
        <v>LLLWD…-16...+20</v>
      </c>
    </row>
    <row r="669" spans="1:32" x14ac:dyDescent="0.25">
      <c r="A669" s="12" t="s">
        <v>1063</v>
      </c>
      <c r="B669" s="13" t="s">
        <v>7</v>
      </c>
      <c r="C669" s="14">
        <v>2</v>
      </c>
      <c r="D669" s="13" t="s">
        <v>536</v>
      </c>
      <c r="E669" s="13" t="s">
        <v>1076</v>
      </c>
      <c r="F669" s="15" t="s">
        <v>30</v>
      </c>
      <c r="G669" s="15" t="s">
        <v>31</v>
      </c>
      <c r="H669" s="15" t="s">
        <v>29</v>
      </c>
      <c r="I669" s="15" t="s">
        <v>31</v>
      </c>
      <c r="J669" s="15" t="s">
        <v>31</v>
      </c>
      <c r="K669" s="15" t="s">
        <v>30</v>
      </c>
      <c r="L669" s="15" t="s">
        <v>29</v>
      </c>
      <c r="M669" s="15" t="s">
        <v>30</v>
      </c>
      <c r="N669" s="15" t="s">
        <v>29</v>
      </c>
      <c r="O669" s="15" t="s">
        <v>30</v>
      </c>
      <c r="P669" s="18">
        <v>-6</v>
      </c>
      <c r="Q669" s="18">
        <v>-5</v>
      </c>
      <c r="R669" s="15" t="str">
        <f>_xlfn.CONCAT(F669,G669,H669,I669,J669)</f>
        <v>WLDLL</v>
      </c>
      <c r="S669" s="13" t="str">
        <f>_xlfn.CONCAT(K669,L669,M669,N669,O669)</f>
        <v>WDWDW</v>
      </c>
      <c r="T669" s="13" t="str">
        <f>_xlfn.CONCAT(R669,"***",S669)</f>
        <v>WLDLL***WDWDW</v>
      </c>
      <c r="U669" s="19">
        <f>(P669-Q669)</f>
        <v>-1</v>
      </c>
      <c r="V669" s="14"/>
      <c r="W669" s="14"/>
      <c r="X669" s="20" t="str">
        <f>IF(ISBLANK(V669),"",IF(V669&gt;W669,"1",IF(V669&lt;W669,"2",IF(V669=W669,"X"))))</f>
        <v/>
      </c>
      <c r="Y669" s="23" t="str">
        <f>COUNTIF(F669:J669, "W")&amp;COUNTIF(F669:J669, "d")&amp;COUNTIF(F669:J669, "l")</f>
        <v>113</v>
      </c>
      <c r="Z669" s="13" t="str">
        <f>COUNTIF(K669:O669, "W")&amp;COUNTIF(K669:O669, "d")&amp;COUNTIF(K669:O669, "l")</f>
        <v>320</v>
      </c>
      <c r="AA669" s="23" t="str">
        <f>_xlfn.CONCAT(Y669,"-",Z669)</f>
        <v>113-320</v>
      </c>
      <c r="AB669" s="15" t="str">
        <f>_xlfn.CONCAT(AA669,"…",TEXT(U669,"+00;-00;+00;"))</f>
        <v>113-320…-01</v>
      </c>
      <c r="AC669" s="23" t="str">
        <f>_xlfn.CONCAT(TEXT(P669,"+00;-00;+00;"),"…",TEXT(Q669,"+00;-00;+00;"))</f>
        <v>-06…-05</v>
      </c>
      <c r="AD669" s="14" t="str">
        <f>IF(X669="","?","")</f>
        <v>?</v>
      </c>
      <c r="AE669" s="15" t="str">
        <f>_xlfn.CONCAT(AA669,"…",TEXT(P669,"+00;-00;+00;"),"...",TEXT(Q669,"+00;-00;+00;"))</f>
        <v>113-320…-06...-05</v>
      </c>
      <c r="AF669" s="13" t="str">
        <f>_xlfn.CONCAT(R669,"…",TEXT(P669,"+00;-00;+00;"),"...",TEXT(Q669,"+00;-00;+00;"))</f>
        <v>WLDLL…-06...-05</v>
      </c>
    </row>
    <row r="670" spans="1:32" x14ac:dyDescent="0.25">
      <c r="A670" s="12" t="s">
        <v>1063</v>
      </c>
      <c r="B670" s="13" t="s">
        <v>7</v>
      </c>
      <c r="C670" s="14">
        <v>1</v>
      </c>
      <c r="D670" s="13" t="s">
        <v>523</v>
      </c>
      <c r="E670" s="13" t="s">
        <v>515</v>
      </c>
      <c r="F670" s="15" t="s">
        <v>29</v>
      </c>
      <c r="G670" s="15" t="s">
        <v>31</v>
      </c>
      <c r="H670" s="15" t="s">
        <v>29</v>
      </c>
      <c r="I670" s="15" t="s">
        <v>31</v>
      </c>
      <c r="J670" s="15" t="s">
        <v>30</v>
      </c>
      <c r="K670" s="15" t="s">
        <v>31</v>
      </c>
      <c r="L670" s="15" t="s">
        <v>31</v>
      </c>
      <c r="M670" s="15" t="s">
        <v>31</v>
      </c>
      <c r="N670" s="15" t="s">
        <v>31</v>
      </c>
      <c r="O670" s="15" t="s">
        <v>29</v>
      </c>
      <c r="P670" s="18">
        <v>10</v>
      </c>
      <c r="Q670" s="18">
        <v>-12</v>
      </c>
      <c r="R670" s="15" t="str">
        <f>_xlfn.CONCAT(F670,G670,H670,I670,J670)</f>
        <v>DLDLW</v>
      </c>
      <c r="S670" s="13" t="str">
        <f>_xlfn.CONCAT(K670,L670,M670,N670,O670)</f>
        <v>LLLLD</v>
      </c>
      <c r="T670" s="13" t="str">
        <f>_xlfn.CONCAT(R670,"***",S670)</f>
        <v>DLDLW***LLLLD</v>
      </c>
      <c r="U670" s="19">
        <f>(P670-Q670)</f>
        <v>22</v>
      </c>
      <c r="V670" s="14"/>
      <c r="W670" s="14"/>
      <c r="X670" s="20" t="str">
        <f>IF(ISBLANK(V670),"",IF(V670&gt;W670,"1",IF(V670&lt;W670,"2",IF(V670=W670,"X"))))</f>
        <v/>
      </c>
      <c r="Y670" s="23" t="str">
        <f>COUNTIF(F670:J670, "W")&amp;COUNTIF(F670:J670, "d")&amp;COUNTIF(F670:J670, "l")</f>
        <v>122</v>
      </c>
      <c r="Z670" s="13" t="str">
        <f>COUNTIF(K670:O670, "W")&amp;COUNTIF(K670:O670, "d")&amp;COUNTIF(K670:O670, "l")</f>
        <v>014</v>
      </c>
      <c r="AA670" s="23" t="str">
        <f>_xlfn.CONCAT(Y670,"-",Z670)</f>
        <v>122-014</v>
      </c>
      <c r="AB670" s="15" t="str">
        <f>_xlfn.CONCAT(AA670,"…",TEXT(U670,"+00;-00;+00;"))</f>
        <v>122-014…+22</v>
      </c>
      <c r="AC670" s="23" t="str">
        <f>_xlfn.CONCAT(TEXT(P670,"+00;-00;+00;"),"…",TEXT(Q670,"+00;-00;+00;"))</f>
        <v>+10…-12</v>
      </c>
      <c r="AD670" s="14" t="str">
        <f>IF(X670="","?","")</f>
        <v>?</v>
      </c>
      <c r="AE670" s="15" t="str">
        <f>_xlfn.CONCAT(AA670,"…",TEXT(P670,"+00;-00;+00;"),"...",TEXT(Q670,"+00;-00;+00;"))</f>
        <v>122-014…+10...-12</v>
      </c>
      <c r="AF670" s="13" t="str">
        <f>_xlfn.CONCAT(R670,"…",TEXT(P670,"+00;-00;+00;"),"...",TEXT(Q670,"+00;-00;+00;"))</f>
        <v>DLDLW…+10...-12</v>
      </c>
    </row>
    <row r="671" spans="1:32" x14ac:dyDescent="0.25">
      <c r="A671" s="27" t="s">
        <v>1063</v>
      </c>
      <c r="B671" s="28" t="s">
        <v>7</v>
      </c>
      <c r="C671" s="29" t="s">
        <v>32</v>
      </c>
      <c r="D671" s="28" t="s">
        <v>1195</v>
      </c>
      <c r="E671" s="28" t="s">
        <v>492</v>
      </c>
      <c r="F671" s="30" t="s">
        <v>29</v>
      </c>
      <c r="G671" s="30" t="s">
        <v>31</v>
      </c>
      <c r="H671" s="30" t="s">
        <v>30</v>
      </c>
      <c r="I671" s="30" t="s">
        <v>31</v>
      </c>
      <c r="J671" s="30" t="s">
        <v>29</v>
      </c>
      <c r="K671" s="30" t="s">
        <v>31</v>
      </c>
      <c r="L671" s="30" t="s">
        <v>31</v>
      </c>
      <c r="M671" s="30" t="s">
        <v>29</v>
      </c>
      <c r="N671" s="30" t="s">
        <v>31</v>
      </c>
      <c r="O671" s="30" t="s">
        <v>29</v>
      </c>
      <c r="P671" s="31">
        <v>-2</v>
      </c>
      <c r="Q671" s="31">
        <v>-23</v>
      </c>
      <c r="R671" s="32" t="str">
        <f>_xlfn.CONCAT(F671,G671,H671,I671,J671)</f>
        <v>DLWLD</v>
      </c>
      <c r="S671" s="33" t="str">
        <f>_xlfn.CONCAT(K671,L671,M671,N671,O671)</f>
        <v>LLDLD</v>
      </c>
      <c r="T671" s="33" t="str">
        <f>_xlfn.CONCAT(R671,"***",S671)</f>
        <v>DLWLD***LLDLD</v>
      </c>
      <c r="U671" s="34">
        <f>(P671-Q671)</f>
        <v>21</v>
      </c>
      <c r="V671" s="29"/>
      <c r="W671" s="29"/>
      <c r="X671" s="35" t="str">
        <f>IF(ISBLANK(V671),"",IF(V671&gt;W671,"1",IF(V671&lt;W671,"2",IF(V671=W671,"X"))))</f>
        <v/>
      </c>
      <c r="Y671" s="36" t="str">
        <f>COUNTIF(F671:J671, "W")&amp;COUNTIF(F671:J671, "d")&amp;COUNTIF(F671:J671, "l")</f>
        <v>122</v>
      </c>
      <c r="Z671" s="37" t="str">
        <f>COUNTIF(K671:O671, "W")&amp;COUNTIF(K671:O671, "d")&amp;COUNTIF(K671:O671, "l")</f>
        <v>023</v>
      </c>
      <c r="AA671" s="38" t="str">
        <f>_xlfn.CONCAT(Y671,"-",Z671)</f>
        <v>122-023</v>
      </c>
      <c r="AB671" s="30" t="str">
        <f>_xlfn.CONCAT(AA671,"…",TEXT(U671,"+00;-00;+00;"))</f>
        <v>122-023…+21</v>
      </c>
      <c r="AC671" s="36" t="str">
        <f>_xlfn.CONCAT(TEXT(P671,"+00;-00;+00;"),"…",TEXT(Q671,"+00;-00;+00;"))</f>
        <v>-02…-23</v>
      </c>
      <c r="AD671" s="39" t="str">
        <f>IF(X671="","?","")</f>
        <v>?</v>
      </c>
      <c r="AE671" s="40" t="str">
        <f>_xlfn.CONCAT(AA671,"…",TEXT(P671,"+00;-00;+00;"),"...",TEXT(Q671,"+00;-00;+00;"))</f>
        <v>122-023…-02...-23</v>
      </c>
      <c r="AF671" s="33" t="str">
        <f>_xlfn.CONCAT(R671,"…",TEXT(P671,"+00;-00;+00;"),"...",TEXT(Q671,"+00;-00;+00;"))</f>
        <v>DLWLD…-02...-23</v>
      </c>
    </row>
    <row r="672" spans="1:32" x14ac:dyDescent="0.25">
      <c r="A672" s="12" t="s">
        <v>1063</v>
      </c>
      <c r="B672" s="13" t="s">
        <v>7</v>
      </c>
      <c r="C672" s="14">
        <v>2</v>
      </c>
      <c r="D672" s="13" t="s">
        <v>1074</v>
      </c>
      <c r="E672" s="13" t="s">
        <v>551</v>
      </c>
      <c r="F672" s="15" t="s">
        <v>29</v>
      </c>
      <c r="G672" s="15" t="s">
        <v>31</v>
      </c>
      <c r="H672" s="15" t="s">
        <v>29</v>
      </c>
      <c r="I672" s="15" t="s">
        <v>30</v>
      </c>
      <c r="J672" s="15" t="s">
        <v>31</v>
      </c>
      <c r="K672" s="15" t="s">
        <v>31</v>
      </c>
      <c r="L672" s="15" t="s">
        <v>30</v>
      </c>
      <c r="M672" s="15" t="s">
        <v>31</v>
      </c>
      <c r="N672" s="15" t="s">
        <v>30</v>
      </c>
      <c r="O672" s="15" t="s">
        <v>31</v>
      </c>
      <c r="P672" s="18">
        <v>-7</v>
      </c>
      <c r="Q672" s="18">
        <v>5</v>
      </c>
      <c r="R672" s="15" t="str">
        <f>_xlfn.CONCAT(F672,G672,H672,I672,J672)</f>
        <v>DLDWL</v>
      </c>
      <c r="S672" s="13" t="str">
        <f>_xlfn.CONCAT(K672,L672,M672,N672,O672)</f>
        <v>LWLWL</v>
      </c>
      <c r="T672" s="13" t="str">
        <f>_xlfn.CONCAT(R672,"***",S672)</f>
        <v>DLDWL***LWLWL</v>
      </c>
      <c r="U672" s="19">
        <f>(P672-Q672)</f>
        <v>-12</v>
      </c>
      <c r="V672" s="14"/>
      <c r="W672" s="14"/>
      <c r="X672" s="20" t="str">
        <f>IF(ISBLANK(V672),"",IF(V672&gt;W672,"1",IF(V672&lt;W672,"2",IF(V672=W672,"X"))))</f>
        <v/>
      </c>
      <c r="Y672" s="23" t="str">
        <f>COUNTIF(F672:J672, "W")&amp;COUNTIF(F672:J672, "d")&amp;COUNTIF(F672:J672, "l")</f>
        <v>122</v>
      </c>
      <c r="Z672" s="13" t="str">
        <f>COUNTIF(K672:O672, "W")&amp;COUNTIF(K672:O672, "d")&amp;COUNTIF(K672:O672, "l")</f>
        <v>203</v>
      </c>
      <c r="AA672" s="23" t="str">
        <f>_xlfn.CONCAT(Y672,"-",Z672)</f>
        <v>122-203</v>
      </c>
      <c r="AB672" s="15" t="str">
        <f>_xlfn.CONCAT(AA672,"…",TEXT(U672,"+00;-00;+00;"))</f>
        <v>122-203…-12</v>
      </c>
      <c r="AC672" s="23" t="str">
        <f>_xlfn.CONCAT(TEXT(P672,"+00;-00;+00;"),"…",TEXT(Q672,"+00;-00;+00;"))</f>
        <v>-07…+05</v>
      </c>
      <c r="AD672" s="14" t="str">
        <f>IF(X672="","?","")</f>
        <v>?</v>
      </c>
      <c r="AE672" s="15" t="str">
        <f>_xlfn.CONCAT(AA672,"…",TEXT(P672,"+00;-00;+00;"),"...",TEXT(Q672,"+00;-00;+00;"))</f>
        <v>122-203…-07...+05</v>
      </c>
      <c r="AF672" s="13" t="str">
        <f>_xlfn.CONCAT(R672,"…",TEXT(P672,"+00;-00;+00;"),"...",TEXT(Q672,"+00;-00;+00;"))</f>
        <v>DLDWL…-07...+05</v>
      </c>
    </row>
    <row r="673" spans="1:32" x14ac:dyDescent="0.25">
      <c r="A673" s="12" t="s">
        <v>1063</v>
      </c>
      <c r="B673" s="13" t="s">
        <v>7</v>
      </c>
      <c r="C673" s="14" t="s">
        <v>8</v>
      </c>
      <c r="D673" s="13" t="s">
        <v>9</v>
      </c>
      <c r="E673" s="13" t="s">
        <v>21</v>
      </c>
      <c r="F673" s="15" t="s">
        <v>30</v>
      </c>
      <c r="G673" s="15" t="s">
        <v>31</v>
      </c>
      <c r="H673" s="15" t="s">
        <v>29</v>
      </c>
      <c r="I673" s="15" t="s">
        <v>29</v>
      </c>
      <c r="J673" s="15" t="s">
        <v>29</v>
      </c>
      <c r="K673" s="15" t="s">
        <v>31</v>
      </c>
      <c r="L673" s="15" t="s">
        <v>31</v>
      </c>
      <c r="M673" s="15" t="s">
        <v>29</v>
      </c>
      <c r="N673" s="15" t="s">
        <v>31</v>
      </c>
      <c r="O673" s="15" t="s">
        <v>31</v>
      </c>
      <c r="P673" s="18">
        <v>20</v>
      </c>
      <c r="Q673" s="18">
        <v>-8</v>
      </c>
      <c r="R673" s="15" t="str">
        <f>_xlfn.CONCAT(F673,G673,H673,I673,J673)</f>
        <v>WLDDD</v>
      </c>
      <c r="S673" s="13" t="str">
        <f>_xlfn.CONCAT(K673,L673,M673,N673,O673)</f>
        <v>LLDLL</v>
      </c>
      <c r="T673" s="13" t="str">
        <f>_xlfn.CONCAT(R673,"***",S673)</f>
        <v>WLDDD***LLDLL</v>
      </c>
      <c r="U673" s="19">
        <f>(P673-Q673)</f>
        <v>28</v>
      </c>
      <c r="V673" s="14"/>
      <c r="W673" s="14"/>
      <c r="X673" s="20" t="str">
        <f>IF(ISBLANK(V673),"",IF(V673&gt;W673,"1",IF(V673&lt;W673,"2",IF(V673=W673,"X"))))</f>
        <v/>
      </c>
      <c r="Y673" s="23" t="str">
        <f>COUNTIF(F673:J673, "W")&amp;COUNTIF(F673:J673, "d")&amp;COUNTIF(F673:J673, "l")</f>
        <v>131</v>
      </c>
      <c r="Z673" s="13" t="str">
        <f>COUNTIF(K673:O673, "W")&amp;COUNTIF(K673:O673, "d")&amp;COUNTIF(K673:O673, "l")</f>
        <v>014</v>
      </c>
      <c r="AA673" s="23" t="str">
        <f>_xlfn.CONCAT(Y673,"-",Z673)</f>
        <v>131-014</v>
      </c>
      <c r="AB673" s="15" t="str">
        <f>_xlfn.CONCAT(AA673,"…",TEXT(U673,"+00;-00;+00;"))</f>
        <v>131-014…+28</v>
      </c>
      <c r="AC673" s="23" t="str">
        <f>_xlfn.CONCAT(TEXT(P673,"+00;-00;+00;"),"…",TEXT(Q673,"+00;-00;+00;"))</f>
        <v>+20…-08</v>
      </c>
      <c r="AD673" s="14" t="str">
        <f>IF(X673="","?","")</f>
        <v>?</v>
      </c>
      <c r="AE673" s="15" t="str">
        <f>_xlfn.CONCAT(AA673,"…",TEXT(P673,"+00;-00;+00;"),"...",TEXT(Q673,"+00;-00;+00;"))</f>
        <v>131-014…+20...-08</v>
      </c>
      <c r="AF673" s="13" t="str">
        <f>_xlfn.CONCAT(R673,"…",TEXT(P673,"+00;-00;+00;"),"...",TEXT(Q673,"+00;-00;+00;"))</f>
        <v>WLDDD…+20...-08</v>
      </c>
    </row>
    <row r="674" spans="1:32" x14ac:dyDescent="0.25">
      <c r="A674" s="27" t="s">
        <v>1063</v>
      </c>
      <c r="B674" s="28" t="s">
        <v>7</v>
      </c>
      <c r="C674" s="29" t="s">
        <v>32</v>
      </c>
      <c r="D674" s="28" t="s">
        <v>874</v>
      </c>
      <c r="E674" s="28" t="s">
        <v>659</v>
      </c>
      <c r="F674" s="30" t="s">
        <v>29</v>
      </c>
      <c r="G674" s="30" t="s">
        <v>30</v>
      </c>
      <c r="H674" s="30" t="s">
        <v>29</v>
      </c>
      <c r="I674" s="30" t="s">
        <v>31</v>
      </c>
      <c r="J674" s="30" t="s">
        <v>29</v>
      </c>
      <c r="K674" s="30" t="s">
        <v>31</v>
      </c>
      <c r="L674" s="30" t="s">
        <v>31</v>
      </c>
      <c r="M674" s="30" t="s">
        <v>31</v>
      </c>
      <c r="N674" s="30" t="s">
        <v>30</v>
      </c>
      <c r="O674" s="30" t="s">
        <v>31</v>
      </c>
      <c r="P674" s="31">
        <v>0</v>
      </c>
      <c r="Q674" s="31">
        <v>-1</v>
      </c>
      <c r="R674" s="32" t="str">
        <f>_xlfn.CONCAT(F674,G674,H674,I674,J674)</f>
        <v>DWDLD</v>
      </c>
      <c r="S674" s="33" t="str">
        <f>_xlfn.CONCAT(K674,L674,M674,N674,O674)</f>
        <v>LLLWL</v>
      </c>
      <c r="T674" s="33" t="str">
        <f>_xlfn.CONCAT(R674,"***",S674)</f>
        <v>DWDLD***LLLWL</v>
      </c>
      <c r="U674" s="34">
        <f>(P674-Q674)</f>
        <v>1</v>
      </c>
      <c r="V674" s="29"/>
      <c r="W674" s="29"/>
      <c r="X674" s="35" t="str">
        <f>IF(ISBLANK(V674),"",IF(V674&gt;W674,"1",IF(V674&lt;W674,"2",IF(V674=W674,"X"))))</f>
        <v/>
      </c>
      <c r="Y674" s="36" t="str">
        <f>COUNTIF(F674:J674, "W")&amp;COUNTIF(F674:J674, "d")&amp;COUNTIF(F674:J674, "l")</f>
        <v>131</v>
      </c>
      <c r="Z674" s="37" t="str">
        <f>COUNTIF(K674:O674, "W")&amp;COUNTIF(K674:O674, "d")&amp;COUNTIF(K674:O674, "l")</f>
        <v>104</v>
      </c>
      <c r="AA674" s="38" t="str">
        <f>_xlfn.CONCAT(Y674,"-",Z674)</f>
        <v>131-104</v>
      </c>
      <c r="AB674" s="30" t="str">
        <f>_xlfn.CONCAT(AA674,"…",TEXT(U674,"+00;-00;+00;"))</f>
        <v>131-104…+01</v>
      </c>
      <c r="AC674" s="36" t="str">
        <f>_xlfn.CONCAT(TEXT(P674,"+00;-00;+00;"),"…",TEXT(Q674,"+00;-00;+00;"))</f>
        <v>+00…-01</v>
      </c>
      <c r="AD674" s="39" t="str">
        <f>IF(X674="","?","")</f>
        <v>?</v>
      </c>
      <c r="AE674" s="40" t="str">
        <f>_xlfn.CONCAT(AA674,"…",TEXT(P674,"+00;-00;+00;"),"...",TEXT(Q674,"+00;-00;+00;"))</f>
        <v>131-104…+00...-01</v>
      </c>
      <c r="AF674" s="33" t="str">
        <f>_xlfn.CONCAT(R674,"…",TEXT(P674,"+00;-00;+00;"),"...",TEXT(Q674,"+00;-00;+00;"))</f>
        <v>DWDLD…+00...-01</v>
      </c>
    </row>
    <row r="675" spans="1:32" x14ac:dyDescent="0.25">
      <c r="A675" s="12" t="s">
        <v>1063</v>
      </c>
      <c r="B675" s="13" t="s">
        <v>7</v>
      </c>
      <c r="C675" s="14">
        <v>2</v>
      </c>
      <c r="D675" s="13" t="s">
        <v>541</v>
      </c>
      <c r="E675" s="13" t="s">
        <v>540</v>
      </c>
      <c r="F675" s="15" t="s">
        <v>30</v>
      </c>
      <c r="G675" s="15" t="s">
        <v>31</v>
      </c>
      <c r="H675" s="15" t="s">
        <v>30</v>
      </c>
      <c r="I675" s="15" t="s">
        <v>31</v>
      </c>
      <c r="J675" s="15" t="s">
        <v>31</v>
      </c>
      <c r="K675" s="15" t="s">
        <v>30</v>
      </c>
      <c r="L675" s="15" t="s">
        <v>30</v>
      </c>
      <c r="M675" s="15" t="s">
        <v>31</v>
      </c>
      <c r="N675" s="15" t="s">
        <v>31</v>
      </c>
      <c r="O675" s="15" t="s">
        <v>31</v>
      </c>
      <c r="P675" s="18">
        <v>-7</v>
      </c>
      <c r="Q675" s="18">
        <v>-3</v>
      </c>
      <c r="R675" s="15" t="str">
        <f>_xlfn.CONCAT(F675,G675,H675,I675,J675)</f>
        <v>WLWLL</v>
      </c>
      <c r="S675" s="13" t="str">
        <f>_xlfn.CONCAT(K675,L675,M675,N675,O675)</f>
        <v>WWLLL</v>
      </c>
      <c r="T675" s="13" t="str">
        <f>_xlfn.CONCAT(R675,"***",S675)</f>
        <v>WLWLL***WWLLL</v>
      </c>
      <c r="U675" s="19">
        <f>(P675-Q675)</f>
        <v>-4</v>
      </c>
      <c r="V675" s="14"/>
      <c r="W675" s="14"/>
      <c r="X675" s="20" t="str">
        <f>IF(ISBLANK(V675),"",IF(V675&gt;W675,"1",IF(V675&lt;W675,"2",IF(V675=W675,"X"))))</f>
        <v/>
      </c>
      <c r="Y675" s="23" t="str">
        <f>COUNTIF(F675:J675, "W")&amp;COUNTIF(F675:J675, "d")&amp;COUNTIF(F675:J675, "l")</f>
        <v>203</v>
      </c>
      <c r="Z675" s="13" t="str">
        <f>COUNTIF(K675:O675, "W")&amp;COUNTIF(K675:O675, "d")&amp;COUNTIF(K675:O675, "l")</f>
        <v>203</v>
      </c>
      <c r="AA675" s="23" t="str">
        <f>_xlfn.CONCAT(Y675,"-",Z675)</f>
        <v>203-203</v>
      </c>
      <c r="AB675" s="15" t="str">
        <f>_xlfn.CONCAT(AA675,"…",TEXT(U675,"+00;-00;+00;"))</f>
        <v>203-203…-04</v>
      </c>
      <c r="AC675" s="23" t="str">
        <f>_xlfn.CONCAT(TEXT(P675,"+00;-00;+00;"),"…",TEXT(Q675,"+00;-00;+00;"))</f>
        <v>-07…-03</v>
      </c>
      <c r="AD675" s="14" t="str">
        <f>IF(X675="","?","")</f>
        <v>?</v>
      </c>
      <c r="AE675" s="15" t="str">
        <f>_xlfn.CONCAT(AA675,"…",TEXT(P675,"+00;-00;+00;"),"...",TEXT(Q675,"+00;-00;+00;"))</f>
        <v>203-203…-07...-03</v>
      </c>
      <c r="AF675" s="13" t="str">
        <f>_xlfn.CONCAT(R675,"…",TEXT(P675,"+00;-00;+00;"),"...",TEXT(Q675,"+00;-00;+00;"))</f>
        <v>WLWLL…-07...-03</v>
      </c>
    </row>
    <row r="676" spans="1:32" x14ac:dyDescent="0.25">
      <c r="A676" s="12" t="s">
        <v>1063</v>
      </c>
      <c r="B676" s="13" t="s">
        <v>7</v>
      </c>
      <c r="C676" s="14" t="s">
        <v>8</v>
      </c>
      <c r="D676" s="13" t="s">
        <v>1067</v>
      </c>
      <c r="E676" s="13" t="s">
        <v>619</v>
      </c>
      <c r="F676" s="15" t="s">
        <v>31</v>
      </c>
      <c r="G676" s="15" t="s">
        <v>31</v>
      </c>
      <c r="H676" s="15" t="s">
        <v>30</v>
      </c>
      <c r="I676" s="15" t="s">
        <v>30</v>
      </c>
      <c r="J676" s="15" t="s">
        <v>31</v>
      </c>
      <c r="K676" s="15" t="s">
        <v>30</v>
      </c>
      <c r="L676" s="15" t="s">
        <v>30</v>
      </c>
      <c r="M676" s="15" t="s">
        <v>31</v>
      </c>
      <c r="N676" s="15" t="s">
        <v>30</v>
      </c>
      <c r="O676" s="15" t="s">
        <v>31</v>
      </c>
      <c r="P676" s="18">
        <v>12</v>
      </c>
      <c r="Q676" s="18">
        <v>0</v>
      </c>
      <c r="R676" s="15" t="str">
        <f>_xlfn.CONCAT(F676,G676,H676,I676,J676)</f>
        <v>LLWWL</v>
      </c>
      <c r="S676" s="13" t="str">
        <f>_xlfn.CONCAT(K676,L676,M676,N676,O676)</f>
        <v>WWLWL</v>
      </c>
      <c r="T676" s="13" t="str">
        <f>_xlfn.CONCAT(R676,"***",S676)</f>
        <v>LLWWL***WWLWL</v>
      </c>
      <c r="U676" s="19">
        <f>(P676-Q676)</f>
        <v>12</v>
      </c>
      <c r="V676" s="14"/>
      <c r="W676" s="14"/>
      <c r="X676" s="20" t="str">
        <f>IF(ISBLANK(V676),"",IF(V676&gt;W676,"1",IF(V676&lt;W676,"2",IF(V676=W676,"X"))))</f>
        <v/>
      </c>
      <c r="Y676" s="23" t="str">
        <f>COUNTIF(F676:J676, "W")&amp;COUNTIF(F676:J676, "d")&amp;COUNTIF(F676:J676, "l")</f>
        <v>203</v>
      </c>
      <c r="Z676" s="13" t="str">
        <f>COUNTIF(K676:O676, "W")&amp;COUNTIF(K676:O676, "d")&amp;COUNTIF(K676:O676, "l")</f>
        <v>302</v>
      </c>
      <c r="AA676" s="23" t="str">
        <f>_xlfn.CONCAT(Y676,"-",Z676)</f>
        <v>203-302</v>
      </c>
      <c r="AB676" s="15" t="str">
        <f>_xlfn.CONCAT(AA676,"…",TEXT(U676,"+00;-00;+00;"))</f>
        <v>203-302…+12</v>
      </c>
      <c r="AC676" s="23" t="str">
        <f>_xlfn.CONCAT(TEXT(P676,"+00;-00;+00;"),"…",TEXT(Q676,"+00;-00;+00;"))</f>
        <v>+12…+00</v>
      </c>
      <c r="AD676" s="14" t="str">
        <f>IF(X676="","?","")</f>
        <v>?</v>
      </c>
      <c r="AE676" s="15" t="str">
        <f>_xlfn.CONCAT(AA676,"…",TEXT(P676,"+00;-00;+00;"),"...",TEXT(Q676,"+00;-00;+00;"))</f>
        <v>203-302…+12...+00</v>
      </c>
      <c r="AF676" s="13" t="str">
        <f>_xlfn.CONCAT(R676,"…",TEXT(P676,"+00;-00;+00;"),"...",TEXT(Q676,"+00;-00;+00;"))</f>
        <v>LLWWL…+12...+00</v>
      </c>
    </row>
    <row r="677" spans="1:32" x14ac:dyDescent="0.25">
      <c r="A677" s="12" t="s">
        <v>1063</v>
      </c>
      <c r="B677" s="13" t="s">
        <v>7</v>
      </c>
      <c r="C677" s="14">
        <v>2</v>
      </c>
      <c r="D677" s="13" t="s">
        <v>1072</v>
      </c>
      <c r="E677" s="13" t="s">
        <v>1073</v>
      </c>
      <c r="F677" s="15" t="s">
        <v>29</v>
      </c>
      <c r="G677" s="15" t="s">
        <v>30</v>
      </c>
      <c r="H677" s="15" t="s">
        <v>31</v>
      </c>
      <c r="I677" s="15" t="s">
        <v>31</v>
      </c>
      <c r="J677" s="15" t="s">
        <v>30</v>
      </c>
      <c r="K677" s="15" t="s">
        <v>29</v>
      </c>
      <c r="L677" s="15" t="s">
        <v>31</v>
      </c>
      <c r="M677" s="15" t="s">
        <v>31</v>
      </c>
      <c r="N677" s="15" t="s">
        <v>31</v>
      </c>
      <c r="O677" s="15" t="s">
        <v>31</v>
      </c>
      <c r="P677" s="18">
        <v>-6</v>
      </c>
      <c r="Q677" s="18">
        <v>-2</v>
      </c>
      <c r="R677" s="15" t="str">
        <f>_xlfn.CONCAT(F677,G677,H677,I677,J677)</f>
        <v>DWLLW</v>
      </c>
      <c r="S677" s="13" t="str">
        <f>_xlfn.CONCAT(K677,L677,M677,N677,O677)</f>
        <v>DLLLL</v>
      </c>
      <c r="T677" s="13" t="str">
        <f>_xlfn.CONCAT(R677,"***",S677)</f>
        <v>DWLLW***DLLLL</v>
      </c>
      <c r="U677" s="19">
        <f>(P677-Q677)</f>
        <v>-4</v>
      </c>
      <c r="V677" s="14"/>
      <c r="W677" s="14"/>
      <c r="X677" s="20" t="str">
        <f>IF(ISBLANK(V677),"",IF(V677&gt;W677,"1",IF(V677&lt;W677,"2",IF(V677=W677,"X"))))</f>
        <v/>
      </c>
      <c r="Y677" s="23" t="str">
        <f>COUNTIF(F677:J677, "W")&amp;COUNTIF(F677:J677, "d")&amp;COUNTIF(F677:J677, "l")</f>
        <v>212</v>
      </c>
      <c r="Z677" s="13" t="str">
        <f>COUNTIF(K677:O677, "W")&amp;COUNTIF(K677:O677, "d")&amp;COUNTIF(K677:O677, "l")</f>
        <v>014</v>
      </c>
      <c r="AA677" s="23" t="str">
        <f>_xlfn.CONCAT(Y677,"-",Z677)</f>
        <v>212-014</v>
      </c>
      <c r="AB677" s="15" t="str">
        <f>_xlfn.CONCAT(AA677,"…",TEXT(U677,"+00;-00;+00;"))</f>
        <v>212-014…-04</v>
      </c>
      <c r="AC677" s="23" t="str">
        <f>_xlfn.CONCAT(TEXT(P677,"+00;-00;+00;"),"…",TEXT(Q677,"+00;-00;+00;"))</f>
        <v>-06…-02</v>
      </c>
      <c r="AD677" s="14" t="str">
        <f>IF(X677="","?","")</f>
        <v>?</v>
      </c>
      <c r="AE677" s="15" t="str">
        <f>_xlfn.CONCAT(AA677,"…",TEXT(P677,"+00;-00;+00;"),"...",TEXT(Q677,"+00;-00;+00;"))</f>
        <v>212-014…-06...-02</v>
      </c>
      <c r="AF677" s="13" t="str">
        <f>_xlfn.CONCAT(R677,"…",TEXT(P677,"+00;-00;+00;"),"...",TEXT(Q677,"+00;-00;+00;"))</f>
        <v>DWLLW…-06...-02</v>
      </c>
    </row>
    <row r="678" spans="1:32" x14ac:dyDescent="0.25">
      <c r="A678" s="27" t="s">
        <v>1063</v>
      </c>
      <c r="B678" s="28" t="s">
        <v>7</v>
      </c>
      <c r="C678" s="29" t="s">
        <v>32</v>
      </c>
      <c r="D678" s="28" t="s">
        <v>56</v>
      </c>
      <c r="E678" s="28" t="s">
        <v>489</v>
      </c>
      <c r="F678" s="30" t="s">
        <v>30</v>
      </c>
      <c r="G678" s="30" t="s">
        <v>31</v>
      </c>
      <c r="H678" s="30" t="s">
        <v>31</v>
      </c>
      <c r="I678" s="30" t="s">
        <v>30</v>
      </c>
      <c r="J678" s="30" t="s">
        <v>29</v>
      </c>
      <c r="K678" s="30" t="s">
        <v>31</v>
      </c>
      <c r="L678" s="30" t="s">
        <v>30</v>
      </c>
      <c r="M678" s="30" t="s">
        <v>31</v>
      </c>
      <c r="N678" s="30" t="s">
        <v>31</v>
      </c>
      <c r="O678" s="30" t="s">
        <v>30</v>
      </c>
      <c r="P678" s="31">
        <v>4</v>
      </c>
      <c r="Q678" s="31">
        <v>4</v>
      </c>
      <c r="R678" s="32" t="str">
        <f>_xlfn.CONCAT(F678,G678,H678,I678,J678)</f>
        <v>WLLWD</v>
      </c>
      <c r="S678" s="33" t="str">
        <f>_xlfn.CONCAT(K678,L678,M678,N678,O678)</f>
        <v>LWLLW</v>
      </c>
      <c r="T678" s="33" t="str">
        <f>_xlfn.CONCAT(R678,"***",S678)</f>
        <v>WLLWD***LWLLW</v>
      </c>
      <c r="U678" s="34">
        <f>(P678-Q678)</f>
        <v>0</v>
      </c>
      <c r="V678" s="29"/>
      <c r="W678" s="29"/>
      <c r="X678" s="35" t="str">
        <f>IF(ISBLANK(V678),"",IF(V678&gt;W678,"1",IF(V678&lt;W678,"2",IF(V678=W678,"X"))))</f>
        <v/>
      </c>
      <c r="Y678" s="36" t="str">
        <f>COUNTIF(F678:J678, "W")&amp;COUNTIF(F678:J678, "d")&amp;COUNTIF(F678:J678, "l")</f>
        <v>212</v>
      </c>
      <c r="Z678" s="37" t="str">
        <f>COUNTIF(K678:O678, "W")&amp;COUNTIF(K678:O678, "d")&amp;COUNTIF(K678:O678, "l")</f>
        <v>203</v>
      </c>
      <c r="AA678" s="38" t="str">
        <f>_xlfn.CONCAT(Y678,"-",Z678)</f>
        <v>212-203</v>
      </c>
      <c r="AB678" s="30" t="str">
        <f>_xlfn.CONCAT(AA678,"…",TEXT(U678,"+00;-00;+00;"))</f>
        <v>212-203…+00</v>
      </c>
      <c r="AC678" s="36" t="str">
        <f>_xlfn.CONCAT(TEXT(P678,"+00;-00;+00;"),"…",TEXT(Q678,"+00;-00;+00;"))</f>
        <v>+04…+04</v>
      </c>
      <c r="AD678" s="39" t="str">
        <f>IF(X678="","?","")</f>
        <v>?</v>
      </c>
      <c r="AE678" s="40" t="str">
        <f>_xlfn.CONCAT(AA678,"…",TEXT(P678,"+00;-00;+00;"),"...",TEXT(Q678,"+00;-00;+00;"))</f>
        <v>212-203…+04...+04</v>
      </c>
      <c r="AF678" s="33" t="str">
        <f>_xlfn.CONCAT(R678,"…",TEXT(P678,"+00;-00;+00;"),"...",TEXT(Q678,"+00;-00;+00;"))</f>
        <v>WLLWD…+04...+04</v>
      </c>
    </row>
    <row r="679" spans="1:32" x14ac:dyDescent="0.25">
      <c r="A679" s="12" t="s">
        <v>1063</v>
      </c>
      <c r="B679" s="13" t="s">
        <v>7</v>
      </c>
      <c r="C679" s="14">
        <v>2</v>
      </c>
      <c r="D679" s="13" t="s">
        <v>550</v>
      </c>
      <c r="E679" s="13" t="s">
        <v>548</v>
      </c>
      <c r="F679" s="15" t="s">
        <v>31</v>
      </c>
      <c r="G679" s="15" t="s">
        <v>30</v>
      </c>
      <c r="H679" s="15" t="s">
        <v>30</v>
      </c>
      <c r="I679" s="15" t="s">
        <v>31</v>
      </c>
      <c r="J679" s="15" t="s">
        <v>29</v>
      </c>
      <c r="K679" s="15" t="s">
        <v>30</v>
      </c>
      <c r="L679" s="15" t="s">
        <v>29</v>
      </c>
      <c r="M679" s="15" t="s">
        <v>29</v>
      </c>
      <c r="N679" s="15" t="s">
        <v>29</v>
      </c>
      <c r="O679" s="15" t="s">
        <v>30</v>
      </c>
      <c r="P679" s="18">
        <v>-7</v>
      </c>
      <c r="Q679" s="18">
        <v>-4</v>
      </c>
      <c r="R679" s="15" t="str">
        <f>_xlfn.CONCAT(F679,G679,H679,I679,J679)</f>
        <v>LWWLD</v>
      </c>
      <c r="S679" s="13" t="str">
        <f>_xlfn.CONCAT(K679,L679,M679,N679,O679)</f>
        <v>WDDDW</v>
      </c>
      <c r="T679" s="13" t="str">
        <f>_xlfn.CONCAT(R679,"***",S679)</f>
        <v>LWWLD***WDDDW</v>
      </c>
      <c r="U679" s="19">
        <f>(P679-Q679)</f>
        <v>-3</v>
      </c>
      <c r="V679" s="14"/>
      <c r="W679" s="14"/>
      <c r="X679" s="20" t="str">
        <f>IF(ISBLANK(V679),"",IF(V679&gt;W679,"1",IF(V679&lt;W679,"2",IF(V679=W679,"X"))))</f>
        <v/>
      </c>
      <c r="Y679" s="23" t="str">
        <f>COUNTIF(F679:J679, "W")&amp;COUNTIF(F679:J679, "d")&amp;COUNTIF(F679:J679, "l")</f>
        <v>212</v>
      </c>
      <c r="Z679" s="13" t="str">
        <f>COUNTIF(K679:O679, "W")&amp;COUNTIF(K679:O679, "d")&amp;COUNTIF(K679:O679, "l")</f>
        <v>230</v>
      </c>
      <c r="AA679" s="23" t="str">
        <f>_xlfn.CONCAT(Y679,"-",Z679)</f>
        <v>212-230</v>
      </c>
      <c r="AB679" s="15" t="str">
        <f>_xlfn.CONCAT(AA679,"…",TEXT(U679,"+00;-00;+00;"))</f>
        <v>212-230…-03</v>
      </c>
      <c r="AC679" s="23" t="str">
        <f>_xlfn.CONCAT(TEXT(P679,"+00;-00;+00;"),"…",TEXT(Q679,"+00;-00;+00;"))</f>
        <v>-07…-04</v>
      </c>
      <c r="AD679" s="14" t="str">
        <f>IF(X679="","?","")</f>
        <v>?</v>
      </c>
      <c r="AE679" s="15" t="str">
        <f>_xlfn.CONCAT(AA679,"…",TEXT(P679,"+00;-00;+00;"),"...",TEXT(Q679,"+00;-00;+00;"))</f>
        <v>212-230…-07...-04</v>
      </c>
      <c r="AF679" s="13" t="str">
        <f>_xlfn.CONCAT(R679,"…",TEXT(P679,"+00;-00;+00;"),"...",TEXT(Q679,"+00;-00;+00;"))</f>
        <v>LWWLD…-07...-04</v>
      </c>
    </row>
    <row r="680" spans="1:32" x14ac:dyDescent="0.25">
      <c r="A680" s="27" t="s">
        <v>1063</v>
      </c>
      <c r="B680" s="28" t="s">
        <v>7</v>
      </c>
      <c r="C680" s="29" t="s">
        <v>32</v>
      </c>
      <c r="D680" s="28" t="s">
        <v>38</v>
      </c>
      <c r="E680" s="28" t="s">
        <v>48</v>
      </c>
      <c r="F680" s="30" t="s">
        <v>31</v>
      </c>
      <c r="G680" s="30" t="s">
        <v>30</v>
      </c>
      <c r="H680" s="30" t="s">
        <v>30</v>
      </c>
      <c r="I680" s="30" t="s">
        <v>29</v>
      </c>
      <c r="J680" s="30" t="s">
        <v>31</v>
      </c>
      <c r="K680" s="30" t="s">
        <v>29</v>
      </c>
      <c r="L680" s="30" t="s">
        <v>30</v>
      </c>
      <c r="M680" s="30" t="s">
        <v>30</v>
      </c>
      <c r="N680" s="30" t="s">
        <v>30</v>
      </c>
      <c r="O680" s="30" t="s">
        <v>31</v>
      </c>
      <c r="P680" s="31">
        <v>-20</v>
      </c>
      <c r="Q680" s="31">
        <v>-11</v>
      </c>
      <c r="R680" s="32" t="str">
        <f>_xlfn.CONCAT(F680,G680,H680,I680,J680)</f>
        <v>LWWDL</v>
      </c>
      <c r="S680" s="33" t="str">
        <f>_xlfn.CONCAT(K680,L680,M680,N680,O680)</f>
        <v>DWWWL</v>
      </c>
      <c r="T680" s="33" t="str">
        <f>_xlfn.CONCAT(R680,"***",S680)</f>
        <v>LWWDL***DWWWL</v>
      </c>
      <c r="U680" s="34">
        <f>(P680-Q680)</f>
        <v>-9</v>
      </c>
      <c r="V680" s="29"/>
      <c r="W680" s="29"/>
      <c r="X680" s="35" t="str">
        <f>IF(ISBLANK(V680),"",IF(V680&gt;W680,"1",IF(V680&lt;W680,"2",IF(V680=W680,"X"))))</f>
        <v/>
      </c>
      <c r="Y680" s="36" t="str">
        <f>COUNTIF(F680:J680, "W")&amp;COUNTIF(F680:J680, "d")&amp;COUNTIF(F680:J680, "l")</f>
        <v>212</v>
      </c>
      <c r="Z680" s="37" t="str">
        <f>COUNTIF(K680:O680, "W")&amp;COUNTIF(K680:O680, "d")&amp;COUNTIF(K680:O680, "l")</f>
        <v>311</v>
      </c>
      <c r="AA680" s="38" t="str">
        <f>_xlfn.CONCAT(Y680,"-",Z680)</f>
        <v>212-311</v>
      </c>
      <c r="AB680" s="30" t="str">
        <f>_xlfn.CONCAT(AA680,"…",TEXT(U680,"+00;-00;+00;"))</f>
        <v>212-311…-09</v>
      </c>
      <c r="AC680" s="36" t="str">
        <f>_xlfn.CONCAT(TEXT(P680,"+00;-00;+00;"),"…",TEXT(Q680,"+00;-00;+00;"))</f>
        <v>-20…-11</v>
      </c>
      <c r="AD680" s="39" t="str">
        <f>IF(X680="","?","")</f>
        <v>?</v>
      </c>
      <c r="AE680" s="40" t="str">
        <f>_xlfn.CONCAT(AA680,"…",TEXT(P680,"+00;-00;+00;"),"...",TEXT(Q680,"+00;-00;+00;"))</f>
        <v>212-311…-20...-11</v>
      </c>
      <c r="AF680" s="33" t="str">
        <f>_xlfn.CONCAT(R680,"…",TEXT(P680,"+00;-00;+00;"),"...",TEXT(Q680,"+00;-00;+00;"))</f>
        <v>LWWDL…-20...-11</v>
      </c>
    </row>
    <row r="681" spans="1:32" x14ac:dyDescent="0.25">
      <c r="A681" s="12" t="s">
        <v>1063</v>
      </c>
      <c r="B681" s="13" t="s">
        <v>7</v>
      </c>
      <c r="C681" s="14">
        <v>2</v>
      </c>
      <c r="D681" s="13" t="s">
        <v>534</v>
      </c>
      <c r="E681" s="13" t="s">
        <v>535</v>
      </c>
      <c r="F681" s="15" t="s">
        <v>31</v>
      </c>
      <c r="G681" s="15" t="s">
        <v>30</v>
      </c>
      <c r="H681" s="15" t="s">
        <v>30</v>
      </c>
      <c r="I681" s="15" t="s">
        <v>29</v>
      </c>
      <c r="J681" s="15" t="s">
        <v>31</v>
      </c>
      <c r="K681" s="15" t="s">
        <v>30</v>
      </c>
      <c r="L681" s="15" t="s">
        <v>30</v>
      </c>
      <c r="M681" s="15" t="s">
        <v>30</v>
      </c>
      <c r="N681" s="15" t="s">
        <v>30</v>
      </c>
      <c r="O681" s="15" t="s">
        <v>30</v>
      </c>
      <c r="P681" s="18">
        <v>3</v>
      </c>
      <c r="Q681" s="18">
        <v>11</v>
      </c>
      <c r="R681" s="15" t="str">
        <f>_xlfn.CONCAT(F681,G681,H681,I681,J681)</f>
        <v>LWWDL</v>
      </c>
      <c r="S681" s="13" t="str">
        <f>_xlfn.CONCAT(K681,L681,M681,N681,O681)</f>
        <v>WWWWW</v>
      </c>
      <c r="T681" s="13" t="str">
        <f>_xlfn.CONCAT(R681,"***",S681)</f>
        <v>LWWDL***WWWWW</v>
      </c>
      <c r="U681" s="19">
        <f>(P681-Q681)</f>
        <v>-8</v>
      </c>
      <c r="V681" s="14"/>
      <c r="W681" s="14"/>
      <c r="X681" s="20" t="str">
        <f>IF(ISBLANK(V681),"",IF(V681&gt;W681,"1",IF(V681&lt;W681,"2",IF(V681=W681,"X"))))</f>
        <v/>
      </c>
      <c r="Y681" s="23" t="str">
        <f>COUNTIF(F681:J681, "W")&amp;COUNTIF(F681:J681, "d")&amp;COUNTIF(F681:J681, "l")</f>
        <v>212</v>
      </c>
      <c r="Z681" s="13" t="str">
        <f>COUNTIF(K681:O681, "W")&amp;COUNTIF(K681:O681, "d")&amp;COUNTIF(K681:O681, "l")</f>
        <v>500</v>
      </c>
      <c r="AA681" s="23" t="str">
        <f>_xlfn.CONCAT(Y681,"-",Z681)</f>
        <v>212-500</v>
      </c>
      <c r="AB681" s="15" t="str">
        <f>_xlfn.CONCAT(AA681,"…",TEXT(U681,"+00;-00;+00;"))</f>
        <v>212-500…-08</v>
      </c>
      <c r="AC681" s="23" t="str">
        <f>_xlfn.CONCAT(TEXT(P681,"+00;-00;+00;"),"…",TEXT(Q681,"+00;-00;+00;"))</f>
        <v>+03…+11</v>
      </c>
      <c r="AD681" s="14" t="str">
        <f>IF(X681="","?","")</f>
        <v>?</v>
      </c>
      <c r="AE681" s="15" t="str">
        <f>_xlfn.CONCAT(AA681,"…",TEXT(P681,"+00;-00;+00;"),"...",TEXT(Q681,"+00;-00;+00;"))</f>
        <v>212-500…+03...+11</v>
      </c>
      <c r="AF681" s="13" t="str">
        <f>_xlfn.CONCAT(R681,"…",TEXT(P681,"+00;-00;+00;"),"...",TEXT(Q681,"+00;-00;+00;"))</f>
        <v>LWWDL…+03...+11</v>
      </c>
    </row>
    <row r="682" spans="1:32" x14ac:dyDescent="0.25">
      <c r="A682" s="12" t="s">
        <v>1063</v>
      </c>
      <c r="B682" s="13" t="s">
        <v>7</v>
      </c>
      <c r="C682" s="14">
        <v>1</v>
      </c>
      <c r="D682" s="13" t="s">
        <v>520</v>
      </c>
      <c r="E682" s="13" t="s">
        <v>514</v>
      </c>
      <c r="F682" s="15" t="s">
        <v>29</v>
      </c>
      <c r="G682" s="15" t="s">
        <v>31</v>
      </c>
      <c r="H682" s="15" t="s">
        <v>30</v>
      </c>
      <c r="I682" s="15" t="s">
        <v>29</v>
      </c>
      <c r="J682" s="15" t="s">
        <v>30</v>
      </c>
      <c r="K682" s="15" t="s">
        <v>31</v>
      </c>
      <c r="L682" s="15" t="s">
        <v>29</v>
      </c>
      <c r="M682" s="15" t="s">
        <v>29</v>
      </c>
      <c r="N682" s="15" t="s">
        <v>31</v>
      </c>
      <c r="O682" s="15" t="s">
        <v>31</v>
      </c>
      <c r="P682" s="18">
        <v>-17</v>
      </c>
      <c r="Q682" s="18">
        <v>-9</v>
      </c>
      <c r="R682" s="15" t="str">
        <f>_xlfn.CONCAT(F682,G682,H682,I682,J682)</f>
        <v>DLWDW</v>
      </c>
      <c r="S682" s="13" t="str">
        <f>_xlfn.CONCAT(K682,L682,M682,N682,O682)</f>
        <v>LDDLL</v>
      </c>
      <c r="T682" s="13" t="str">
        <f>_xlfn.CONCAT(R682,"***",S682)</f>
        <v>DLWDW***LDDLL</v>
      </c>
      <c r="U682" s="19">
        <f>(P682-Q682)</f>
        <v>-8</v>
      </c>
      <c r="V682" s="14"/>
      <c r="W682" s="14"/>
      <c r="X682" s="20" t="str">
        <f>IF(ISBLANK(V682),"",IF(V682&gt;W682,"1",IF(V682&lt;W682,"2",IF(V682=W682,"X"))))</f>
        <v/>
      </c>
      <c r="Y682" s="23" t="str">
        <f>COUNTIF(F682:J682, "W")&amp;COUNTIF(F682:J682, "d")&amp;COUNTIF(F682:J682, "l")</f>
        <v>221</v>
      </c>
      <c r="Z682" s="13" t="str">
        <f>COUNTIF(K682:O682, "W")&amp;COUNTIF(K682:O682, "d")&amp;COUNTIF(K682:O682, "l")</f>
        <v>023</v>
      </c>
      <c r="AA682" s="23" t="str">
        <f>_xlfn.CONCAT(Y682,"-",Z682)</f>
        <v>221-023</v>
      </c>
      <c r="AB682" s="15" t="str">
        <f>_xlfn.CONCAT(AA682,"…",TEXT(U682,"+00;-00;+00;"))</f>
        <v>221-023…-08</v>
      </c>
      <c r="AC682" s="23" t="str">
        <f>_xlfn.CONCAT(TEXT(P682,"+00;-00;+00;"),"…",TEXT(Q682,"+00;-00;+00;"))</f>
        <v>-17…-09</v>
      </c>
      <c r="AD682" s="14" t="str">
        <f>IF(X682="","?","")</f>
        <v>?</v>
      </c>
      <c r="AE682" s="15" t="str">
        <f>_xlfn.CONCAT(AA682,"…",TEXT(P682,"+00;-00;+00;"),"...",TEXT(Q682,"+00;-00;+00;"))</f>
        <v>221-023…-17...-09</v>
      </c>
      <c r="AF682" s="13" t="str">
        <f>_xlfn.CONCAT(R682,"…",TEXT(P682,"+00;-00;+00;"),"...",TEXT(Q682,"+00;-00;+00;"))</f>
        <v>DLWDW…-17...-09</v>
      </c>
    </row>
    <row r="683" spans="1:32" x14ac:dyDescent="0.25">
      <c r="A683" s="12" t="s">
        <v>1063</v>
      </c>
      <c r="B683" s="13" t="s">
        <v>7</v>
      </c>
      <c r="C683" s="14">
        <v>2</v>
      </c>
      <c r="D683" s="13" t="s">
        <v>1075</v>
      </c>
      <c r="E683" s="13" t="s">
        <v>555</v>
      </c>
      <c r="F683" s="15" t="s">
        <v>29</v>
      </c>
      <c r="G683" s="15" t="s">
        <v>29</v>
      </c>
      <c r="H683" s="15" t="s">
        <v>31</v>
      </c>
      <c r="I683" s="15" t="s">
        <v>30</v>
      </c>
      <c r="J683" s="15" t="s">
        <v>30</v>
      </c>
      <c r="K683" s="15" t="s">
        <v>29</v>
      </c>
      <c r="L683" s="15" t="s">
        <v>29</v>
      </c>
      <c r="M683" s="15" t="s">
        <v>29</v>
      </c>
      <c r="N683" s="15" t="s">
        <v>29</v>
      </c>
      <c r="O683" s="15" t="s">
        <v>30</v>
      </c>
      <c r="P683" s="18">
        <v>20</v>
      </c>
      <c r="Q683" s="18">
        <v>-14</v>
      </c>
      <c r="R683" s="15" t="str">
        <f>_xlfn.CONCAT(F683,G683,H683,I683,J683)</f>
        <v>DDLWW</v>
      </c>
      <c r="S683" s="13" t="str">
        <f>_xlfn.CONCAT(K683,L683,M683,N683,O683)</f>
        <v>DDDDW</v>
      </c>
      <c r="T683" s="13" t="str">
        <f>_xlfn.CONCAT(R683,"***",S683)</f>
        <v>DDLWW***DDDDW</v>
      </c>
      <c r="U683" s="19">
        <f>(P683-Q683)</f>
        <v>34</v>
      </c>
      <c r="V683" s="14"/>
      <c r="W683" s="14"/>
      <c r="X683" s="20" t="str">
        <f>IF(ISBLANK(V683),"",IF(V683&gt;W683,"1",IF(V683&lt;W683,"2",IF(V683=W683,"X"))))</f>
        <v/>
      </c>
      <c r="Y683" s="23" t="str">
        <f>COUNTIF(F683:J683, "W")&amp;COUNTIF(F683:J683, "d")&amp;COUNTIF(F683:J683, "l")</f>
        <v>221</v>
      </c>
      <c r="Z683" s="13" t="str">
        <f>COUNTIF(K683:O683, "W")&amp;COUNTIF(K683:O683, "d")&amp;COUNTIF(K683:O683, "l")</f>
        <v>140</v>
      </c>
      <c r="AA683" s="23" t="str">
        <f>_xlfn.CONCAT(Y683,"-",Z683)</f>
        <v>221-140</v>
      </c>
      <c r="AB683" s="15" t="str">
        <f>_xlfn.CONCAT(AA683,"…",TEXT(U683,"+00;-00;+00;"))</f>
        <v>221-140…+34</v>
      </c>
      <c r="AC683" s="23" t="str">
        <f>_xlfn.CONCAT(TEXT(P683,"+00;-00;+00;"),"…",TEXT(Q683,"+00;-00;+00;"))</f>
        <v>+20…-14</v>
      </c>
      <c r="AD683" s="14" t="str">
        <f>IF(X683="","?","")</f>
        <v>?</v>
      </c>
      <c r="AE683" s="15" t="str">
        <f>_xlfn.CONCAT(AA683,"…",TEXT(P683,"+00;-00;+00;"),"...",TEXT(Q683,"+00;-00;+00;"))</f>
        <v>221-140…+20...-14</v>
      </c>
      <c r="AF683" s="13" t="str">
        <f>_xlfn.CONCAT(R683,"…",TEXT(P683,"+00;-00;+00;"),"...",TEXT(Q683,"+00;-00;+00;"))</f>
        <v>DDLWW…+20...-14</v>
      </c>
    </row>
    <row r="684" spans="1:32" x14ac:dyDescent="0.25">
      <c r="A684" s="12" t="s">
        <v>1063</v>
      </c>
      <c r="B684" s="13" t="s">
        <v>7</v>
      </c>
      <c r="C684" s="14">
        <v>1</v>
      </c>
      <c r="D684" s="13" t="s">
        <v>518</v>
      </c>
      <c r="E684" s="13" t="s">
        <v>531</v>
      </c>
      <c r="F684" s="15" t="s">
        <v>29</v>
      </c>
      <c r="G684" s="15" t="s">
        <v>30</v>
      </c>
      <c r="H684" s="15" t="s">
        <v>29</v>
      </c>
      <c r="I684" s="15" t="s">
        <v>30</v>
      </c>
      <c r="J684" s="15" t="s">
        <v>31</v>
      </c>
      <c r="K684" s="15" t="s">
        <v>29</v>
      </c>
      <c r="L684" s="15" t="s">
        <v>31</v>
      </c>
      <c r="M684" s="15" t="s">
        <v>30</v>
      </c>
      <c r="N684" s="15" t="s">
        <v>30</v>
      </c>
      <c r="O684" s="15" t="s">
        <v>31</v>
      </c>
      <c r="P684" s="18">
        <v>6</v>
      </c>
      <c r="Q684" s="18">
        <v>-10</v>
      </c>
      <c r="R684" s="15" t="str">
        <f>_xlfn.CONCAT(F684,G684,H684,I684,J684)</f>
        <v>DWDWL</v>
      </c>
      <c r="S684" s="13" t="str">
        <f>_xlfn.CONCAT(K684,L684,M684,N684,O684)</f>
        <v>DLWWL</v>
      </c>
      <c r="T684" s="13" t="str">
        <f>_xlfn.CONCAT(R684,"***",S684)</f>
        <v>DWDWL***DLWWL</v>
      </c>
      <c r="U684" s="19">
        <f>(P684-Q684)</f>
        <v>16</v>
      </c>
      <c r="V684" s="14"/>
      <c r="W684" s="14"/>
      <c r="X684" s="20" t="str">
        <f>IF(ISBLANK(V684),"",IF(V684&gt;W684,"1",IF(V684&lt;W684,"2",IF(V684=W684,"X"))))</f>
        <v/>
      </c>
      <c r="Y684" s="23" t="str">
        <f>COUNTIF(F684:J684, "W")&amp;COUNTIF(F684:J684, "d")&amp;COUNTIF(F684:J684, "l")</f>
        <v>221</v>
      </c>
      <c r="Z684" s="13" t="str">
        <f>COUNTIF(K684:O684, "W")&amp;COUNTIF(K684:O684, "d")&amp;COUNTIF(K684:O684, "l")</f>
        <v>212</v>
      </c>
      <c r="AA684" s="23" t="str">
        <f>_xlfn.CONCAT(Y684,"-",Z684)</f>
        <v>221-212</v>
      </c>
      <c r="AB684" s="15" t="str">
        <f>_xlfn.CONCAT(AA684,"…",TEXT(U684,"+00;-00;+00;"))</f>
        <v>221-212…+16</v>
      </c>
      <c r="AC684" s="23" t="str">
        <f>_xlfn.CONCAT(TEXT(P684,"+00;-00;+00;"),"…",TEXT(Q684,"+00;-00;+00;"))</f>
        <v>+06…-10</v>
      </c>
      <c r="AD684" s="14" t="str">
        <f>IF(X684="","?","")</f>
        <v>?</v>
      </c>
      <c r="AE684" s="15" t="str">
        <f>_xlfn.CONCAT(AA684,"…",TEXT(P684,"+00;-00;+00;"),"...",TEXT(Q684,"+00;-00;+00;"))</f>
        <v>221-212…+06...-10</v>
      </c>
      <c r="AF684" s="13" t="str">
        <f>_xlfn.CONCAT(R684,"…",TEXT(P684,"+00;-00;+00;"),"...",TEXT(Q684,"+00;-00;+00;"))</f>
        <v>DWDWL…+06...-10</v>
      </c>
    </row>
    <row r="685" spans="1:32" x14ac:dyDescent="0.25">
      <c r="A685" s="12" t="s">
        <v>1063</v>
      </c>
      <c r="B685" s="13" t="s">
        <v>7</v>
      </c>
      <c r="C685" s="14">
        <v>1</v>
      </c>
      <c r="D685" s="13" t="s">
        <v>509</v>
      </c>
      <c r="E685" s="13" t="s">
        <v>519</v>
      </c>
      <c r="F685" s="15" t="s">
        <v>30</v>
      </c>
      <c r="G685" s="15" t="s">
        <v>30</v>
      </c>
      <c r="H685" s="15" t="s">
        <v>29</v>
      </c>
      <c r="I685" s="15" t="s">
        <v>31</v>
      </c>
      <c r="J685" s="15" t="s">
        <v>29</v>
      </c>
      <c r="K685" s="15" t="s">
        <v>29</v>
      </c>
      <c r="L685" s="15" t="s">
        <v>30</v>
      </c>
      <c r="M685" s="15" t="s">
        <v>29</v>
      </c>
      <c r="N685" s="15" t="s">
        <v>29</v>
      </c>
      <c r="O685" s="15" t="s">
        <v>30</v>
      </c>
      <c r="P685" s="18">
        <v>16</v>
      </c>
      <c r="Q685" s="18">
        <v>5</v>
      </c>
      <c r="R685" s="15" t="str">
        <f>_xlfn.CONCAT(F685,G685,H685,I685,J685)</f>
        <v>WWDLD</v>
      </c>
      <c r="S685" s="13" t="str">
        <f>_xlfn.CONCAT(K685,L685,M685,N685,O685)</f>
        <v>DWDDW</v>
      </c>
      <c r="T685" s="13" t="str">
        <f>_xlfn.CONCAT(R685,"***",S685)</f>
        <v>WWDLD***DWDDW</v>
      </c>
      <c r="U685" s="19">
        <f>(P685-Q685)</f>
        <v>11</v>
      </c>
      <c r="V685" s="14"/>
      <c r="W685" s="14"/>
      <c r="X685" s="20" t="str">
        <f>IF(ISBLANK(V685),"",IF(V685&gt;W685,"1",IF(V685&lt;W685,"2",IF(V685=W685,"X"))))</f>
        <v/>
      </c>
      <c r="Y685" s="23" t="str">
        <f>COUNTIF(F685:J685, "W")&amp;COUNTIF(F685:J685, "d")&amp;COUNTIF(F685:J685, "l")</f>
        <v>221</v>
      </c>
      <c r="Z685" s="13" t="str">
        <f>COUNTIF(K685:O685, "W")&amp;COUNTIF(K685:O685, "d")&amp;COUNTIF(K685:O685, "l")</f>
        <v>230</v>
      </c>
      <c r="AA685" s="23" t="str">
        <f>_xlfn.CONCAT(Y685,"-",Z685)</f>
        <v>221-230</v>
      </c>
      <c r="AB685" s="15" t="str">
        <f>_xlfn.CONCAT(AA685,"…",TEXT(U685,"+00;-00;+00;"))</f>
        <v>221-230…+11</v>
      </c>
      <c r="AC685" s="23" t="str">
        <f>_xlfn.CONCAT(TEXT(P685,"+00;-00;+00;"),"…",TEXT(Q685,"+00;-00;+00;"))</f>
        <v>+16…+05</v>
      </c>
      <c r="AD685" s="14" t="str">
        <f>IF(X685="","?","")</f>
        <v>?</v>
      </c>
      <c r="AE685" s="15" t="str">
        <f>_xlfn.CONCAT(AA685,"…",TEXT(P685,"+00;-00;+00;"),"...",TEXT(Q685,"+00;-00;+00;"))</f>
        <v>221-230…+16...+05</v>
      </c>
      <c r="AF685" s="13" t="str">
        <f>_xlfn.CONCAT(R685,"…",TEXT(P685,"+00;-00;+00;"),"...",TEXT(Q685,"+00;-00;+00;"))</f>
        <v>WWDLD…+16...+05</v>
      </c>
    </row>
    <row r="686" spans="1:32" x14ac:dyDescent="0.25">
      <c r="A686" s="27" t="s">
        <v>1063</v>
      </c>
      <c r="B686" s="28" t="s">
        <v>7</v>
      </c>
      <c r="C686" s="29" t="s">
        <v>32</v>
      </c>
      <c r="D686" s="28" t="s">
        <v>660</v>
      </c>
      <c r="E686" s="28" t="s">
        <v>1196</v>
      </c>
      <c r="F686" s="30" t="s">
        <v>29</v>
      </c>
      <c r="G686" s="30" t="s">
        <v>29</v>
      </c>
      <c r="H686" s="30" t="s">
        <v>30</v>
      </c>
      <c r="I686" s="30" t="s">
        <v>30</v>
      </c>
      <c r="J686" s="30" t="s">
        <v>29</v>
      </c>
      <c r="K686" s="30" t="s">
        <v>30</v>
      </c>
      <c r="L686" s="30" t="s">
        <v>31</v>
      </c>
      <c r="M686" s="30" t="s">
        <v>31</v>
      </c>
      <c r="N686" s="30" t="s">
        <v>30</v>
      </c>
      <c r="O686" s="30" t="s">
        <v>30</v>
      </c>
      <c r="P686" s="31">
        <v>4</v>
      </c>
      <c r="Q686" s="31">
        <v>0</v>
      </c>
      <c r="R686" s="32" t="str">
        <f>_xlfn.CONCAT(F686,G686,H686,I686,J686)</f>
        <v>DDWWD</v>
      </c>
      <c r="S686" s="33" t="str">
        <f>_xlfn.CONCAT(K686,L686,M686,N686,O686)</f>
        <v>WLLWW</v>
      </c>
      <c r="T686" s="33" t="str">
        <f>_xlfn.CONCAT(R686,"***",S686)</f>
        <v>DDWWD***WLLWW</v>
      </c>
      <c r="U686" s="34">
        <f>(P686-Q686)</f>
        <v>4</v>
      </c>
      <c r="V686" s="29"/>
      <c r="W686" s="29"/>
      <c r="X686" s="35" t="str">
        <f>IF(ISBLANK(V686),"",IF(V686&gt;W686,"1",IF(V686&lt;W686,"2",IF(V686=W686,"X"))))</f>
        <v/>
      </c>
      <c r="Y686" s="36" t="str">
        <f>COUNTIF(F686:J686, "W")&amp;COUNTIF(F686:J686, "d")&amp;COUNTIF(F686:J686, "l")</f>
        <v>230</v>
      </c>
      <c r="Z686" s="37" t="str">
        <f>COUNTIF(K686:O686, "W")&amp;COUNTIF(K686:O686, "d")&amp;COUNTIF(K686:O686, "l")</f>
        <v>302</v>
      </c>
      <c r="AA686" s="38" t="str">
        <f>_xlfn.CONCAT(Y686,"-",Z686)</f>
        <v>230-302</v>
      </c>
      <c r="AB686" s="30" t="str">
        <f>_xlfn.CONCAT(AA686,"…",TEXT(U686,"+00;-00;+00;"))</f>
        <v>230-302…+04</v>
      </c>
      <c r="AC686" s="36" t="str">
        <f>_xlfn.CONCAT(TEXT(P686,"+00;-00;+00;"),"…",TEXT(Q686,"+00;-00;+00;"))</f>
        <v>+04…+00</v>
      </c>
      <c r="AD686" s="39" t="str">
        <f>IF(X686="","?","")</f>
        <v>?</v>
      </c>
      <c r="AE686" s="40" t="str">
        <f>_xlfn.CONCAT(AA686,"…",TEXT(P686,"+00;-00;+00;"),"...",TEXT(Q686,"+00;-00;+00;"))</f>
        <v>230-302…+04...+00</v>
      </c>
      <c r="AF686" s="33" t="str">
        <f>_xlfn.CONCAT(R686,"…",TEXT(P686,"+00;-00;+00;"),"...",TEXT(Q686,"+00;-00;+00;"))</f>
        <v>DDWWD…+04...+00</v>
      </c>
    </row>
    <row r="687" spans="1:32" x14ac:dyDescent="0.25">
      <c r="A687" s="12" t="s">
        <v>1063</v>
      </c>
      <c r="B687" s="13" t="s">
        <v>7</v>
      </c>
      <c r="C687" s="14">
        <v>2</v>
      </c>
      <c r="D687" s="13" t="s">
        <v>552</v>
      </c>
      <c r="E687" s="13" t="s">
        <v>1071</v>
      </c>
      <c r="F687" s="15" t="s">
        <v>30</v>
      </c>
      <c r="G687" s="15" t="s">
        <v>31</v>
      </c>
      <c r="H687" s="15" t="s">
        <v>30</v>
      </c>
      <c r="I687" s="15" t="s">
        <v>31</v>
      </c>
      <c r="J687" s="15" t="s">
        <v>30</v>
      </c>
      <c r="K687" s="15" t="s">
        <v>29</v>
      </c>
      <c r="L687" s="15" t="s">
        <v>31</v>
      </c>
      <c r="M687" s="15" t="s">
        <v>30</v>
      </c>
      <c r="N687" s="15" t="s">
        <v>30</v>
      </c>
      <c r="O687" s="15" t="s">
        <v>30</v>
      </c>
      <c r="P687" s="18">
        <v>-2</v>
      </c>
      <c r="Q687" s="18">
        <v>17</v>
      </c>
      <c r="R687" s="15" t="str">
        <f>_xlfn.CONCAT(F687,G687,H687,I687,J687)</f>
        <v>WLWLW</v>
      </c>
      <c r="S687" s="13" t="str">
        <f>_xlfn.CONCAT(K687,L687,M687,N687,O687)</f>
        <v>DLWWW</v>
      </c>
      <c r="T687" s="13" t="str">
        <f>_xlfn.CONCAT(R687,"***",S687)</f>
        <v>WLWLW***DLWWW</v>
      </c>
      <c r="U687" s="19">
        <f>(P687-Q687)</f>
        <v>-19</v>
      </c>
      <c r="V687" s="14"/>
      <c r="W687" s="14"/>
      <c r="X687" s="20" t="str">
        <f>IF(ISBLANK(V687),"",IF(V687&gt;W687,"1",IF(V687&lt;W687,"2",IF(V687=W687,"X"))))</f>
        <v/>
      </c>
      <c r="Y687" s="23" t="str">
        <f>COUNTIF(F687:J687, "W")&amp;COUNTIF(F687:J687, "d")&amp;COUNTIF(F687:J687, "l")</f>
        <v>302</v>
      </c>
      <c r="Z687" s="13" t="str">
        <f>COUNTIF(K687:O687, "W")&amp;COUNTIF(K687:O687, "d")&amp;COUNTIF(K687:O687, "l")</f>
        <v>311</v>
      </c>
      <c r="AA687" s="23" t="str">
        <f>_xlfn.CONCAT(Y687,"-",Z687)</f>
        <v>302-311</v>
      </c>
      <c r="AB687" s="15" t="str">
        <f>_xlfn.CONCAT(AA687,"…",TEXT(U687,"+00;-00;+00;"))</f>
        <v>302-311…-19</v>
      </c>
      <c r="AC687" s="23" t="str">
        <f>_xlfn.CONCAT(TEXT(P687,"+00;-00;+00;"),"…",TEXT(Q687,"+00;-00;+00;"))</f>
        <v>-02…+17</v>
      </c>
      <c r="AD687" s="14" t="str">
        <f>IF(X687="","?","")</f>
        <v>?</v>
      </c>
      <c r="AE687" s="15" t="str">
        <f>_xlfn.CONCAT(AA687,"…",TEXT(P687,"+00;-00;+00;"),"...",TEXT(Q687,"+00;-00;+00;"))</f>
        <v>302-311…-02...+17</v>
      </c>
      <c r="AF687" s="13" t="str">
        <f>_xlfn.CONCAT(R687,"…",TEXT(P687,"+00;-00;+00;"),"...",TEXT(Q687,"+00;-00;+00;"))</f>
        <v>WLWLW…-02...+17</v>
      </c>
    </row>
    <row r="688" spans="1:32" x14ac:dyDescent="0.25">
      <c r="A688" s="12" t="s">
        <v>1063</v>
      </c>
      <c r="B688" s="13" t="s">
        <v>7</v>
      </c>
      <c r="C688" s="14">
        <v>2</v>
      </c>
      <c r="D688" s="13" t="s">
        <v>544</v>
      </c>
      <c r="E688" s="13" t="s">
        <v>891</v>
      </c>
      <c r="F688" s="15" t="s">
        <v>29</v>
      </c>
      <c r="G688" s="15" t="s">
        <v>30</v>
      </c>
      <c r="H688" s="15" t="s">
        <v>31</v>
      </c>
      <c r="I688" s="15" t="s">
        <v>30</v>
      </c>
      <c r="J688" s="15" t="s">
        <v>30</v>
      </c>
      <c r="K688" s="15" t="s">
        <v>31</v>
      </c>
      <c r="L688" s="15" t="s">
        <v>31</v>
      </c>
      <c r="M688" s="15" t="s">
        <v>31</v>
      </c>
      <c r="N688" s="15" t="s">
        <v>31</v>
      </c>
      <c r="O688" s="15" t="s">
        <v>29</v>
      </c>
      <c r="P688" s="18">
        <v>11</v>
      </c>
      <c r="Q688" s="18">
        <v>-13</v>
      </c>
      <c r="R688" s="15" t="str">
        <f>_xlfn.CONCAT(F688,G688,H688,I688,J688)</f>
        <v>DWLWW</v>
      </c>
      <c r="S688" s="13" t="str">
        <f>_xlfn.CONCAT(K688,L688,M688,N688,O688)</f>
        <v>LLLLD</v>
      </c>
      <c r="T688" s="13" t="str">
        <f>_xlfn.CONCAT(R688,"***",S688)</f>
        <v>DWLWW***LLLLD</v>
      </c>
      <c r="U688" s="19">
        <f>(P688-Q688)</f>
        <v>24</v>
      </c>
      <c r="V688" s="14"/>
      <c r="W688" s="14"/>
      <c r="X688" s="20" t="str">
        <f>IF(ISBLANK(V688),"",IF(V688&gt;W688,"1",IF(V688&lt;W688,"2",IF(V688=W688,"X"))))</f>
        <v/>
      </c>
      <c r="Y688" s="23" t="str">
        <f>COUNTIF(F688:J688, "W")&amp;COUNTIF(F688:J688, "d")&amp;COUNTIF(F688:J688, "l")</f>
        <v>311</v>
      </c>
      <c r="Z688" s="13" t="str">
        <f>COUNTIF(K688:O688, "W")&amp;COUNTIF(K688:O688, "d")&amp;COUNTIF(K688:O688, "l")</f>
        <v>014</v>
      </c>
      <c r="AA688" s="23" t="str">
        <f>_xlfn.CONCAT(Y688,"-",Z688)</f>
        <v>311-014</v>
      </c>
      <c r="AB688" s="15" t="str">
        <f>_xlfn.CONCAT(AA688,"…",TEXT(U688,"+00;-00;+00;"))</f>
        <v>311-014…+24</v>
      </c>
      <c r="AC688" s="23" t="str">
        <f>_xlfn.CONCAT(TEXT(P688,"+00;-00;+00;"),"…",TEXT(Q688,"+00;-00;+00;"))</f>
        <v>+11…-13</v>
      </c>
      <c r="AD688" s="14" t="str">
        <f>IF(X688="","?","")</f>
        <v>?</v>
      </c>
      <c r="AE688" s="15" t="str">
        <f>_xlfn.CONCAT(AA688,"…",TEXT(P688,"+00;-00;+00;"),"...",TEXT(Q688,"+00;-00;+00;"))</f>
        <v>311-014…+11...-13</v>
      </c>
      <c r="AF688" s="13" t="str">
        <f>_xlfn.CONCAT(R688,"…",TEXT(P688,"+00;-00;+00;"),"...",TEXT(Q688,"+00;-00;+00;"))</f>
        <v>DWLWW…+11...-13</v>
      </c>
    </row>
    <row r="689" spans="1:32" x14ac:dyDescent="0.25">
      <c r="A689" s="12" t="s">
        <v>1063</v>
      </c>
      <c r="B689" s="13" t="s">
        <v>7</v>
      </c>
      <c r="C689" s="14">
        <v>2</v>
      </c>
      <c r="D689" s="13" t="s">
        <v>556</v>
      </c>
      <c r="E689" s="13" t="s">
        <v>533</v>
      </c>
      <c r="F689" s="15" t="s">
        <v>31</v>
      </c>
      <c r="G689" s="15" t="s">
        <v>29</v>
      </c>
      <c r="H689" s="15" t="s">
        <v>30</v>
      </c>
      <c r="I689" s="15" t="s">
        <v>30</v>
      </c>
      <c r="J689" s="15" t="s">
        <v>30</v>
      </c>
      <c r="K689" s="15" t="s">
        <v>29</v>
      </c>
      <c r="L689" s="15" t="s">
        <v>31</v>
      </c>
      <c r="M689" s="15" t="s">
        <v>31</v>
      </c>
      <c r="N689" s="15" t="s">
        <v>30</v>
      </c>
      <c r="O689" s="15" t="s">
        <v>31</v>
      </c>
      <c r="P689" s="18">
        <v>11</v>
      </c>
      <c r="Q689" s="18">
        <v>1</v>
      </c>
      <c r="R689" s="15" t="str">
        <f>_xlfn.CONCAT(F689,G689,H689,I689,J689)</f>
        <v>LDWWW</v>
      </c>
      <c r="S689" s="13" t="str">
        <f>_xlfn.CONCAT(K689,L689,M689,N689,O689)</f>
        <v>DLLWL</v>
      </c>
      <c r="T689" s="13" t="str">
        <f>_xlfn.CONCAT(R689,"***",S689)</f>
        <v>LDWWW***DLLWL</v>
      </c>
      <c r="U689" s="19">
        <f>(P689-Q689)</f>
        <v>10</v>
      </c>
      <c r="V689" s="14"/>
      <c r="W689" s="14"/>
      <c r="X689" s="20" t="str">
        <f>IF(ISBLANK(V689),"",IF(V689&gt;W689,"1",IF(V689&lt;W689,"2",IF(V689=W689,"X"))))</f>
        <v/>
      </c>
      <c r="Y689" s="23" t="str">
        <f>COUNTIF(F689:J689, "W")&amp;COUNTIF(F689:J689, "d")&amp;COUNTIF(F689:J689, "l")</f>
        <v>311</v>
      </c>
      <c r="Z689" s="13" t="str">
        <f>COUNTIF(K689:O689, "W")&amp;COUNTIF(K689:O689, "d")&amp;COUNTIF(K689:O689, "l")</f>
        <v>113</v>
      </c>
      <c r="AA689" s="23" t="str">
        <f>_xlfn.CONCAT(Y689,"-",Z689)</f>
        <v>311-113</v>
      </c>
      <c r="AB689" s="15" t="str">
        <f>_xlfn.CONCAT(AA689,"…",TEXT(U689,"+00;-00;+00;"))</f>
        <v>311-113…+10</v>
      </c>
      <c r="AC689" s="23" t="str">
        <f>_xlfn.CONCAT(TEXT(P689,"+00;-00;+00;"),"…",TEXT(Q689,"+00;-00;+00;"))</f>
        <v>+11…+01</v>
      </c>
      <c r="AD689" s="14" t="str">
        <f>IF(X689="","?","")</f>
        <v>?</v>
      </c>
      <c r="AE689" s="15" t="str">
        <f>_xlfn.CONCAT(AA689,"…",TEXT(P689,"+00;-00;+00;"),"...",TEXT(Q689,"+00;-00;+00;"))</f>
        <v>311-113…+11...+01</v>
      </c>
      <c r="AF689" s="13" t="str">
        <f>_xlfn.CONCAT(R689,"…",TEXT(P689,"+00;-00;+00;"),"...",TEXT(Q689,"+00;-00;+00;"))</f>
        <v>LDWWW…+11...+01</v>
      </c>
    </row>
    <row r="690" spans="1:32" x14ac:dyDescent="0.25">
      <c r="A690" s="12" t="s">
        <v>1063</v>
      </c>
      <c r="B690" s="13" t="s">
        <v>7</v>
      </c>
      <c r="C690" s="14">
        <v>1</v>
      </c>
      <c r="D690" s="13" t="s">
        <v>524</v>
      </c>
      <c r="E690" s="13" t="s">
        <v>513</v>
      </c>
      <c r="F690" s="15" t="s">
        <v>31</v>
      </c>
      <c r="G690" s="15" t="s">
        <v>29</v>
      </c>
      <c r="H690" s="15" t="s">
        <v>30</v>
      </c>
      <c r="I690" s="15" t="s">
        <v>30</v>
      </c>
      <c r="J690" s="15" t="s">
        <v>30</v>
      </c>
      <c r="K690" s="15" t="s">
        <v>29</v>
      </c>
      <c r="L690" s="15" t="s">
        <v>29</v>
      </c>
      <c r="M690" s="15" t="s">
        <v>31</v>
      </c>
      <c r="N690" s="15" t="s">
        <v>30</v>
      </c>
      <c r="O690" s="15" t="s">
        <v>29</v>
      </c>
      <c r="P690" s="18">
        <v>17</v>
      </c>
      <c r="Q690" s="18">
        <v>1</v>
      </c>
      <c r="R690" s="15" t="str">
        <f>_xlfn.CONCAT(F690,G690,H690,I690,J690)</f>
        <v>LDWWW</v>
      </c>
      <c r="S690" s="13" t="str">
        <f>_xlfn.CONCAT(K690,L690,M690,N690,O690)</f>
        <v>DDLWD</v>
      </c>
      <c r="T690" s="13" t="str">
        <f>_xlfn.CONCAT(R690,"***",S690)</f>
        <v>LDWWW***DDLWD</v>
      </c>
      <c r="U690" s="19">
        <f>(P690-Q690)</f>
        <v>16</v>
      </c>
      <c r="V690" s="14"/>
      <c r="W690" s="14"/>
      <c r="X690" s="20" t="str">
        <f>IF(ISBLANK(V690),"",IF(V690&gt;W690,"1",IF(V690&lt;W690,"2",IF(V690=W690,"X"))))</f>
        <v/>
      </c>
      <c r="Y690" s="23" t="str">
        <f>COUNTIF(F690:J690, "W")&amp;COUNTIF(F690:J690, "d")&amp;COUNTIF(F690:J690, "l")</f>
        <v>311</v>
      </c>
      <c r="Z690" s="13" t="str">
        <f>COUNTIF(K690:O690, "W")&amp;COUNTIF(K690:O690, "d")&amp;COUNTIF(K690:O690, "l")</f>
        <v>131</v>
      </c>
      <c r="AA690" s="23" t="str">
        <f>_xlfn.CONCAT(Y690,"-",Z690)</f>
        <v>311-131</v>
      </c>
      <c r="AB690" s="15" t="str">
        <f>_xlfn.CONCAT(AA690,"…",TEXT(U690,"+00;-00;+00;"))</f>
        <v>311-131…+16</v>
      </c>
      <c r="AC690" s="23" t="str">
        <f>_xlfn.CONCAT(TEXT(P690,"+00;-00;+00;"),"…",TEXT(Q690,"+00;-00;+00;"))</f>
        <v>+17…+01</v>
      </c>
      <c r="AD690" s="14" t="str">
        <f>IF(X690="","?","")</f>
        <v>?</v>
      </c>
      <c r="AE690" s="15" t="str">
        <f>_xlfn.CONCAT(AA690,"…",TEXT(P690,"+00;-00;+00;"),"...",TEXT(Q690,"+00;-00;+00;"))</f>
        <v>311-131…+17...+01</v>
      </c>
      <c r="AF690" s="13" t="str">
        <f>_xlfn.CONCAT(R690,"…",TEXT(P690,"+00;-00;+00;"),"...",TEXT(Q690,"+00;-00;+00;"))</f>
        <v>LDWWW…+17...+01</v>
      </c>
    </row>
    <row r="691" spans="1:32" x14ac:dyDescent="0.25">
      <c r="A691" s="27" t="s">
        <v>1063</v>
      </c>
      <c r="B691" s="28" t="s">
        <v>7</v>
      </c>
      <c r="C691" s="29" t="s">
        <v>32</v>
      </c>
      <c r="D691" s="28" t="s">
        <v>36</v>
      </c>
      <c r="E691" s="28" t="s">
        <v>658</v>
      </c>
      <c r="F691" s="30" t="s">
        <v>31</v>
      </c>
      <c r="G691" s="30" t="s">
        <v>30</v>
      </c>
      <c r="H691" s="30" t="s">
        <v>30</v>
      </c>
      <c r="I691" s="30" t="s">
        <v>30</v>
      </c>
      <c r="J691" s="30" t="s">
        <v>29</v>
      </c>
      <c r="K691" s="30" t="s">
        <v>29</v>
      </c>
      <c r="L691" s="30" t="s">
        <v>30</v>
      </c>
      <c r="M691" s="30" t="s">
        <v>31</v>
      </c>
      <c r="N691" s="30" t="s">
        <v>30</v>
      </c>
      <c r="O691" s="30" t="s">
        <v>30</v>
      </c>
      <c r="P691" s="31">
        <v>15</v>
      </c>
      <c r="Q691" s="31">
        <v>3</v>
      </c>
      <c r="R691" s="32" t="str">
        <f>_xlfn.CONCAT(F691,G691,H691,I691,J691)</f>
        <v>LWWWD</v>
      </c>
      <c r="S691" s="33" t="str">
        <f>_xlfn.CONCAT(K691,L691,M691,N691,O691)</f>
        <v>DWLWW</v>
      </c>
      <c r="T691" s="33" t="str">
        <f>_xlfn.CONCAT(R691,"***",S691)</f>
        <v>LWWWD***DWLWW</v>
      </c>
      <c r="U691" s="34">
        <f>(P691-Q691)</f>
        <v>12</v>
      </c>
      <c r="V691" s="29"/>
      <c r="W691" s="29"/>
      <c r="X691" s="35" t="str">
        <f>IF(ISBLANK(V691),"",IF(V691&gt;W691,"1",IF(V691&lt;W691,"2",IF(V691=W691,"X"))))</f>
        <v/>
      </c>
      <c r="Y691" s="36" t="str">
        <f>COUNTIF(F691:J691, "W")&amp;COUNTIF(F691:J691, "d")&amp;COUNTIF(F691:J691, "l")</f>
        <v>311</v>
      </c>
      <c r="Z691" s="37" t="str">
        <f>COUNTIF(K691:O691, "W")&amp;COUNTIF(K691:O691, "d")&amp;COUNTIF(K691:O691, "l")</f>
        <v>311</v>
      </c>
      <c r="AA691" s="38" t="str">
        <f>_xlfn.CONCAT(Y691,"-",Z691)</f>
        <v>311-311</v>
      </c>
      <c r="AB691" s="30" t="str">
        <f>_xlfn.CONCAT(AA691,"…",TEXT(U691,"+00;-00;+00;"))</f>
        <v>311-311…+12</v>
      </c>
      <c r="AC691" s="36" t="str">
        <f>_xlfn.CONCAT(TEXT(P691,"+00;-00;+00;"),"…",TEXT(Q691,"+00;-00;+00;"))</f>
        <v>+15…+03</v>
      </c>
      <c r="AD691" s="39" t="str">
        <f>IF(X691="","?","")</f>
        <v>?</v>
      </c>
      <c r="AE691" s="40" t="str">
        <f>_xlfn.CONCAT(AA691,"…",TEXT(P691,"+00;-00;+00;"),"...",TEXT(Q691,"+00;-00;+00;"))</f>
        <v>311-311…+15...+03</v>
      </c>
      <c r="AF691" s="33" t="str">
        <f>_xlfn.CONCAT(R691,"…",TEXT(P691,"+00;-00;+00;"),"...",TEXT(Q691,"+00;-00;+00;"))</f>
        <v>LWWWD…+15...+03</v>
      </c>
    </row>
    <row r="692" spans="1:32" x14ac:dyDescent="0.25">
      <c r="A692" s="12" t="s">
        <v>1063</v>
      </c>
      <c r="B692" s="13" t="s">
        <v>7</v>
      </c>
      <c r="C692" s="14">
        <v>1</v>
      </c>
      <c r="D692" s="13" t="s">
        <v>1069</v>
      </c>
      <c r="E692" s="13" t="s">
        <v>516</v>
      </c>
      <c r="F692" s="15" t="s">
        <v>30</v>
      </c>
      <c r="G692" s="15" t="s">
        <v>29</v>
      </c>
      <c r="H692" s="15" t="s">
        <v>30</v>
      </c>
      <c r="I692" s="15" t="s">
        <v>31</v>
      </c>
      <c r="J692" s="15" t="s">
        <v>30</v>
      </c>
      <c r="K692" s="15" t="s">
        <v>30</v>
      </c>
      <c r="L692" s="15" t="s">
        <v>30</v>
      </c>
      <c r="M692" s="15" t="s">
        <v>30</v>
      </c>
      <c r="N692" s="15" t="s">
        <v>31</v>
      </c>
      <c r="O692" s="15" t="s">
        <v>29</v>
      </c>
      <c r="P692" s="18">
        <v>-14</v>
      </c>
      <c r="Q692" s="18">
        <v>18</v>
      </c>
      <c r="R692" s="15" t="str">
        <f>_xlfn.CONCAT(F692,G692,H692,I692,J692)</f>
        <v>WDWLW</v>
      </c>
      <c r="S692" s="13" t="str">
        <f>_xlfn.CONCAT(K692,L692,M692,N692,O692)</f>
        <v>WWWLD</v>
      </c>
      <c r="T692" s="13" t="str">
        <f>_xlfn.CONCAT(R692,"***",S692)</f>
        <v>WDWLW***WWWLD</v>
      </c>
      <c r="U692" s="19">
        <f>(P692-Q692)</f>
        <v>-32</v>
      </c>
      <c r="V692" s="14"/>
      <c r="W692" s="14"/>
      <c r="X692" s="20" t="str">
        <f>IF(ISBLANK(V692),"",IF(V692&gt;W692,"1",IF(V692&lt;W692,"2",IF(V692=W692,"X"))))</f>
        <v/>
      </c>
      <c r="Y692" s="23" t="str">
        <f>COUNTIF(F692:J692, "W")&amp;COUNTIF(F692:J692, "d")&amp;COUNTIF(F692:J692, "l")</f>
        <v>311</v>
      </c>
      <c r="Z692" s="13" t="str">
        <f>COUNTIF(K692:O692, "W")&amp;COUNTIF(K692:O692, "d")&amp;COUNTIF(K692:O692, "l")</f>
        <v>311</v>
      </c>
      <c r="AA692" s="23" t="str">
        <f>_xlfn.CONCAT(Y692,"-",Z692)</f>
        <v>311-311</v>
      </c>
      <c r="AB692" s="15" t="str">
        <f>_xlfn.CONCAT(AA692,"…",TEXT(U692,"+00;-00;+00;"))</f>
        <v>311-311…-32</v>
      </c>
      <c r="AC692" s="23" t="str">
        <f>_xlfn.CONCAT(TEXT(P692,"+00;-00;+00;"),"…",TEXT(Q692,"+00;-00;+00;"))</f>
        <v>-14…+18</v>
      </c>
      <c r="AD692" s="14" t="str">
        <f>IF(X692="","?","")</f>
        <v>?</v>
      </c>
      <c r="AE692" s="15" t="str">
        <f>_xlfn.CONCAT(AA692,"…",TEXT(P692,"+00;-00;+00;"),"...",TEXT(Q692,"+00;-00;+00;"))</f>
        <v>311-311…-14...+18</v>
      </c>
      <c r="AF692" s="13" t="str">
        <f>_xlfn.CONCAT(R692,"…",TEXT(P692,"+00;-00;+00;"),"...",TEXT(Q692,"+00;-00;+00;"))</f>
        <v>WDWLW…-14...+18</v>
      </c>
    </row>
    <row r="693" spans="1:32" x14ac:dyDescent="0.25">
      <c r="A693" s="12" t="s">
        <v>1063</v>
      </c>
      <c r="B693" s="13" t="s">
        <v>7</v>
      </c>
      <c r="C693" s="14">
        <v>2</v>
      </c>
      <c r="D693" s="13" t="s">
        <v>547</v>
      </c>
      <c r="E693" s="13" t="s">
        <v>539</v>
      </c>
      <c r="F693" s="15" t="s">
        <v>29</v>
      </c>
      <c r="G693" s="15" t="s">
        <v>30</v>
      </c>
      <c r="H693" s="15" t="s">
        <v>29</v>
      </c>
      <c r="I693" s="15" t="s">
        <v>30</v>
      </c>
      <c r="J693" s="15" t="s">
        <v>30</v>
      </c>
      <c r="K693" s="15" t="s">
        <v>31</v>
      </c>
      <c r="L693" s="15" t="s">
        <v>29</v>
      </c>
      <c r="M693" s="15" t="s">
        <v>29</v>
      </c>
      <c r="N693" s="15" t="s">
        <v>31</v>
      </c>
      <c r="O693" s="15" t="s">
        <v>30</v>
      </c>
      <c r="P693" s="18">
        <v>4</v>
      </c>
      <c r="Q693" s="18">
        <v>-15</v>
      </c>
      <c r="R693" s="15" t="str">
        <f>_xlfn.CONCAT(F693,G693,H693,I693,J693)</f>
        <v>DWDWW</v>
      </c>
      <c r="S693" s="13" t="str">
        <f>_xlfn.CONCAT(K693,L693,M693,N693,O693)</f>
        <v>LDDLW</v>
      </c>
      <c r="T693" s="13" t="str">
        <f>_xlfn.CONCAT(R693,"***",S693)</f>
        <v>DWDWW***LDDLW</v>
      </c>
      <c r="U693" s="19">
        <f>(P693-Q693)</f>
        <v>19</v>
      </c>
      <c r="V693" s="14"/>
      <c r="W693" s="14"/>
      <c r="X693" s="20" t="str">
        <f>IF(ISBLANK(V693),"",IF(V693&gt;W693,"1",IF(V693&lt;W693,"2",IF(V693=W693,"X"))))</f>
        <v/>
      </c>
      <c r="Y693" s="23" t="str">
        <f>COUNTIF(F693:J693, "W")&amp;COUNTIF(F693:J693, "d")&amp;COUNTIF(F693:J693, "l")</f>
        <v>320</v>
      </c>
      <c r="Z693" s="13" t="str">
        <f>COUNTIF(K693:O693, "W")&amp;COUNTIF(K693:O693, "d")&amp;COUNTIF(K693:O693, "l")</f>
        <v>122</v>
      </c>
      <c r="AA693" s="23" t="str">
        <f>_xlfn.CONCAT(Y693,"-",Z693)</f>
        <v>320-122</v>
      </c>
      <c r="AB693" s="15" t="str">
        <f>_xlfn.CONCAT(AA693,"…",TEXT(U693,"+00;-00;+00;"))</f>
        <v>320-122…+19</v>
      </c>
      <c r="AC693" s="23" t="str">
        <f>_xlfn.CONCAT(TEXT(P693,"+00;-00;+00;"),"…",TEXT(Q693,"+00;-00;+00;"))</f>
        <v>+04…-15</v>
      </c>
      <c r="AD693" s="14" t="str">
        <f>IF(X693="","?","")</f>
        <v>?</v>
      </c>
      <c r="AE693" s="15" t="str">
        <f>_xlfn.CONCAT(AA693,"…",TEXT(P693,"+00;-00;+00;"),"...",TEXT(Q693,"+00;-00;+00;"))</f>
        <v>320-122…+04...-15</v>
      </c>
      <c r="AF693" s="13" t="str">
        <f>_xlfn.CONCAT(R693,"…",TEXT(P693,"+00;-00;+00;"),"...",TEXT(Q693,"+00;-00;+00;"))</f>
        <v>DWDWW…+04...-15</v>
      </c>
    </row>
    <row r="694" spans="1:32" x14ac:dyDescent="0.25">
      <c r="A694" s="12" t="s">
        <v>1063</v>
      </c>
      <c r="B694" s="13" t="s">
        <v>7</v>
      </c>
      <c r="C694" s="14">
        <v>1</v>
      </c>
      <c r="D694" s="13" t="s">
        <v>885</v>
      </c>
      <c r="E694" s="13" t="s">
        <v>521</v>
      </c>
      <c r="F694" s="15" t="s">
        <v>30</v>
      </c>
      <c r="G694" s="15" t="s">
        <v>29</v>
      </c>
      <c r="H694" s="15" t="s">
        <v>30</v>
      </c>
      <c r="I694" s="15" t="s">
        <v>30</v>
      </c>
      <c r="J694" s="15" t="s">
        <v>30</v>
      </c>
      <c r="K694" s="15" t="s">
        <v>31</v>
      </c>
      <c r="L694" s="15" t="s">
        <v>29</v>
      </c>
      <c r="M694" s="15" t="s">
        <v>31</v>
      </c>
      <c r="N694" s="15" t="s">
        <v>31</v>
      </c>
      <c r="O694" s="15" t="s">
        <v>29</v>
      </c>
      <c r="P694" s="18">
        <v>11</v>
      </c>
      <c r="Q694" s="18">
        <v>-18</v>
      </c>
      <c r="R694" s="15" t="str">
        <f>_xlfn.CONCAT(F694,G694,H694,I694,J694)</f>
        <v>WDWWW</v>
      </c>
      <c r="S694" s="13" t="str">
        <f>_xlfn.CONCAT(K694,L694,M694,N694,O694)</f>
        <v>LDLLD</v>
      </c>
      <c r="T694" s="13" t="str">
        <f>_xlfn.CONCAT(R694,"***",S694)</f>
        <v>WDWWW***LDLLD</v>
      </c>
      <c r="U694" s="19">
        <f>(P694-Q694)</f>
        <v>29</v>
      </c>
      <c r="V694" s="14"/>
      <c r="W694" s="14"/>
      <c r="X694" s="20" t="str">
        <f>IF(ISBLANK(V694),"",IF(V694&gt;W694,"1",IF(V694&lt;W694,"2",IF(V694=W694,"X"))))</f>
        <v/>
      </c>
      <c r="Y694" s="23" t="str">
        <f>COUNTIF(F694:J694, "W")&amp;COUNTIF(F694:J694, "d")&amp;COUNTIF(F694:J694, "l")</f>
        <v>410</v>
      </c>
      <c r="Z694" s="13" t="str">
        <f>COUNTIF(K694:O694, "W")&amp;COUNTIF(K694:O694, "d")&amp;COUNTIF(K694:O694, "l")</f>
        <v>023</v>
      </c>
      <c r="AA694" s="23" t="str">
        <f>_xlfn.CONCAT(Y694,"-",Z694)</f>
        <v>410-023</v>
      </c>
      <c r="AB694" s="15" t="str">
        <f>_xlfn.CONCAT(AA694,"…",TEXT(U694,"+00;-00;+00;"))</f>
        <v>410-023…+29</v>
      </c>
      <c r="AC694" s="23" t="str">
        <f>_xlfn.CONCAT(TEXT(P694,"+00;-00;+00;"),"…",TEXT(Q694,"+00;-00;+00;"))</f>
        <v>+11…-18</v>
      </c>
      <c r="AD694" s="14" t="str">
        <f>IF(X694="","?","")</f>
        <v>?</v>
      </c>
      <c r="AE694" s="15" t="str">
        <f>_xlfn.CONCAT(AA694,"…",TEXT(P694,"+00;-00;+00;"),"...",TEXT(Q694,"+00;-00;+00;"))</f>
        <v>410-023…+11...-18</v>
      </c>
      <c r="AF694" s="13" t="str">
        <f>_xlfn.CONCAT(R694,"…",TEXT(P694,"+00;-00;+00;"),"...",TEXT(Q694,"+00;-00;+00;"))</f>
        <v>WDWWW…+11...-18</v>
      </c>
    </row>
    <row r="695" spans="1:32" x14ac:dyDescent="0.25">
      <c r="A695" s="12" t="s">
        <v>1063</v>
      </c>
      <c r="B695" s="13" t="s">
        <v>7</v>
      </c>
      <c r="C695" s="14" t="s">
        <v>8</v>
      </c>
      <c r="D695" s="13" t="s">
        <v>616</v>
      </c>
      <c r="E695" s="13" t="s">
        <v>11</v>
      </c>
      <c r="F695" s="15" t="s">
        <v>30</v>
      </c>
      <c r="G695" s="15" t="s">
        <v>30</v>
      </c>
      <c r="H695" s="15" t="s">
        <v>29</v>
      </c>
      <c r="I695" s="15" t="s">
        <v>30</v>
      </c>
      <c r="J695" s="15" t="s">
        <v>30</v>
      </c>
      <c r="K695" s="15" t="s">
        <v>31</v>
      </c>
      <c r="L695" s="15" t="s">
        <v>31</v>
      </c>
      <c r="M695" s="15" t="s">
        <v>31</v>
      </c>
      <c r="N695" s="15" t="s">
        <v>30</v>
      </c>
      <c r="O695" s="15" t="s">
        <v>31</v>
      </c>
      <c r="P695" s="18">
        <v>-9</v>
      </c>
      <c r="Q695" s="18">
        <v>-15</v>
      </c>
      <c r="R695" s="15" t="str">
        <f>_xlfn.CONCAT(F695,G695,H695,I695,J695)</f>
        <v>WWDWW</v>
      </c>
      <c r="S695" s="13" t="str">
        <f>_xlfn.CONCAT(K695,L695,M695,N695,O695)</f>
        <v>LLLWL</v>
      </c>
      <c r="T695" s="13" t="str">
        <f>_xlfn.CONCAT(R695,"***",S695)</f>
        <v>WWDWW***LLLWL</v>
      </c>
      <c r="U695" s="19">
        <f>(P695-Q695)</f>
        <v>6</v>
      </c>
      <c r="V695" s="14"/>
      <c r="W695" s="14"/>
      <c r="X695" s="20" t="str">
        <f>IF(ISBLANK(V695),"",IF(V695&gt;W695,"1",IF(V695&lt;W695,"2",IF(V695=W695,"X"))))</f>
        <v/>
      </c>
      <c r="Y695" s="23" t="str">
        <f>COUNTIF(F695:J695, "W")&amp;COUNTIF(F695:J695, "d")&amp;COUNTIF(F695:J695, "l")</f>
        <v>410</v>
      </c>
      <c r="Z695" s="13" t="str">
        <f>COUNTIF(K695:O695, "W")&amp;COUNTIF(K695:O695, "d")&amp;COUNTIF(K695:O695, "l")</f>
        <v>104</v>
      </c>
      <c r="AA695" s="23" t="str">
        <f>_xlfn.CONCAT(Y695,"-",Z695)</f>
        <v>410-104</v>
      </c>
      <c r="AB695" s="15" t="str">
        <f>_xlfn.CONCAT(AA695,"…",TEXT(U695,"+00;-00;+00;"))</f>
        <v>410-104…+06</v>
      </c>
      <c r="AC695" s="23" t="str">
        <f>_xlfn.CONCAT(TEXT(P695,"+00;-00;+00;"),"…",TEXT(Q695,"+00;-00;+00;"))</f>
        <v>-09…-15</v>
      </c>
      <c r="AD695" s="14" t="str">
        <f>IF(X695="","?","")</f>
        <v>?</v>
      </c>
      <c r="AE695" s="15" t="str">
        <f>_xlfn.CONCAT(AA695,"…",TEXT(P695,"+00;-00;+00;"),"...",TEXT(Q695,"+00;-00;+00;"))</f>
        <v>410-104…-09...-15</v>
      </c>
      <c r="AF695" s="13" t="str">
        <f>_xlfn.CONCAT(R695,"…",TEXT(P695,"+00;-00;+00;"),"...",TEXT(Q695,"+00;-00;+00;"))</f>
        <v>WWDWW…-09...-15</v>
      </c>
    </row>
    <row r="696" spans="1:32" x14ac:dyDescent="0.25">
      <c r="A696" s="12" t="s">
        <v>1063</v>
      </c>
      <c r="B696" s="13" t="s">
        <v>7</v>
      </c>
      <c r="C696" s="14">
        <v>1</v>
      </c>
      <c r="D696" s="13" t="s">
        <v>526</v>
      </c>
      <c r="E696" s="13" t="s">
        <v>510</v>
      </c>
      <c r="F696" s="15" t="s">
        <v>30</v>
      </c>
      <c r="G696" s="15" t="s">
        <v>30</v>
      </c>
      <c r="H696" s="15" t="s">
        <v>30</v>
      </c>
      <c r="I696" s="15" t="s">
        <v>30</v>
      </c>
      <c r="J696" s="15" t="s">
        <v>30</v>
      </c>
      <c r="K696" s="15" t="s">
        <v>31</v>
      </c>
      <c r="L696" s="15" t="s">
        <v>31</v>
      </c>
      <c r="M696" s="15" t="s">
        <v>31</v>
      </c>
      <c r="N696" s="15" t="s">
        <v>31</v>
      </c>
      <c r="O696" s="15" t="s">
        <v>29</v>
      </c>
      <c r="P696" s="18">
        <v>18</v>
      </c>
      <c r="Q696" s="18">
        <v>-5</v>
      </c>
      <c r="R696" s="15" t="str">
        <f>_xlfn.CONCAT(F696,G696,H696,I696,J696)</f>
        <v>WWWWW</v>
      </c>
      <c r="S696" s="13" t="str">
        <f>_xlfn.CONCAT(K696,L696,M696,N696,O696)</f>
        <v>LLLLD</v>
      </c>
      <c r="T696" s="13" t="str">
        <f>_xlfn.CONCAT(R696,"***",S696)</f>
        <v>WWWWW***LLLLD</v>
      </c>
      <c r="U696" s="19">
        <f>(P696-Q696)</f>
        <v>23</v>
      </c>
      <c r="V696" s="14"/>
      <c r="W696" s="14"/>
      <c r="X696" s="20" t="str">
        <f>IF(ISBLANK(V696),"",IF(V696&gt;W696,"1",IF(V696&lt;W696,"2",IF(V696=W696,"X"))))</f>
        <v/>
      </c>
      <c r="Y696" s="23" t="str">
        <f>COUNTIF(F696:J696, "W")&amp;COUNTIF(F696:J696, "d")&amp;COUNTIF(F696:J696, "l")</f>
        <v>500</v>
      </c>
      <c r="Z696" s="13" t="str">
        <f>COUNTIF(K696:O696, "W")&amp;COUNTIF(K696:O696, "d")&amp;COUNTIF(K696:O696, "l")</f>
        <v>014</v>
      </c>
      <c r="AA696" s="23" t="str">
        <f>_xlfn.CONCAT(Y696,"-",Z696)</f>
        <v>500-014</v>
      </c>
      <c r="AB696" s="15" t="str">
        <f>_xlfn.CONCAT(AA696,"…",TEXT(U696,"+00;-00;+00;"))</f>
        <v>500-014…+23</v>
      </c>
      <c r="AC696" s="23" t="str">
        <f>_xlfn.CONCAT(TEXT(P696,"+00;-00;+00;"),"…",TEXT(Q696,"+00;-00;+00;"))</f>
        <v>+18…-05</v>
      </c>
      <c r="AD696" s="14" t="str">
        <f>IF(X696="","?","")</f>
        <v>?</v>
      </c>
      <c r="AE696" s="15" t="str">
        <f>_xlfn.CONCAT(AA696,"…",TEXT(P696,"+00;-00;+00;"),"...",TEXT(Q696,"+00;-00;+00;"))</f>
        <v>500-014…+18...-05</v>
      </c>
      <c r="AF696" s="13" t="str">
        <f>_xlfn.CONCAT(R696,"…",TEXT(P696,"+00;-00;+00;"),"...",TEXT(Q696,"+00;-00;+00;"))</f>
        <v>WWWWW…+18...-05</v>
      </c>
    </row>
    <row r="697" spans="1:32" x14ac:dyDescent="0.25">
      <c r="A697" s="12" t="s">
        <v>1078</v>
      </c>
      <c r="B697" s="13" t="s">
        <v>117</v>
      </c>
      <c r="C697" s="14" t="s">
        <v>33</v>
      </c>
      <c r="D697" s="13" t="s">
        <v>675</v>
      </c>
      <c r="E697" s="13" t="s">
        <v>1124</v>
      </c>
      <c r="F697" s="15" t="s">
        <v>31</v>
      </c>
      <c r="G697" s="15" t="s">
        <v>31</v>
      </c>
      <c r="H697" s="15" t="s">
        <v>29</v>
      </c>
      <c r="I697" s="15" t="s">
        <v>31</v>
      </c>
      <c r="J697" s="15" t="s">
        <v>31</v>
      </c>
      <c r="K697" s="15" t="s">
        <v>30</v>
      </c>
      <c r="L697" s="15" t="s">
        <v>30</v>
      </c>
      <c r="M697" s="15" t="s">
        <v>30</v>
      </c>
      <c r="N697" s="15" t="s">
        <v>31</v>
      </c>
      <c r="O697" s="15" t="s">
        <v>31</v>
      </c>
      <c r="P697" s="18">
        <v>-7</v>
      </c>
      <c r="Q697" s="18">
        <v>7</v>
      </c>
      <c r="R697" s="15" t="str">
        <f>_xlfn.CONCAT(F697,G697,H697,I697,J697)</f>
        <v>LLDLL</v>
      </c>
      <c r="S697" s="13" t="str">
        <f>_xlfn.CONCAT(K697,L697,M697,N697,O697)</f>
        <v>WWWLL</v>
      </c>
      <c r="T697" s="13" t="str">
        <f>_xlfn.CONCAT(R697,"***",S697)</f>
        <v>LLDLL***WWWLL</v>
      </c>
      <c r="U697" s="19">
        <f>(P697-Q697)</f>
        <v>-14</v>
      </c>
      <c r="V697" s="14"/>
      <c r="W697" s="14"/>
      <c r="X697" s="20" t="str">
        <f>IF(ISBLANK(V697),"",IF(V697&gt;W697,"1",IF(V697&lt;W697,"2",IF(V697=W697,"X"))))</f>
        <v/>
      </c>
      <c r="Y697" s="23" t="str">
        <f>COUNTIF(F697:J697, "W")&amp;COUNTIF(F697:J697, "d")&amp;COUNTIF(F697:J697, "l")</f>
        <v>014</v>
      </c>
      <c r="Z697" s="13" t="str">
        <f>COUNTIF(K697:O697, "W")&amp;COUNTIF(K697:O697, "d")&amp;COUNTIF(K697:O697, "l")</f>
        <v>302</v>
      </c>
      <c r="AA697" s="23" t="str">
        <f>_xlfn.CONCAT(Y697,"-",Z697)</f>
        <v>014-302</v>
      </c>
      <c r="AB697" s="15" t="str">
        <f>_xlfn.CONCAT(AA697,"…",TEXT(U697,"+00;-00;+00;"))</f>
        <v>014-302…-14</v>
      </c>
      <c r="AC697" s="23" t="str">
        <f>_xlfn.CONCAT(TEXT(P697,"+00;-00;+00;"),"…",TEXT(Q697,"+00;-00;+00;"))</f>
        <v>-07…+07</v>
      </c>
      <c r="AD697" s="14" t="str">
        <f>IF(X697="","?","")</f>
        <v>?</v>
      </c>
      <c r="AE697" s="15" t="str">
        <f>_xlfn.CONCAT(AA697,"…",TEXT(P697,"+00;-00;+00;"),"...",TEXT(Q697,"+00;-00;+00;"))</f>
        <v>014-302…-07...+07</v>
      </c>
      <c r="AF697" s="13" t="str">
        <f>_xlfn.CONCAT(R697,"…",TEXT(P697,"+00;-00;+00;"),"...",TEXT(Q697,"+00;-00;+00;"))</f>
        <v>LLDLL…-07...+07</v>
      </c>
    </row>
    <row r="698" spans="1:32" x14ac:dyDescent="0.25">
      <c r="A698" s="12" t="s">
        <v>1078</v>
      </c>
      <c r="B698" s="13" t="s">
        <v>117</v>
      </c>
      <c r="C698" s="14" t="s">
        <v>33</v>
      </c>
      <c r="D698" s="13" t="s">
        <v>667</v>
      </c>
      <c r="E698" s="13" t="s">
        <v>157</v>
      </c>
      <c r="F698" s="15" t="s">
        <v>31</v>
      </c>
      <c r="G698" s="15" t="s">
        <v>31</v>
      </c>
      <c r="H698" s="15" t="s">
        <v>31</v>
      </c>
      <c r="I698" s="15" t="s">
        <v>30</v>
      </c>
      <c r="J698" s="15" t="s">
        <v>29</v>
      </c>
      <c r="K698" s="15" t="s">
        <v>29</v>
      </c>
      <c r="L698" s="15" t="s">
        <v>30</v>
      </c>
      <c r="M698" s="15" t="s">
        <v>29</v>
      </c>
      <c r="N698" s="15" t="s">
        <v>31</v>
      </c>
      <c r="O698" s="15" t="s">
        <v>30</v>
      </c>
      <c r="P698" s="18">
        <v>-1</v>
      </c>
      <c r="Q698" s="18">
        <v>16</v>
      </c>
      <c r="R698" s="15" t="str">
        <f>_xlfn.CONCAT(F698,G698,H698,I698,J698)</f>
        <v>LLLWD</v>
      </c>
      <c r="S698" s="13" t="str">
        <f>_xlfn.CONCAT(K698,L698,M698,N698,O698)</f>
        <v>DWDLW</v>
      </c>
      <c r="T698" s="13" t="str">
        <f>_xlfn.CONCAT(R698,"***",S698)</f>
        <v>LLLWD***DWDLW</v>
      </c>
      <c r="U698" s="19">
        <f>(P698-Q698)</f>
        <v>-17</v>
      </c>
      <c r="V698" s="14"/>
      <c r="W698" s="14"/>
      <c r="X698" s="20" t="str">
        <f>IF(ISBLANK(V698),"",IF(V698&gt;W698,"1",IF(V698&lt;W698,"2",IF(V698=W698,"X"))))</f>
        <v/>
      </c>
      <c r="Y698" s="23" t="str">
        <f>COUNTIF(F698:J698, "W")&amp;COUNTIF(F698:J698, "d")&amp;COUNTIF(F698:J698, "l")</f>
        <v>113</v>
      </c>
      <c r="Z698" s="13" t="str">
        <f>COUNTIF(K698:O698, "W")&amp;COUNTIF(K698:O698, "d")&amp;COUNTIF(K698:O698, "l")</f>
        <v>221</v>
      </c>
      <c r="AA698" s="23" t="str">
        <f>_xlfn.CONCAT(Y698,"-",Z698)</f>
        <v>113-221</v>
      </c>
      <c r="AB698" s="15" t="str">
        <f>_xlfn.CONCAT(AA698,"…",TEXT(U698,"+00;-00;+00;"))</f>
        <v>113-221…-17</v>
      </c>
      <c r="AC698" s="23" t="str">
        <f>_xlfn.CONCAT(TEXT(P698,"+00;-00;+00;"),"…",TEXT(Q698,"+00;-00;+00;"))</f>
        <v>-01…+16</v>
      </c>
      <c r="AD698" s="14" t="str">
        <f>IF(X698="","?","")</f>
        <v>?</v>
      </c>
      <c r="AE698" s="15" t="str">
        <f>_xlfn.CONCAT(AA698,"…",TEXT(P698,"+00;-00;+00;"),"...",TEXT(Q698,"+00;-00;+00;"))</f>
        <v>113-221…-01...+16</v>
      </c>
      <c r="AF698" s="13" t="str">
        <f>_xlfn.CONCAT(R698,"…",TEXT(P698,"+00;-00;+00;"),"...",TEXT(Q698,"+00;-00;+00;"))</f>
        <v>LLLWD…-01...+16</v>
      </c>
    </row>
    <row r="699" spans="1:32" x14ac:dyDescent="0.25">
      <c r="A699" s="12" t="s">
        <v>1078</v>
      </c>
      <c r="B699" s="13" t="s">
        <v>117</v>
      </c>
      <c r="C699" s="14" t="s">
        <v>33</v>
      </c>
      <c r="D699" s="13" t="s">
        <v>919</v>
      </c>
      <c r="E699" s="13" t="s">
        <v>161</v>
      </c>
      <c r="F699" s="15" t="s">
        <v>29</v>
      </c>
      <c r="G699" s="15" t="s">
        <v>31</v>
      </c>
      <c r="H699" s="15" t="s">
        <v>29</v>
      </c>
      <c r="I699" s="15" t="s">
        <v>31</v>
      </c>
      <c r="J699" s="15" t="s">
        <v>30</v>
      </c>
      <c r="K699" s="15" t="s">
        <v>31</v>
      </c>
      <c r="L699" s="15" t="s">
        <v>29</v>
      </c>
      <c r="M699" s="15" t="s">
        <v>29</v>
      </c>
      <c r="N699" s="15" t="s">
        <v>30</v>
      </c>
      <c r="O699" s="15" t="s">
        <v>29</v>
      </c>
      <c r="P699" s="18">
        <v>7</v>
      </c>
      <c r="Q699" s="18">
        <v>-3</v>
      </c>
      <c r="R699" s="15" t="str">
        <f>_xlfn.CONCAT(F699,G699,H699,I699,J699)</f>
        <v>DLDLW</v>
      </c>
      <c r="S699" s="13" t="str">
        <f>_xlfn.CONCAT(K699,L699,M699,N699,O699)</f>
        <v>LDDWD</v>
      </c>
      <c r="T699" s="13" t="str">
        <f>_xlfn.CONCAT(R699,"***",S699)</f>
        <v>DLDLW***LDDWD</v>
      </c>
      <c r="U699" s="19">
        <f>(P699-Q699)</f>
        <v>10</v>
      </c>
      <c r="V699" s="14"/>
      <c r="W699" s="14"/>
      <c r="X699" s="20" t="str">
        <f>IF(ISBLANK(V699),"",IF(V699&gt;W699,"1",IF(V699&lt;W699,"2",IF(V699=W699,"X"))))</f>
        <v/>
      </c>
      <c r="Y699" s="23" t="str">
        <f>COUNTIF(F699:J699, "W")&amp;COUNTIF(F699:J699, "d")&amp;COUNTIF(F699:J699, "l")</f>
        <v>122</v>
      </c>
      <c r="Z699" s="13" t="str">
        <f>COUNTIF(K699:O699, "W")&amp;COUNTIF(K699:O699, "d")&amp;COUNTIF(K699:O699, "l")</f>
        <v>131</v>
      </c>
      <c r="AA699" s="23" t="str">
        <f>_xlfn.CONCAT(Y699,"-",Z699)</f>
        <v>122-131</v>
      </c>
      <c r="AB699" s="15" t="str">
        <f>_xlfn.CONCAT(AA699,"…",TEXT(U699,"+00;-00;+00;"))</f>
        <v>122-131…+10</v>
      </c>
      <c r="AC699" s="23" t="str">
        <f>_xlfn.CONCAT(TEXT(P699,"+00;-00;+00;"),"…",TEXT(Q699,"+00;-00;+00;"))</f>
        <v>+07…-03</v>
      </c>
      <c r="AD699" s="14" t="str">
        <f>IF(X699="","?","")</f>
        <v>?</v>
      </c>
      <c r="AE699" s="15" t="str">
        <f>_xlfn.CONCAT(AA699,"…",TEXT(P699,"+00;-00;+00;"),"...",TEXT(Q699,"+00;-00;+00;"))</f>
        <v>122-131…+07...-03</v>
      </c>
      <c r="AF699" s="13" t="str">
        <f>_xlfn.CONCAT(R699,"…",TEXT(P699,"+00;-00;+00;"),"...",TEXT(Q699,"+00;-00;+00;"))</f>
        <v>DLDLW…+07...-03</v>
      </c>
    </row>
    <row r="700" spans="1:32" x14ac:dyDescent="0.25">
      <c r="A700" s="12" t="s">
        <v>1078</v>
      </c>
      <c r="B700" s="13" t="s">
        <v>59</v>
      </c>
      <c r="C700" s="14">
        <v>2</v>
      </c>
      <c r="D700" s="13" t="s">
        <v>745</v>
      </c>
      <c r="E700" s="13" t="s">
        <v>737</v>
      </c>
      <c r="F700" s="15" t="s">
        <v>29</v>
      </c>
      <c r="G700" s="15" t="s">
        <v>30</v>
      </c>
      <c r="H700" s="15" t="s">
        <v>29</v>
      </c>
      <c r="I700" s="15" t="s">
        <v>29</v>
      </c>
      <c r="J700" s="15" t="s">
        <v>31</v>
      </c>
      <c r="K700" s="15" t="s">
        <v>29</v>
      </c>
      <c r="L700" s="15" t="s">
        <v>31</v>
      </c>
      <c r="M700" s="15" t="s">
        <v>30</v>
      </c>
      <c r="N700" s="15" t="s">
        <v>30</v>
      </c>
      <c r="O700" s="15" t="s">
        <v>29</v>
      </c>
      <c r="P700" s="18">
        <v>-6</v>
      </c>
      <c r="Q700" s="18">
        <v>10</v>
      </c>
      <c r="R700" s="15" t="str">
        <f>_xlfn.CONCAT(F700,G700,H700,I700,J700)</f>
        <v>DWDDL</v>
      </c>
      <c r="S700" s="13" t="str">
        <f>_xlfn.CONCAT(K700,L700,M700,N700,O700)</f>
        <v>DLWWD</v>
      </c>
      <c r="T700" s="13" t="str">
        <f>_xlfn.CONCAT(R700,"***",S700)</f>
        <v>DWDDL***DLWWD</v>
      </c>
      <c r="U700" s="19">
        <f>(P700-Q700)</f>
        <v>-16</v>
      </c>
      <c r="V700" s="14"/>
      <c r="W700" s="14"/>
      <c r="X700" s="20" t="str">
        <f>IF(ISBLANK(V700),"",IF(V700&gt;W700,"1",IF(V700&lt;W700,"2",IF(V700=W700,"X"))))</f>
        <v/>
      </c>
      <c r="Y700" s="23" t="str">
        <f>COUNTIF(F700:J700, "W")&amp;COUNTIF(F700:J700, "d")&amp;COUNTIF(F700:J700, "l")</f>
        <v>131</v>
      </c>
      <c r="Z700" s="13" t="str">
        <f>COUNTIF(K700:O700, "W")&amp;COUNTIF(K700:O700, "d")&amp;COUNTIF(K700:O700, "l")</f>
        <v>221</v>
      </c>
      <c r="AA700" s="23" t="str">
        <f>_xlfn.CONCAT(Y700,"-",Z700)</f>
        <v>131-221</v>
      </c>
      <c r="AB700" s="15" t="str">
        <f>_xlfn.CONCAT(AA700,"…",TEXT(U700,"+00;-00;+00;"))</f>
        <v>131-221…-16</v>
      </c>
      <c r="AC700" s="23" t="str">
        <f>_xlfn.CONCAT(TEXT(P700,"+00;-00;+00;"),"…",TEXT(Q700,"+00;-00;+00;"))</f>
        <v>-06…+10</v>
      </c>
      <c r="AD700" s="14" t="str">
        <f>IF(X700="","?","")</f>
        <v>?</v>
      </c>
      <c r="AE700" s="15" t="str">
        <f>_xlfn.CONCAT(AA700,"…",TEXT(P700,"+00;-00;+00;"),"...",TEXT(Q700,"+00;-00;+00;"))</f>
        <v>131-221…-06...+10</v>
      </c>
      <c r="AF700" s="13" t="str">
        <f>_xlfn.CONCAT(R700,"…",TEXT(P700,"+00;-00;+00;"),"...",TEXT(Q700,"+00;-00;+00;"))</f>
        <v>DWDDL…-06...+10</v>
      </c>
    </row>
    <row r="701" spans="1:32" x14ac:dyDescent="0.25">
      <c r="A701" s="12" t="s">
        <v>1078</v>
      </c>
      <c r="B701" s="13" t="s">
        <v>117</v>
      </c>
      <c r="C701" s="14" t="s">
        <v>33</v>
      </c>
      <c r="D701" s="13" t="s">
        <v>156</v>
      </c>
      <c r="E701" s="13" t="s">
        <v>668</v>
      </c>
      <c r="F701" s="15" t="s">
        <v>31</v>
      </c>
      <c r="G701" s="15" t="s">
        <v>30</v>
      </c>
      <c r="H701" s="15" t="s">
        <v>29</v>
      </c>
      <c r="I701" s="15" t="s">
        <v>31</v>
      </c>
      <c r="J701" s="15" t="s">
        <v>30</v>
      </c>
      <c r="K701" s="15" t="s">
        <v>30</v>
      </c>
      <c r="L701" s="15" t="s">
        <v>30</v>
      </c>
      <c r="M701" s="15" t="s">
        <v>29</v>
      </c>
      <c r="N701" s="15" t="s">
        <v>29</v>
      </c>
      <c r="O701" s="15" t="s">
        <v>31</v>
      </c>
      <c r="P701" s="18">
        <v>-9</v>
      </c>
      <c r="Q701" s="18">
        <v>-3</v>
      </c>
      <c r="R701" s="15" t="str">
        <f>_xlfn.CONCAT(F701,G701,H701,I701,J701)</f>
        <v>LWDLW</v>
      </c>
      <c r="S701" s="13" t="str">
        <f>_xlfn.CONCAT(K701,L701,M701,N701,O701)</f>
        <v>WWDDL</v>
      </c>
      <c r="T701" s="13" t="str">
        <f>_xlfn.CONCAT(R701,"***",S701)</f>
        <v>LWDLW***WWDDL</v>
      </c>
      <c r="U701" s="19">
        <f>(P701-Q701)</f>
        <v>-6</v>
      </c>
      <c r="V701" s="14"/>
      <c r="W701" s="14"/>
      <c r="X701" s="20" t="str">
        <f>IF(ISBLANK(V701),"",IF(V701&gt;W701,"1",IF(V701&lt;W701,"2",IF(V701=W701,"X"))))</f>
        <v/>
      </c>
      <c r="Y701" s="23" t="str">
        <f>COUNTIF(F701:J701, "W")&amp;COUNTIF(F701:J701, "d")&amp;COUNTIF(F701:J701, "l")</f>
        <v>212</v>
      </c>
      <c r="Z701" s="13" t="str">
        <f>COUNTIF(K701:O701, "W")&amp;COUNTIF(K701:O701, "d")&amp;COUNTIF(K701:O701, "l")</f>
        <v>221</v>
      </c>
      <c r="AA701" s="23" t="str">
        <f>_xlfn.CONCAT(Y701,"-",Z701)</f>
        <v>212-221</v>
      </c>
      <c r="AB701" s="15" t="str">
        <f>_xlfn.CONCAT(AA701,"…",TEXT(U701,"+00;-00;+00;"))</f>
        <v>212-221…-06</v>
      </c>
      <c r="AC701" s="23" t="str">
        <f>_xlfn.CONCAT(TEXT(P701,"+00;-00;+00;"),"…",TEXT(Q701,"+00;-00;+00;"))</f>
        <v>-09…-03</v>
      </c>
      <c r="AD701" s="14" t="str">
        <f>IF(X701="","?","")</f>
        <v>?</v>
      </c>
      <c r="AE701" s="15" t="str">
        <f>_xlfn.CONCAT(AA701,"…",TEXT(P701,"+00;-00;+00;"),"...",TEXT(Q701,"+00;-00;+00;"))</f>
        <v>212-221…-09...-03</v>
      </c>
      <c r="AF701" s="13" t="str">
        <f>_xlfn.CONCAT(R701,"…",TEXT(P701,"+00;-00;+00;"),"...",TEXT(Q701,"+00;-00;+00;"))</f>
        <v>LWDLW…-09...-03</v>
      </c>
    </row>
    <row r="702" spans="1:32" x14ac:dyDescent="0.25">
      <c r="A702" s="12" t="s">
        <v>1078</v>
      </c>
      <c r="B702" s="13" t="s">
        <v>59</v>
      </c>
      <c r="C702" s="14">
        <v>1</v>
      </c>
      <c r="D702" s="13" t="s">
        <v>725</v>
      </c>
      <c r="E702" s="13" t="s">
        <v>734</v>
      </c>
      <c r="F702" s="15" t="s">
        <v>29</v>
      </c>
      <c r="G702" s="15" t="s">
        <v>30</v>
      </c>
      <c r="H702" s="15" t="s">
        <v>29</v>
      </c>
      <c r="I702" s="15" t="s">
        <v>30</v>
      </c>
      <c r="J702" s="15" t="s">
        <v>30</v>
      </c>
      <c r="K702" s="15" t="s">
        <v>30</v>
      </c>
      <c r="L702" s="15" t="s">
        <v>31</v>
      </c>
      <c r="M702" s="15" t="s">
        <v>30</v>
      </c>
      <c r="N702" s="15" t="s">
        <v>30</v>
      </c>
      <c r="O702" s="15" t="s">
        <v>31</v>
      </c>
      <c r="P702" s="18">
        <v>12</v>
      </c>
      <c r="Q702" s="18">
        <v>18</v>
      </c>
      <c r="R702" s="15" t="str">
        <f>_xlfn.CONCAT(F702,G702,H702,I702,J702)</f>
        <v>DWDWW</v>
      </c>
      <c r="S702" s="13" t="str">
        <f>_xlfn.CONCAT(K702,L702,M702,N702,O702)</f>
        <v>WLWWL</v>
      </c>
      <c r="T702" s="13" t="str">
        <f>_xlfn.CONCAT(R702,"***",S702)</f>
        <v>DWDWW***WLWWL</v>
      </c>
      <c r="U702" s="19">
        <f>(P702-Q702)</f>
        <v>-6</v>
      </c>
      <c r="V702" s="14"/>
      <c r="W702" s="14"/>
      <c r="X702" s="20" t="str">
        <f>IF(ISBLANK(V702),"",IF(V702&gt;W702,"1",IF(V702&lt;W702,"2",IF(V702=W702,"X"))))</f>
        <v/>
      </c>
      <c r="Y702" s="23" t="str">
        <f>COUNTIF(F702:J702, "W")&amp;COUNTIF(F702:J702, "d")&amp;COUNTIF(F702:J702, "l")</f>
        <v>320</v>
      </c>
      <c r="Z702" s="13" t="str">
        <f>COUNTIF(K702:O702, "W")&amp;COUNTIF(K702:O702, "d")&amp;COUNTIF(K702:O702, "l")</f>
        <v>302</v>
      </c>
      <c r="AA702" s="23" t="str">
        <f>_xlfn.CONCAT(Y702,"-",Z702)</f>
        <v>320-302</v>
      </c>
      <c r="AB702" s="15" t="str">
        <f>_xlfn.CONCAT(AA702,"…",TEXT(U702,"+00;-00;+00;"))</f>
        <v>320-302…-06</v>
      </c>
      <c r="AC702" s="23" t="str">
        <f>_xlfn.CONCAT(TEXT(P702,"+00;-00;+00;"),"…",TEXT(Q702,"+00;-00;+00;"))</f>
        <v>+12…+18</v>
      </c>
      <c r="AD702" s="14" t="str">
        <f>IF(X702="","?","")</f>
        <v>?</v>
      </c>
      <c r="AE702" s="15" t="str">
        <f>_xlfn.CONCAT(AA702,"…",TEXT(P702,"+00;-00;+00;"),"...",TEXT(Q702,"+00;-00;+00;"))</f>
        <v>320-302…+12...+18</v>
      </c>
      <c r="AF702" s="13" t="str">
        <f>_xlfn.CONCAT(R702,"…",TEXT(P702,"+00;-00;+00;"),"...",TEXT(Q702,"+00;-00;+00;"))</f>
        <v>DWDWW…+12...+18</v>
      </c>
    </row>
    <row r="703" spans="1:32" x14ac:dyDescent="0.25">
      <c r="A703" s="12" t="s">
        <v>1094</v>
      </c>
      <c r="B703" s="13" t="s">
        <v>401</v>
      </c>
      <c r="C703" s="14">
        <v>1</v>
      </c>
      <c r="D703" s="13" t="s">
        <v>1189</v>
      </c>
      <c r="E703" s="13" t="s">
        <v>794</v>
      </c>
      <c r="F703" s="15" t="s">
        <v>31</v>
      </c>
      <c r="G703" s="15" t="s">
        <v>31</v>
      </c>
      <c r="H703" s="15" t="s">
        <v>31</v>
      </c>
      <c r="I703" s="15" t="s">
        <v>29</v>
      </c>
      <c r="J703" s="15" t="s">
        <v>31</v>
      </c>
      <c r="K703" s="15" t="s">
        <v>29</v>
      </c>
      <c r="L703" s="15" t="s">
        <v>31</v>
      </c>
      <c r="M703" s="15" t="s">
        <v>29</v>
      </c>
      <c r="N703" s="15" t="s">
        <v>29</v>
      </c>
      <c r="O703" s="15" t="s">
        <v>31</v>
      </c>
      <c r="P703" s="18">
        <v>-14</v>
      </c>
      <c r="Q703" s="18">
        <v>-8</v>
      </c>
      <c r="R703" s="15" t="str">
        <f>_xlfn.CONCAT(F703,G703,H703,I703,J703)</f>
        <v>LLLDL</v>
      </c>
      <c r="S703" s="13" t="str">
        <f>_xlfn.CONCAT(K703,L703,M703,N703,O703)</f>
        <v>DLDDL</v>
      </c>
      <c r="T703" s="13" t="str">
        <f>_xlfn.CONCAT(R703,"***",S703)</f>
        <v>LLLDL***DLDDL</v>
      </c>
      <c r="U703" s="19">
        <f>(P703-Q703)</f>
        <v>-6</v>
      </c>
      <c r="V703" s="14"/>
      <c r="W703" s="14"/>
      <c r="X703" s="20" t="str">
        <f>IF(ISBLANK(V703),"",IF(V703&gt;W703,"1",IF(V703&lt;W703,"2",IF(V703=W703,"X"))))</f>
        <v/>
      </c>
      <c r="Y703" s="23" t="str">
        <f>COUNTIF(F703:J703, "W")&amp;COUNTIF(F703:J703, "d")&amp;COUNTIF(F703:J703, "l")</f>
        <v>014</v>
      </c>
      <c r="Z703" s="13" t="str">
        <f>COUNTIF(K703:O703, "W")&amp;COUNTIF(K703:O703, "d")&amp;COUNTIF(K703:O703, "l")</f>
        <v>032</v>
      </c>
      <c r="AA703" s="23" t="str">
        <f>_xlfn.CONCAT(Y703,"-",Z703)</f>
        <v>014-032</v>
      </c>
      <c r="AB703" s="15" t="str">
        <f>_xlfn.CONCAT(AA703,"…",TEXT(U703,"+00;-00;+00;"))</f>
        <v>014-032…-06</v>
      </c>
      <c r="AC703" s="23" t="str">
        <f>_xlfn.CONCAT(TEXT(P703,"+00;-00;+00;"),"…",TEXT(Q703,"+00;-00;+00;"))</f>
        <v>-14…-08</v>
      </c>
      <c r="AD703" s="14" t="str">
        <f>IF(X703="","?","")</f>
        <v>?</v>
      </c>
      <c r="AE703" s="15" t="str">
        <f>_xlfn.CONCAT(AA703,"…",TEXT(P703,"+00;-00;+00;"),"...",TEXT(Q703,"+00;-00;+00;"))</f>
        <v>014-032…-14...-08</v>
      </c>
      <c r="AF703" s="13" t="str">
        <f>_xlfn.CONCAT(R703,"…",TEXT(P703,"+00;-00;+00;"),"...",TEXT(Q703,"+00;-00;+00;"))</f>
        <v>LLLDL…-14...-08</v>
      </c>
    </row>
    <row r="704" spans="1:32" x14ac:dyDescent="0.25">
      <c r="A704" s="12" t="s">
        <v>1094</v>
      </c>
      <c r="B704" s="13" t="s">
        <v>250</v>
      </c>
      <c r="C704" s="14">
        <v>1</v>
      </c>
      <c r="D704" s="13" t="s">
        <v>998</v>
      </c>
      <c r="E704" s="13" t="s">
        <v>260</v>
      </c>
      <c r="F704" s="15" t="s">
        <v>29</v>
      </c>
      <c r="G704" s="15" t="s">
        <v>29</v>
      </c>
      <c r="H704" s="15" t="s">
        <v>29</v>
      </c>
      <c r="I704" s="15" t="s">
        <v>30</v>
      </c>
      <c r="J704" s="15" t="s">
        <v>31</v>
      </c>
      <c r="K704" s="15" t="s">
        <v>31</v>
      </c>
      <c r="L704" s="15" t="s">
        <v>31</v>
      </c>
      <c r="M704" s="15" t="s">
        <v>29</v>
      </c>
      <c r="N704" s="15" t="s">
        <v>30</v>
      </c>
      <c r="O704" s="15" t="s">
        <v>31</v>
      </c>
      <c r="P704" s="18">
        <v>-7</v>
      </c>
      <c r="Q704" s="18">
        <v>-8</v>
      </c>
      <c r="R704" s="15" t="str">
        <f>_xlfn.CONCAT(F704,G704,H704,I704,J704)</f>
        <v>DDDWL</v>
      </c>
      <c r="S704" s="13" t="str">
        <f>_xlfn.CONCAT(K704,L704,M704,N704,O704)</f>
        <v>LLDWL</v>
      </c>
      <c r="T704" s="13" t="str">
        <f>_xlfn.CONCAT(R704,"***",S704)</f>
        <v>DDDWL***LLDWL</v>
      </c>
      <c r="U704" s="19">
        <f>(P704-Q704)</f>
        <v>1</v>
      </c>
      <c r="V704" s="14"/>
      <c r="W704" s="14"/>
      <c r="X704" s="20" t="str">
        <f>IF(ISBLANK(V704),"",IF(V704&gt;W704,"1",IF(V704&lt;W704,"2",IF(V704=W704,"X"))))</f>
        <v/>
      </c>
      <c r="Y704" s="23" t="str">
        <f>COUNTIF(F704:J704, "W")&amp;COUNTIF(F704:J704, "d")&amp;COUNTIF(F704:J704, "l")</f>
        <v>131</v>
      </c>
      <c r="Z704" s="13" t="str">
        <f>COUNTIF(K704:O704, "W")&amp;COUNTIF(K704:O704, "d")&amp;COUNTIF(K704:O704, "l")</f>
        <v>113</v>
      </c>
      <c r="AA704" s="23" t="str">
        <f>_xlfn.CONCAT(Y704,"-",Z704)</f>
        <v>131-113</v>
      </c>
      <c r="AB704" s="15" t="str">
        <f>_xlfn.CONCAT(AA704,"…",TEXT(U704,"+00;-00;+00;"))</f>
        <v>131-113…+01</v>
      </c>
      <c r="AC704" s="23" t="str">
        <f>_xlfn.CONCAT(TEXT(P704,"+00;-00;+00;"),"…",TEXT(Q704,"+00;-00;+00;"))</f>
        <v>-07…-08</v>
      </c>
      <c r="AD704" s="14" t="str">
        <f>IF(X704="","?","")</f>
        <v>?</v>
      </c>
      <c r="AE704" s="15" t="str">
        <f>_xlfn.CONCAT(AA704,"…",TEXT(P704,"+00;-00;+00;"),"...",TEXT(Q704,"+00;-00;+00;"))</f>
        <v>131-113…-07...-08</v>
      </c>
      <c r="AF704" s="13" t="str">
        <f>_xlfn.CONCAT(R704,"…",TEXT(P704,"+00;-00;+00;"),"...",TEXT(Q704,"+00;-00;+00;"))</f>
        <v>DDDWL…-07...-08</v>
      </c>
    </row>
    <row r="705" spans="1:32" x14ac:dyDescent="0.25">
      <c r="A705" s="12" t="s">
        <v>1094</v>
      </c>
      <c r="B705" s="13" t="s">
        <v>295</v>
      </c>
      <c r="C705" s="14">
        <v>1</v>
      </c>
      <c r="D705" s="13" t="s">
        <v>317</v>
      </c>
      <c r="E705" s="13" t="s">
        <v>1131</v>
      </c>
      <c r="F705" s="15" t="s">
        <v>30</v>
      </c>
      <c r="G705" s="15" t="s">
        <v>29</v>
      </c>
      <c r="H705" s="15" t="s">
        <v>30</v>
      </c>
      <c r="I705" s="15" t="s">
        <v>29</v>
      </c>
      <c r="J705" s="15" t="s">
        <v>29</v>
      </c>
      <c r="K705" s="15" t="s">
        <v>31</v>
      </c>
      <c r="L705" s="15" t="s">
        <v>31</v>
      </c>
      <c r="M705" s="15" t="s">
        <v>29</v>
      </c>
      <c r="N705" s="15" t="s">
        <v>30</v>
      </c>
      <c r="O705" s="15" t="s">
        <v>31</v>
      </c>
      <c r="P705" s="18">
        <v>-9</v>
      </c>
      <c r="Q705" s="18">
        <v>-13</v>
      </c>
      <c r="R705" s="15" t="str">
        <f>_xlfn.CONCAT(F705,G705,H705,I705,J705)</f>
        <v>WDWDD</v>
      </c>
      <c r="S705" s="13" t="str">
        <f>_xlfn.CONCAT(K705,L705,M705,N705,O705)</f>
        <v>LLDWL</v>
      </c>
      <c r="T705" s="13" t="str">
        <f>_xlfn.CONCAT(R705,"***",S705)</f>
        <v>WDWDD***LLDWL</v>
      </c>
      <c r="U705" s="19">
        <f>(P705-Q705)</f>
        <v>4</v>
      </c>
      <c r="V705" s="14"/>
      <c r="W705" s="14"/>
      <c r="X705" s="20" t="str">
        <f>IF(ISBLANK(V705),"",IF(V705&gt;W705,"1",IF(V705&lt;W705,"2",IF(V705=W705,"X"))))</f>
        <v/>
      </c>
      <c r="Y705" s="23" t="str">
        <f>COUNTIF(F705:J705, "W")&amp;COUNTIF(F705:J705, "d")&amp;COUNTIF(F705:J705, "l")</f>
        <v>230</v>
      </c>
      <c r="Z705" s="13" t="str">
        <f>COUNTIF(K705:O705, "W")&amp;COUNTIF(K705:O705, "d")&amp;COUNTIF(K705:O705, "l")</f>
        <v>113</v>
      </c>
      <c r="AA705" s="23" t="str">
        <f>_xlfn.CONCAT(Y705,"-",Z705)</f>
        <v>230-113</v>
      </c>
      <c r="AB705" s="15" t="str">
        <f>_xlfn.CONCAT(AA705,"…",TEXT(U705,"+00;-00;+00;"))</f>
        <v>230-113…+04</v>
      </c>
      <c r="AC705" s="23" t="str">
        <f>_xlfn.CONCAT(TEXT(P705,"+00;-00;+00;"),"…",TEXT(Q705,"+00;-00;+00;"))</f>
        <v>-09…-13</v>
      </c>
      <c r="AD705" s="14" t="str">
        <f>IF(X705="","?","")</f>
        <v>?</v>
      </c>
      <c r="AE705" s="15" t="str">
        <f>_xlfn.CONCAT(AA705,"…",TEXT(P705,"+00;-00;+00;"),"...",TEXT(Q705,"+00;-00;+00;"))</f>
        <v>230-113…-09...-13</v>
      </c>
      <c r="AF705" s="13" t="str">
        <f>_xlfn.CONCAT(R705,"…",TEXT(P705,"+00;-00;+00;"),"...",TEXT(Q705,"+00;-00;+00;"))</f>
        <v>WDWDD…-09...-13</v>
      </c>
    </row>
    <row r="706" spans="1:32" x14ac:dyDescent="0.25">
      <c r="A706" s="12" t="s">
        <v>1094</v>
      </c>
      <c r="B706" s="13" t="s">
        <v>250</v>
      </c>
      <c r="C706" s="14">
        <v>2</v>
      </c>
      <c r="D706" s="13" t="s">
        <v>857</v>
      </c>
      <c r="E706" s="13" t="s">
        <v>1006</v>
      </c>
      <c r="F706" s="15" t="s">
        <v>31</v>
      </c>
      <c r="G706" s="15" t="s">
        <v>30</v>
      </c>
      <c r="H706" s="15" t="s">
        <v>30</v>
      </c>
      <c r="I706" s="15" t="s">
        <v>30</v>
      </c>
      <c r="J706" s="15" t="s">
        <v>29</v>
      </c>
      <c r="K706" s="15" t="s">
        <v>30</v>
      </c>
      <c r="L706" s="15" t="s">
        <v>31</v>
      </c>
      <c r="M706" s="15" t="s">
        <v>30</v>
      </c>
      <c r="N706" s="15" t="s">
        <v>31</v>
      </c>
      <c r="O706" s="15" t="s">
        <v>31</v>
      </c>
      <c r="P706" s="18">
        <v>11</v>
      </c>
      <c r="Q706" s="18">
        <v>-9</v>
      </c>
      <c r="R706" s="15" t="str">
        <f>_xlfn.CONCAT(F706,G706,H706,I706,J706)</f>
        <v>LWWWD</v>
      </c>
      <c r="S706" s="13" t="str">
        <f>_xlfn.CONCAT(K706,L706,M706,N706,O706)</f>
        <v>WLWLL</v>
      </c>
      <c r="T706" s="13" t="str">
        <f>_xlfn.CONCAT(R706,"***",S706)</f>
        <v>LWWWD***WLWLL</v>
      </c>
      <c r="U706" s="19">
        <f>(P706-Q706)</f>
        <v>20</v>
      </c>
      <c r="V706" s="14"/>
      <c r="W706" s="14"/>
      <c r="X706" s="20" t="str">
        <f>IF(ISBLANK(V706),"",IF(V706&gt;W706,"1",IF(V706&lt;W706,"2",IF(V706=W706,"X"))))</f>
        <v/>
      </c>
      <c r="Y706" s="23" t="str">
        <f>COUNTIF(F706:J706, "W")&amp;COUNTIF(F706:J706, "d")&amp;COUNTIF(F706:J706, "l")</f>
        <v>311</v>
      </c>
      <c r="Z706" s="13" t="str">
        <f>COUNTIF(K706:O706, "W")&amp;COUNTIF(K706:O706, "d")&amp;COUNTIF(K706:O706, "l")</f>
        <v>203</v>
      </c>
      <c r="AA706" s="23" t="str">
        <f>_xlfn.CONCAT(Y706,"-",Z706)</f>
        <v>311-203</v>
      </c>
      <c r="AB706" s="15" t="str">
        <f>_xlfn.CONCAT(AA706,"…",TEXT(U706,"+00;-00;+00;"))</f>
        <v>311-203…+20</v>
      </c>
      <c r="AC706" s="23" t="str">
        <f>_xlfn.CONCAT(TEXT(P706,"+00;-00;+00;"),"…",TEXT(Q706,"+00;-00;+00;"))</f>
        <v>+11…-09</v>
      </c>
      <c r="AD706" s="14" t="str">
        <f>IF(X706="","?","")</f>
        <v>?</v>
      </c>
      <c r="AE706" s="15" t="str">
        <f>_xlfn.CONCAT(AA706,"…",TEXT(P706,"+00;-00;+00;"),"...",TEXT(Q706,"+00;-00;+00;"))</f>
        <v>311-203…+11...-09</v>
      </c>
      <c r="AF706" s="13" t="str">
        <f>_xlfn.CONCAT(R706,"…",TEXT(P706,"+00;-00;+00;"),"...",TEXT(Q706,"+00;-00;+00;"))</f>
        <v>LWWWD…+11...-09</v>
      </c>
    </row>
    <row r="707" spans="1:32" x14ac:dyDescent="0.25">
      <c r="A707" s="12" t="s">
        <v>1094</v>
      </c>
      <c r="B707" s="13" t="s">
        <v>208</v>
      </c>
      <c r="C707" s="14">
        <v>3</v>
      </c>
      <c r="D707" s="13" t="s">
        <v>1043</v>
      </c>
      <c r="E707" s="13" t="s">
        <v>1169</v>
      </c>
      <c r="F707" s="15" t="s">
        <v>31</v>
      </c>
      <c r="G707" s="15" t="s">
        <v>30</v>
      </c>
      <c r="H707" s="15" t="s">
        <v>29</v>
      </c>
      <c r="I707" s="15" t="s">
        <v>30</v>
      </c>
      <c r="J707" s="15" t="s">
        <v>30</v>
      </c>
      <c r="K707" s="15" t="s">
        <v>30</v>
      </c>
      <c r="L707" s="15" t="s">
        <v>29</v>
      </c>
      <c r="M707" s="15" t="s">
        <v>29</v>
      </c>
      <c r="N707" s="15" t="s">
        <v>29</v>
      </c>
      <c r="O707" s="15" t="s">
        <v>30</v>
      </c>
      <c r="P707" s="18">
        <v>5</v>
      </c>
      <c r="Q707" s="18">
        <v>5</v>
      </c>
      <c r="R707" s="15" t="str">
        <f>_xlfn.CONCAT(F707,G707,H707,I707,J707)</f>
        <v>LWDWW</v>
      </c>
      <c r="S707" s="13" t="str">
        <f>_xlfn.CONCAT(K707,L707,M707,N707,O707)</f>
        <v>WDDDW</v>
      </c>
      <c r="T707" s="13" t="str">
        <f>_xlfn.CONCAT(R707,"***",S707)</f>
        <v>LWDWW***WDDDW</v>
      </c>
      <c r="U707" s="19">
        <f>(P707-Q707)</f>
        <v>0</v>
      </c>
      <c r="V707" s="14"/>
      <c r="W707" s="14"/>
      <c r="X707" s="20" t="str">
        <f>IF(ISBLANK(V707),"",IF(V707&gt;W707,"1",IF(V707&lt;W707,"2",IF(V707=W707,"X"))))</f>
        <v/>
      </c>
      <c r="Y707" s="23" t="str">
        <f>COUNTIF(F707:J707, "W")&amp;COUNTIF(F707:J707, "d")&amp;COUNTIF(F707:J707, "l")</f>
        <v>311</v>
      </c>
      <c r="Z707" s="13" t="str">
        <f>COUNTIF(K707:O707, "W")&amp;COUNTIF(K707:O707, "d")&amp;COUNTIF(K707:O707, "l")</f>
        <v>230</v>
      </c>
      <c r="AA707" s="23" t="str">
        <f>_xlfn.CONCAT(Y707,"-",Z707)</f>
        <v>311-230</v>
      </c>
      <c r="AB707" s="15" t="str">
        <f>_xlfn.CONCAT(AA707,"…",TEXT(U707,"+00;-00;+00;"))</f>
        <v>311-230…+00</v>
      </c>
      <c r="AC707" s="23" t="str">
        <f>_xlfn.CONCAT(TEXT(P707,"+00;-00;+00;"),"…",TEXT(Q707,"+00;-00;+00;"))</f>
        <v>+05…+05</v>
      </c>
      <c r="AD707" s="14" t="str">
        <f>IF(X707="","?","")</f>
        <v>?</v>
      </c>
      <c r="AE707" s="15" t="str">
        <f>_xlfn.CONCAT(AA707,"…",TEXT(P707,"+00;-00;+00;"),"...",TEXT(Q707,"+00;-00;+00;"))</f>
        <v>311-230…+05...+05</v>
      </c>
      <c r="AF707" s="13" t="str">
        <f>_xlfn.CONCAT(R707,"…",TEXT(P707,"+00;-00;+00;"),"...",TEXT(Q707,"+00;-00;+00;"))</f>
        <v>LWDWW…+05...+05</v>
      </c>
    </row>
    <row r="708" spans="1:32" x14ac:dyDescent="0.25">
      <c r="A708" s="12" t="s">
        <v>1181</v>
      </c>
      <c r="B708" s="13" t="s">
        <v>167</v>
      </c>
      <c r="C708" s="14">
        <v>1</v>
      </c>
      <c r="D708" s="13" t="s">
        <v>182</v>
      </c>
      <c r="E708" s="13" t="s">
        <v>175</v>
      </c>
      <c r="F708" s="15" t="s">
        <v>31</v>
      </c>
      <c r="G708" s="15" t="s">
        <v>31</v>
      </c>
      <c r="H708" s="15" t="s">
        <v>29</v>
      </c>
      <c r="I708" s="15" t="s">
        <v>29</v>
      </c>
      <c r="J708" s="15" t="s">
        <v>30</v>
      </c>
      <c r="K708" s="15" t="s">
        <v>30</v>
      </c>
      <c r="L708" s="15" t="s">
        <v>31</v>
      </c>
      <c r="M708" s="15" t="s">
        <v>30</v>
      </c>
      <c r="N708" s="15" t="s">
        <v>29</v>
      </c>
      <c r="O708" s="15" t="s">
        <v>30</v>
      </c>
      <c r="P708" s="18">
        <v>-4</v>
      </c>
      <c r="Q708" s="18">
        <v>10</v>
      </c>
      <c r="R708" s="15" t="str">
        <f>_xlfn.CONCAT(F708,G708,H708,I708,J708)</f>
        <v>LLDDW</v>
      </c>
      <c r="S708" s="13" t="str">
        <f>_xlfn.CONCAT(K708,L708,M708,N708,O708)</f>
        <v>WLWDW</v>
      </c>
      <c r="T708" s="13" t="str">
        <f>_xlfn.CONCAT(R708,"***",S708)</f>
        <v>LLDDW***WLWDW</v>
      </c>
      <c r="U708" s="19">
        <f>(P708-Q708)</f>
        <v>-14</v>
      </c>
      <c r="V708" s="14"/>
      <c r="W708" s="14"/>
      <c r="X708" s="20" t="str">
        <f>IF(ISBLANK(V708),"",IF(V708&gt;W708,"1",IF(V708&lt;W708,"2",IF(V708=W708,"X"))))</f>
        <v/>
      </c>
      <c r="Y708" s="23" t="str">
        <f>COUNTIF(F708:J708, "W")&amp;COUNTIF(F708:J708, "d")&amp;COUNTIF(F708:J708, "l")</f>
        <v>122</v>
      </c>
      <c r="Z708" s="13" t="str">
        <f>COUNTIF(K708:O708, "W")&amp;COUNTIF(K708:O708, "d")&amp;COUNTIF(K708:O708, "l")</f>
        <v>311</v>
      </c>
      <c r="AA708" s="23" t="str">
        <f>_xlfn.CONCAT(Y708,"-",Z708)</f>
        <v>122-311</v>
      </c>
      <c r="AB708" s="15" t="str">
        <f>_xlfn.CONCAT(AA708,"…",TEXT(U708,"+00;-00;+00;"))</f>
        <v>122-311…-14</v>
      </c>
      <c r="AC708" s="23" t="str">
        <f>_xlfn.CONCAT(TEXT(P708,"+00;-00;+00;"),"…",TEXT(Q708,"+00;-00;+00;"))</f>
        <v>-04…+10</v>
      </c>
      <c r="AD708" s="14" t="str">
        <f>IF(X708="","?","")</f>
        <v>?</v>
      </c>
      <c r="AE708" s="15" t="str">
        <f>_xlfn.CONCAT(AA708,"…",TEXT(P708,"+00;-00;+00;"),"...",TEXT(Q708,"+00;-00;+00;"))</f>
        <v>122-311…-04...+10</v>
      </c>
      <c r="AF708" s="13" t="str">
        <f>_xlfn.CONCAT(R708,"…",TEXT(P708,"+00;-00;+00;"),"...",TEXT(Q708,"+00;-00;+00;"))</f>
        <v>LLDDW…-04...+10</v>
      </c>
    </row>
    <row r="709" spans="1:32" x14ac:dyDescent="0.25">
      <c r="A709" s="12" t="s">
        <v>1176</v>
      </c>
      <c r="B709" s="13" t="s">
        <v>414</v>
      </c>
      <c r="C709" s="14">
        <v>1</v>
      </c>
      <c r="D709" s="13" t="s">
        <v>836</v>
      </c>
      <c r="E709" s="13" t="s">
        <v>1179</v>
      </c>
      <c r="F709" s="15" t="s">
        <v>31</v>
      </c>
      <c r="G709" s="15" t="s">
        <v>31</v>
      </c>
      <c r="H709" s="15" t="s">
        <v>30</v>
      </c>
      <c r="I709" s="15" t="s">
        <v>30</v>
      </c>
      <c r="J709" s="15" t="s">
        <v>29</v>
      </c>
      <c r="K709" s="15" t="s">
        <v>29</v>
      </c>
      <c r="L709" s="15" t="s">
        <v>31</v>
      </c>
      <c r="M709" s="15" t="s">
        <v>31</v>
      </c>
      <c r="N709" s="15" t="s">
        <v>29</v>
      </c>
      <c r="O709" s="15" t="s">
        <v>30</v>
      </c>
      <c r="P709" s="18">
        <v>-4</v>
      </c>
      <c r="Q709" s="18">
        <v>10</v>
      </c>
      <c r="R709" s="15" t="str">
        <f>_xlfn.CONCAT(F709,G709,H709,I709,J709)</f>
        <v>LLWWD</v>
      </c>
      <c r="S709" s="13" t="str">
        <f>_xlfn.CONCAT(K709,L709,M709,N709,O709)</f>
        <v>DLLDW</v>
      </c>
      <c r="T709" s="13" t="str">
        <f>_xlfn.CONCAT(R709,"***",S709)</f>
        <v>LLWWD***DLLDW</v>
      </c>
      <c r="U709" s="19">
        <f>(P709-Q709)</f>
        <v>-14</v>
      </c>
      <c r="V709" s="14"/>
      <c r="W709" s="14"/>
      <c r="X709" s="20" t="str">
        <f>IF(ISBLANK(V709),"",IF(V709&gt;W709,"1",IF(V709&lt;W709,"2",IF(V709=W709,"X"))))</f>
        <v/>
      </c>
      <c r="Y709" s="23" t="str">
        <f>COUNTIF(F709:J709, "W")&amp;COUNTIF(F709:J709, "d")&amp;COUNTIF(F709:J709, "l")</f>
        <v>212</v>
      </c>
      <c r="Z709" s="13" t="str">
        <f>COUNTIF(K709:O709, "W")&amp;COUNTIF(K709:O709, "d")&amp;COUNTIF(K709:O709, "l")</f>
        <v>122</v>
      </c>
      <c r="AA709" s="23" t="str">
        <f>_xlfn.CONCAT(Y709,"-",Z709)</f>
        <v>212-122</v>
      </c>
      <c r="AB709" s="15" t="str">
        <f>_xlfn.CONCAT(AA709,"…",TEXT(U709,"+00;-00;+00;"))</f>
        <v>212-122…-14</v>
      </c>
      <c r="AC709" s="23" t="str">
        <f>_xlfn.CONCAT(TEXT(P709,"+00;-00;+00;"),"…",TEXT(Q709,"+00;-00;+00;"))</f>
        <v>-04…+10</v>
      </c>
      <c r="AD709" s="14" t="str">
        <f>IF(X709="","?","")</f>
        <v>?</v>
      </c>
      <c r="AE709" s="15" t="str">
        <f>_xlfn.CONCAT(AA709,"…",TEXT(P709,"+00;-00;+00;"),"...",TEXT(Q709,"+00;-00;+00;"))</f>
        <v>212-122…-04...+10</v>
      </c>
      <c r="AF709" s="13" t="str">
        <f>_xlfn.CONCAT(R709,"…",TEXT(P709,"+00;-00;+00;"),"...",TEXT(Q709,"+00;-00;+00;"))</f>
        <v>LLWWD…-04...+10</v>
      </c>
    </row>
    <row r="710" spans="1:32" x14ac:dyDescent="0.25">
      <c r="A710" s="27" t="s">
        <v>1114</v>
      </c>
      <c r="B710" s="28" t="s">
        <v>1198</v>
      </c>
      <c r="C710" s="29">
        <v>1</v>
      </c>
      <c r="D710" s="28" t="s">
        <v>1207</v>
      </c>
      <c r="E710" s="28" t="s">
        <v>1208</v>
      </c>
      <c r="F710" s="30" t="s">
        <v>29</v>
      </c>
      <c r="G710" s="30" t="s">
        <v>31</v>
      </c>
      <c r="H710" s="30" t="s">
        <v>29</v>
      </c>
      <c r="I710" s="30" t="s">
        <v>30</v>
      </c>
      <c r="J710" s="30" t="s">
        <v>31</v>
      </c>
      <c r="K710" s="30" t="s">
        <v>31</v>
      </c>
      <c r="L710" s="30" t="s">
        <v>31</v>
      </c>
      <c r="M710" s="30" t="s">
        <v>31</v>
      </c>
      <c r="N710" s="30" t="s">
        <v>31</v>
      </c>
      <c r="O710" s="30" t="s">
        <v>31</v>
      </c>
      <c r="P710" s="31">
        <v>-9</v>
      </c>
      <c r="Q710" s="31">
        <v>-26</v>
      </c>
      <c r="R710" s="32" t="str">
        <f>_xlfn.CONCAT(F710,G710,H710,I710,J710)</f>
        <v>DLDWL</v>
      </c>
      <c r="S710" s="33" t="str">
        <f>_xlfn.CONCAT(K710,L710,M710,N710,O710)</f>
        <v>LLLLL</v>
      </c>
      <c r="T710" s="33" t="str">
        <f>_xlfn.CONCAT(R710,"***",S710)</f>
        <v>DLDWL***LLLLL</v>
      </c>
      <c r="U710" s="34">
        <f>(P710-Q710)</f>
        <v>17</v>
      </c>
      <c r="V710" s="29"/>
      <c r="W710" s="29"/>
      <c r="X710" s="35" t="str">
        <f>IF(ISBLANK(V710),"",IF(V710&gt;W710,"1",IF(V710&lt;W710,"2",IF(V710=W710,"X"))))</f>
        <v/>
      </c>
      <c r="Y710" s="36" t="str">
        <f>COUNTIF(F710:J710, "W")&amp;COUNTIF(F710:J710, "d")&amp;COUNTIF(F710:J710, "l")</f>
        <v>122</v>
      </c>
      <c r="Z710" s="37" t="str">
        <f>COUNTIF(K710:O710, "W")&amp;COUNTIF(K710:O710, "d")&amp;COUNTIF(K710:O710, "l")</f>
        <v>005</v>
      </c>
      <c r="AA710" s="38" t="str">
        <f>_xlfn.CONCAT(Y710,"-",Z710)</f>
        <v>122-005</v>
      </c>
      <c r="AB710" s="30" t="str">
        <f>_xlfn.CONCAT(AA710,"…",TEXT(U710,"+00;-00;+00;"))</f>
        <v>122-005…+17</v>
      </c>
      <c r="AC710" s="36" t="str">
        <f>_xlfn.CONCAT(TEXT(P710,"+00;-00;+00;"),"…",TEXT(Q710,"+00;-00;+00;"))</f>
        <v>-09…-26</v>
      </c>
      <c r="AD710" s="39" t="str">
        <f>IF(X710="","?","")</f>
        <v>?</v>
      </c>
      <c r="AE710" s="40" t="str">
        <f>_xlfn.CONCAT(AA710,"…",TEXT(P710,"+00;-00;+00;"),"...",TEXT(Q710,"+00;-00;+00;"))</f>
        <v>122-005…-09...-26</v>
      </c>
      <c r="AF710" s="33" t="str">
        <f>_xlfn.CONCAT(R710,"…",TEXT(P710,"+00;-00;+00;"),"...",TEXT(Q710,"+00;-00;+00;"))</f>
        <v>DLDWL…-09...-26</v>
      </c>
    </row>
    <row r="711" spans="1:32" x14ac:dyDescent="0.25">
      <c r="A711" s="12" t="s">
        <v>1114</v>
      </c>
      <c r="B711" s="13" t="s">
        <v>117</v>
      </c>
      <c r="C711" s="14" t="s">
        <v>0</v>
      </c>
      <c r="D711" s="13" t="s">
        <v>641</v>
      </c>
      <c r="E711" s="13" t="s">
        <v>959</v>
      </c>
      <c r="F711" s="15" t="s">
        <v>31</v>
      </c>
      <c r="G711" s="15" t="s">
        <v>31</v>
      </c>
      <c r="H711" s="15" t="s">
        <v>30</v>
      </c>
      <c r="I711" s="15" t="s">
        <v>31</v>
      </c>
      <c r="J711" s="15" t="s">
        <v>30</v>
      </c>
      <c r="K711" s="15" t="s">
        <v>30</v>
      </c>
      <c r="L711" s="15" t="s">
        <v>31</v>
      </c>
      <c r="M711" s="15" t="s">
        <v>29</v>
      </c>
      <c r="N711" s="15" t="s">
        <v>31</v>
      </c>
      <c r="O711" s="15" t="s">
        <v>30</v>
      </c>
      <c r="P711" s="18">
        <v>8</v>
      </c>
      <c r="Q711" s="18">
        <v>-12</v>
      </c>
      <c r="R711" s="15" t="str">
        <f>_xlfn.CONCAT(F711,G711,H711,I711,J711)</f>
        <v>LLWLW</v>
      </c>
      <c r="S711" s="13" t="str">
        <f>_xlfn.CONCAT(K711,L711,M711,N711,O711)</f>
        <v>WLDLW</v>
      </c>
      <c r="T711" s="13" t="str">
        <f>_xlfn.CONCAT(R711,"***",S711)</f>
        <v>LLWLW***WLDLW</v>
      </c>
      <c r="U711" s="19">
        <f>(P711-Q711)</f>
        <v>20</v>
      </c>
      <c r="V711" s="14"/>
      <c r="W711" s="14"/>
      <c r="X711" s="20" t="str">
        <f>IF(ISBLANK(V711),"",IF(V711&gt;W711,"1",IF(V711&lt;W711,"2",IF(V711=W711,"X"))))</f>
        <v/>
      </c>
      <c r="Y711" s="23" t="str">
        <f>COUNTIF(F711:J711, "W")&amp;COUNTIF(F711:J711, "d")&amp;COUNTIF(F711:J711, "l")</f>
        <v>203</v>
      </c>
      <c r="Z711" s="13" t="str">
        <f>COUNTIF(K711:O711, "W")&amp;COUNTIF(K711:O711, "d")&amp;COUNTIF(K711:O711, "l")</f>
        <v>212</v>
      </c>
      <c r="AA711" s="23" t="str">
        <f>_xlfn.CONCAT(Y711,"-",Z711)</f>
        <v>203-212</v>
      </c>
      <c r="AB711" s="15" t="str">
        <f>_xlfn.CONCAT(AA711,"…",TEXT(U711,"+00;-00;+00;"))</f>
        <v>203-212…+20</v>
      </c>
      <c r="AC711" s="23" t="str">
        <f>_xlfn.CONCAT(TEXT(P711,"+00;-00;+00;"),"…",TEXT(Q711,"+00;-00;+00;"))</f>
        <v>+08…-12</v>
      </c>
      <c r="AD711" s="14" t="str">
        <f>IF(X711="","?","")</f>
        <v>?</v>
      </c>
      <c r="AE711" s="15" t="str">
        <f>_xlfn.CONCAT(AA711,"…",TEXT(P711,"+00;-00;+00;"),"...",TEXT(Q711,"+00;-00;+00;"))</f>
        <v>203-212…+08...-12</v>
      </c>
      <c r="AF711" s="13" t="str">
        <f>_xlfn.CONCAT(R711,"…",TEXT(P711,"+00;-00;+00;"),"...",TEXT(Q711,"+00;-00;+00;"))</f>
        <v>LLWLW…+08...-12</v>
      </c>
    </row>
    <row r="712" spans="1:32" x14ac:dyDescent="0.25">
      <c r="A712" s="12" t="s">
        <v>1135</v>
      </c>
      <c r="B712" s="13" t="s">
        <v>318</v>
      </c>
      <c r="C712" s="14">
        <v>1</v>
      </c>
      <c r="D712" s="13" t="s">
        <v>336</v>
      </c>
      <c r="E712" s="13" t="s">
        <v>760</v>
      </c>
      <c r="F712" s="15" t="s">
        <v>31</v>
      </c>
      <c r="G712" s="15" t="s">
        <v>29</v>
      </c>
      <c r="H712" s="15" t="s">
        <v>31</v>
      </c>
      <c r="I712" s="15" t="s">
        <v>30</v>
      </c>
      <c r="J712" s="15" t="s">
        <v>29</v>
      </c>
      <c r="K712" s="15" t="s">
        <v>29</v>
      </c>
      <c r="L712" s="15" t="s">
        <v>30</v>
      </c>
      <c r="M712" s="15" t="s">
        <v>29</v>
      </c>
      <c r="N712" s="15" t="s">
        <v>29</v>
      </c>
      <c r="O712" s="15" t="s">
        <v>29</v>
      </c>
      <c r="P712" s="18">
        <v>-13</v>
      </c>
      <c r="Q712" s="18">
        <v>-4</v>
      </c>
      <c r="R712" s="15" t="str">
        <f>_xlfn.CONCAT(F712,G712,H712,I712,J712)</f>
        <v>LDLWD</v>
      </c>
      <c r="S712" s="13" t="str">
        <f>_xlfn.CONCAT(K712,L712,M712,N712,O712)</f>
        <v>DWDDD</v>
      </c>
      <c r="T712" s="13" t="str">
        <f>_xlfn.CONCAT(R712,"***",S712)</f>
        <v>LDLWD***DWDDD</v>
      </c>
      <c r="U712" s="19">
        <f>(P712-Q712)</f>
        <v>-9</v>
      </c>
      <c r="V712" s="14"/>
      <c r="W712" s="14"/>
      <c r="X712" s="20" t="str">
        <f>IF(ISBLANK(V712),"",IF(V712&gt;W712,"1",IF(V712&lt;W712,"2",IF(V712=W712,"X"))))</f>
        <v/>
      </c>
      <c r="Y712" s="23" t="str">
        <f>COUNTIF(F712:J712, "W")&amp;COUNTIF(F712:J712, "d")&amp;COUNTIF(F712:J712, "l")</f>
        <v>122</v>
      </c>
      <c r="Z712" s="13" t="str">
        <f>COUNTIF(K712:O712, "W")&amp;COUNTIF(K712:O712, "d")&amp;COUNTIF(K712:O712, "l")</f>
        <v>140</v>
      </c>
      <c r="AA712" s="23" t="str">
        <f>_xlfn.CONCAT(Y712,"-",Z712)</f>
        <v>122-140</v>
      </c>
      <c r="AB712" s="15" t="str">
        <f>_xlfn.CONCAT(AA712,"…",TEXT(U712,"+00;-00;+00;"))</f>
        <v>122-140…-09</v>
      </c>
      <c r="AC712" s="23" t="str">
        <f>_xlfn.CONCAT(TEXT(P712,"+00;-00;+00;"),"…",TEXT(Q712,"+00;-00;+00;"))</f>
        <v>-13…-04</v>
      </c>
      <c r="AD712" s="14" t="str">
        <f>IF(X712="","?","")</f>
        <v>?</v>
      </c>
      <c r="AE712" s="15" t="str">
        <f>_xlfn.CONCAT(AA712,"…",TEXT(P712,"+00;-00;+00;"),"...",TEXT(Q712,"+00;-00;+00;"))</f>
        <v>122-140…-13...-04</v>
      </c>
      <c r="AF712" s="13" t="str">
        <f>_xlfn.CONCAT(R712,"…",TEXT(P712,"+00;-00;+00;"),"...",TEXT(Q712,"+00;-00;+00;"))</f>
        <v>LDLWD…-13...-04</v>
      </c>
    </row>
    <row r="713" spans="1:32" x14ac:dyDescent="0.25">
      <c r="A713" s="12" t="s">
        <v>1064</v>
      </c>
      <c r="B713" s="13" t="s">
        <v>59</v>
      </c>
      <c r="C713" s="14">
        <v>1</v>
      </c>
      <c r="D713" s="13" t="s">
        <v>80</v>
      </c>
      <c r="E713" s="13" t="s">
        <v>722</v>
      </c>
      <c r="F713" s="15" t="s">
        <v>31</v>
      </c>
      <c r="G713" s="15" t="s">
        <v>29</v>
      </c>
      <c r="H713" s="15" t="s">
        <v>31</v>
      </c>
      <c r="I713" s="15" t="s">
        <v>29</v>
      </c>
      <c r="J713" s="15" t="s">
        <v>29</v>
      </c>
      <c r="K713" s="15" t="s">
        <v>30</v>
      </c>
      <c r="L713" s="15" t="s">
        <v>31</v>
      </c>
      <c r="M713" s="15" t="s">
        <v>30</v>
      </c>
      <c r="N713" s="15" t="s">
        <v>29</v>
      </c>
      <c r="O713" s="15" t="s">
        <v>30</v>
      </c>
      <c r="P713" s="18">
        <v>-1</v>
      </c>
      <c r="Q713" s="18">
        <v>-2</v>
      </c>
      <c r="R713" s="15" t="str">
        <f>_xlfn.CONCAT(F713,G713,H713,I713,J713)</f>
        <v>LDLDD</v>
      </c>
      <c r="S713" s="13" t="str">
        <f>_xlfn.CONCAT(K713,L713,M713,N713,O713)</f>
        <v>WLWDW</v>
      </c>
      <c r="T713" s="13" t="str">
        <f>_xlfn.CONCAT(R713,"***",S713)</f>
        <v>LDLDD***WLWDW</v>
      </c>
      <c r="U713" s="19">
        <f>(P713-Q713)</f>
        <v>1</v>
      </c>
      <c r="V713" s="14"/>
      <c r="W713" s="14"/>
      <c r="X713" s="20" t="str">
        <f>IF(ISBLANK(V713),"",IF(V713&gt;W713,"1",IF(V713&lt;W713,"2",IF(V713=W713,"X"))))</f>
        <v/>
      </c>
      <c r="Y713" s="23" t="str">
        <f>COUNTIF(F713:J713, "W")&amp;COUNTIF(F713:J713, "d")&amp;COUNTIF(F713:J713, "l")</f>
        <v>032</v>
      </c>
      <c r="Z713" s="13" t="str">
        <f>COUNTIF(K713:O713, "W")&amp;COUNTIF(K713:O713, "d")&amp;COUNTIF(K713:O713, "l")</f>
        <v>311</v>
      </c>
      <c r="AA713" s="23" t="str">
        <f>_xlfn.CONCAT(Y713,"-",Z713)</f>
        <v>032-311</v>
      </c>
      <c r="AB713" s="15" t="str">
        <f>_xlfn.CONCAT(AA713,"…",TEXT(U713,"+00;-00;+00;"))</f>
        <v>032-311…+01</v>
      </c>
      <c r="AC713" s="23" t="str">
        <f>_xlfn.CONCAT(TEXT(P713,"+00;-00;+00;"),"…",TEXT(Q713,"+00;-00;+00;"))</f>
        <v>-01…-02</v>
      </c>
      <c r="AD713" s="14" t="str">
        <f>IF(X713="","?","")</f>
        <v>?</v>
      </c>
      <c r="AE713" s="15" t="str">
        <f>_xlfn.CONCAT(AA713,"…",TEXT(P713,"+00;-00;+00;"),"...",TEXT(Q713,"+00;-00;+00;"))</f>
        <v>032-311…-01...-02</v>
      </c>
      <c r="AF713" s="13" t="str">
        <f>_xlfn.CONCAT(R713,"…",TEXT(P713,"+00;-00;+00;"),"...",TEXT(Q713,"+00;-00;+00;"))</f>
        <v>LDLDD…-01...-02</v>
      </c>
    </row>
    <row r="714" spans="1:32" x14ac:dyDescent="0.25">
      <c r="A714" s="12" t="s">
        <v>1064</v>
      </c>
      <c r="B714" s="13" t="s">
        <v>7</v>
      </c>
      <c r="C714" s="14" t="s">
        <v>8</v>
      </c>
      <c r="D714" s="13" t="s">
        <v>610</v>
      </c>
      <c r="E714" s="13" t="s">
        <v>613</v>
      </c>
      <c r="F714" s="15" t="s">
        <v>29</v>
      </c>
      <c r="G714" s="15" t="s">
        <v>31</v>
      </c>
      <c r="H714" s="15" t="s">
        <v>30</v>
      </c>
      <c r="I714" s="15" t="s">
        <v>31</v>
      </c>
      <c r="J714" s="15" t="s">
        <v>31</v>
      </c>
      <c r="K714" s="15" t="s">
        <v>30</v>
      </c>
      <c r="L714" s="15" t="s">
        <v>30</v>
      </c>
      <c r="M714" s="15" t="s">
        <v>30</v>
      </c>
      <c r="N714" s="15" t="s">
        <v>31</v>
      </c>
      <c r="O714" s="15" t="s">
        <v>30</v>
      </c>
      <c r="P714" s="18">
        <v>-18</v>
      </c>
      <c r="Q714" s="18">
        <v>0</v>
      </c>
      <c r="R714" s="15" t="str">
        <f>_xlfn.CONCAT(F714,G714,H714,I714,J714)</f>
        <v>DLWLL</v>
      </c>
      <c r="S714" s="13" t="str">
        <f>_xlfn.CONCAT(K714,L714,M714,N714,O714)</f>
        <v>WWWLW</v>
      </c>
      <c r="T714" s="13" t="str">
        <f>_xlfn.CONCAT(R714,"***",S714)</f>
        <v>DLWLL***WWWLW</v>
      </c>
      <c r="U714" s="19">
        <f>(P714-Q714)</f>
        <v>-18</v>
      </c>
      <c r="V714" s="14"/>
      <c r="W714" s="14"/>
      <c r="X714" s="20" t="str">
        <f>IF(ISBLANK(V714),"",IF(V714&gt;W714,"1",IF(V714&lt;W714,"2",IF(V714=W714,"X"))))</f>
        <v/>
      </c>
      <c r="Y714" s="23" t="str">
        <f>COUNTIF(F714:J714, "W")&amp;COUNTIF(F714:J714, "d")&amp;COUNTIF(F714:J714, "l")</f>
        <v>113</v>
      </c>
      <c r="Z714" s="13" t="str">
        <f>COUNTIF(K714:O714, "W")&amp;COUNTIF(K714:O714, "d")&amp;COUNTIF(K714:O714, "l")</f>
        <v>401</v>
      </c>
      <c r="AA714" s="23" t="str">
        <f>_xlfn.CONCAT(Y714,"-",Z714)</f>
        <v>113-401</v>
      </c>
      <c r="AB714" s="15" t="str">
        <f>_xlfn.CONCAT(AA714,"…",TEXT(U714,"+00;-00;+00;"))</f>
        <v>113-401…-18</v>
      </c>
      <c r="AC714" s="23" t="str">
        <f>_xlfn.CONCAT(TEXT(P714,"+00;-00;+00;"),"…",TEXT(Q714,"+00;-00;+00;"))</f>
        <v>-18…+00</v>
      </c>
      <c r="AD714" s="14" t="str">
        <f>IF(X714="","?","")</f>
        <v>?</v>
      </c>
      <c r="AE714" s="15" t="str">
        <f>_xlfn.CONCAT(AA714,"…",TEXT(P714,"+00;-00;+00;"),"...",TEXT(Q714,"+00;-00;+00;"))</f>
        <v>113-401…-18...+00</v>
      </c>
      <c r="AF714" s="13" t="str">
        <f>_xlfn.CONCAT(R714,"…",TEXT(P714,"+00;-00;+00;"),"...",TEXT(Q714,"+00;-00;+00;"))</f>
        <v>DLWLL…-18...+00</v>
      </c>
    </row>
    <row r="715" spans="1:32" x14ac:dyDescent="0.25">
      <c r="A715" s="12" t="s">
        <v>1064</v>
      </c>
      <c r="B715" s="13" t="s">
        <v>59</v>
      </c>
      <c r="C715" s="14">
        <v>2</v>
      </c>
      <c r="D715" s="13" t="s">
        <v>98</v>
      </c>
      <c r="E715" s="13" t="s">
        <v>742</v>
      </c>
      <c r="F715" s="15" t="s">
        <v>29</v>
      </c>
      <c r="G715" s="15" t="s">
        <v>31</v>
      </c>
      <c r="H715" s="15" t="s">
        <v>30</v>
      </c>
      <c r="I715" s="15" t="s">
        <v>29</v>
      </c>
      <c r="J715" s="15" t="s">
        <v>29</v>
      </c>
      <c r="K715" s="15" t="s">
        <v>29</v>
      </c>
      <c r="L715" s="15" t="s">
        <v>31</v>
      </c>
      <c r="M715" s="15" t="s">
        <v>29</v>
      </c>
      <c r="N715" s="15" t="s">
        <v>29</v>
      </c>
      <c r="O715" s="15" t="s">
        <v>30</v>
      </c>
      <c r="P715" s="18">
        <v>11</v>
      </c>
      <c r="Q715" s="18">
        <v>18</v>
      </c>
      <c r="R715" s="15" t="str">
        <f>_xlfn.CONCAT(F715,G715,H715,I715,J715)</f>
        <v>DLWDD</v>
      </c>
      <c r="S715" s="13" t="str">
        <f>_xlfn.CONCAT(K715,L715,M715,N715,O715)</f>
        <v>DLDDW</v>
      </c>
      <c r="T715" s="13" t="str">
        <f>_xlfn.CONCAT(R715,"***",S715)</f>
        <v>DLWDD***DLDDW</v>
      </c>
      <c r="U715" s="19">
        <f>(P715-Q715)</f>
        <v>-7</v>
      </c>
      <c r="V715" s="14"/>
      <c r="W715" s="14"/>
      <c r="X715" s="20" t="str">
        <f>IF(ISBLANK(V715),"",IF(V715&gt;W715,"1",IF(V715&lt;W715,"2",IF(V715=W715,"X"))))</f>
        <v/>
      </c>
      <c r="Y715" s="23" t="str">
        <f>COUNTIF(F715:J715, "W")&amp;COUNTIF(F715:J715, "d")&amp;COUNTIF(F715:J715, "l")</f>
        <v>131</v>
      </c>
      <c r="Z715" s="13" t="str">
        <f>COUNTIF(K715:O715, "W")&amp;COUNTIF(K715:O715, "d")&amp;COUNTIF(K715:O715, "l")</f>
        <v>131</v>
      </c>
      <c r="AA715" s="23" t="str">
        <f>_xlfn.CONCAT(Y715,"-",Z715)</f>
        <v>131-131</v>
      </c>
      <c r="AB715" s="15" t="str">
        <f>_xlfn.CONCAT(AA715,"…",TEXT(U715,"+00;-00;+00;"))</f>
        <v>131-131…-07</v>
      </c>
      <c r="AC715" s="23" t="str">
        <f>_xlfn.CONCAT(TEXT(P715,"+00;-00;+00;"),"…",TEXT(Q715,"+00;-00;+00;"))</f>
        <v>+11…+18</v>
      </c>
      <c r="AD715" s="14" t="str">
        <f>IF(X715="","?","")</f>
        <v>?</v>
      </c>
      <c r="AE715" s="15" t="str">
        <f>_xlfn.CONCAT(AA715,"…",TEXT(P715,"+00;-00;+00;"),"...",TEXT(Q715,"+00;-00;+00;"))</f>
        <v>131-131…+11...+18</v>
      </c>
      <c r="AF715" s="13" t="str">
        <f>_xlfn.CONCAT(R715,"…",TEXT(P715,"+00;-00;+00;"),"...",TEXT(Q715,"+00;-00;+00;"))</f>
        <v>DLWDD…+11...+18</v>
      </c>
    </row>
    <row r="716" spans="1:32" x14ac:dyDescent="0.25">
      <c r="A716" s="12" t="s">
        <v>1064</v>
      </c>
      <c r="B716" s="13" t="s">
        <v>59</v>
      </c>
      <c r="C716" s="14">
        <v>2</v>
      </c>
      <c r="D716" s="13" t="s">
        <v>1089</v>
      </c>
      <c r="E716" s="13" t="s">
        <v>752</v>
      </c>
      <c r="F716" s="15" t="s">
        <v>30</v>
      </c>
      <c r="G716" s="15" t="s">
        <v>30</v>
      </c>
      <c r="H716" s="15" t="s">
        <v>29</v>
      </c>
      <c r="I716" s="15" t="s">
        <v>29</v>
      </c>
      <c r="J716" s="15" t="s">
        <v>29</v>
      </c>
      <c r="K716" s="15" t="s">
        <v>29</v>
      </c>
      <c r="L716" s="15" t="s">
        <v>30</v>
      </c>
      <c r="M716" s="15" t="s">
        <v>29</v>
      </c>
      <c r="N716" s="15" t="s">
        <v>29</v>
      </c>
      <c r="O716" s="15" t="s">
        <v>30</v>
      </c>
      <c r="P716" s="18">
        <v>-11</v>
      </c>
      <c r="Q716" s="18">
        <v>-1</v>
      </c>
      <c r="R716" s="15" t="str">
        <f>_xlfn.CONCAT(F716,G716,H716,I716,J716)</f>
        <v>WWDDD</v>
      </c>
      <c r="S716" s="13" t="str">
        <f>_xlfn.CONCAT(K716,L716,M716,N716,O716)</f>
        <v>DWDDW</v>
      </c>
      <c r="T716" s="13" t="str">
        <f>_xlfn.CONCAT(R716,"***",S716)</f>
        <v>WWDDD***DWDDW</v>
      </c>
      <c r="U716" s="19">
        <f>(P716-Q716)</f>
        <v>-10</v>
      </c>
      <c r="V716" s="14"/>
      <c r="W716" s="14"/>
      <c r="X716" s="20" t="str">
        <f>IF(ISBLANK(V716),"",IF(V716&gt;W716,"1",IF(V716&lt;W716,"2",IF(V716=W716,"X"))))</f>
        <v/>
      </c>
      <c r="Y716" s="23" t="str">
        <f>COUNTIF(F716:J716, "W")&amp;COUNTIF(F716:J716, "d")&amp;COUNTIF(F716:J716, "l")</f>
        <v>230</v>
      </c>
      <c r="Z716" s="13" t="str">
        <f>COUNTIF(K716:O716, "W")&amp;COUNTIF(K716:O716, "d")&amp;COUNTIF(K716:O716, "l")</f>
        <v>230</v>
      </c>
      <c r="AA716" s="23" t="str">
        <f>_xlfn.CONCAT(Y716,"-",Z716)</f>
        <v>230-230</v>
      </c>
      <c r="AB716" s="15" t="str">
        <f>_xlfn.CONCAT(AA716,"…",TEXT(U716,"+00;-00;+00;"))</f>
        <v>230-230…-10</v>
      </c>
      <c r="AC716" s="23" t="str">
        <f>_xlfn.CONCAT(TEXT(P716,"+00;-00;+00;"),"…",TEXT(Q716,"+00;-00;+00;"))</f>
        <v>-11…-01</v>
      </c>
      <c r="AD716" s="14" t="str">
        <f>IF(X716="","?","")</f>
        <v>?</v>
      </c>
      <c r="AE716" s="15" t="str">
        <f>_xlfn.CONCAT(AA716,"…",TEXT(P716,"+00;-00;+00;"),"...",TEXT(Q716,"+00;-00;+00;"))</f>
        <v>230-230…-11...-01</v>
      </c>
      <c r="AF716" s="13" t="str">
        <f>_xlfn.CONCAT(R716,"…",TEXT(P716,"+00;-00;+00;"),"...",TEXT(Q716,"+00;-00;+00;"))</f>
        <v>WWDDD…-11...-01</v>
      </c>
    </row>
    <row r="717" spans="1:32" x14ac:dyDescent="0.25">
      <c r="A717" s="12" t="s">
        <v>1064</v>
      </c>
      <c r="B717" s="13" t="s">
        <v>208</v>
      </c>
      <c r="C717" s="14">
        <v>1</v>
      </c>
      <c r="D717" s="13" t="s">
        <v>570</v>
      </c>
      <c r="E717" s="13" t="s">
        <v>567</v>
      </c>
      <c r="F717" s="15" t="s">
        <v>30</v>
      </c>
      <c r="G717" s="15" t="s">
        <v>30</v>
      </c>
      <c r="H717" s="15" t="s">
        <v>31</v>
      </c>
      <c r="I717" s="15" t="s">
        <v>30</v>
      </c>
      <c r="J717" s="15" t="s">
        <v>31</v>
      </c>
      <c r="K717" s="15" t="s">
        <v>30</v>
      </c>
      <c r="L717" s="15" t="s">
        <v>31</v>
      </c>
      <c r="M717" s="15" t="s">
        <v>29</v>
      </c>
      <c r="N717" s="15" t="s">
        <v>29</v>
      </c>
      <c r="O717" s="15" t="s">
        <v>31</v>
      </c>
      <c r="P717" s="18">
        <v>19</v>
      </c>
      <c r="Q717" s="18">
        <v>4</v>
      </c>
      <c r="R717" s="15" t="str">
        <f>_xlfn.CONCAT(F717,G717,H717,I717,J717)</f>
        <v>WWLWL</v>
      </c>
      <c r="S717" s="13" t="str">
        <f>_xlfn.CONCAT(K717,L717,M717,N717,O717)</f>
        <v>WLDDL</v>
      </c>
      <c r="T717" s="13" t="str">
        <f>_xlfn.CONCAT(R717,"***",S717)</f>
        <v>WWLWL***WLDDL</v>
      </c>
      <c r="U717" s="19">
        <f>(P717-Q717)</f>
        <v>15</v>
      </c>
      <c r="V717" s="14"/>
      <c r="W717" s="14"/>
      <c r="X717" s="20" t="str">
        <f>IF(ISBLANK(V717),"",IF(V717&gt;W717,"1",IF(V717&lt;W717,"2",IF(V717=W717,"X"))))</f>
        <v/>
      </c>
      <c r="Y717" s="23" t="str">
        <f>COUNTIF(F717:J717, "W")&amp;COUNTIF(F717:J717, "d")&amp;COUNTIF(F717:J717, "l")</f>
        <v>302</v>
      </c>
      <c r="Z717" s="13" t="str">
        <f>COUNTIF(K717:O717, "W")&amp;COUNTIF(K717:O717, "d")&amp;COUNTIF(K717:O717, "l")</f>
        <v>122</v>
      </c>
      <c r="AA717" s="23" t="str">
        <f>_xlfn.CONCAT(Y717,"-",Z717)</f>
        <v>302-122</v>
      </c>
      <c r="AB717" s="15" t="str">
        <f>_xlfn.CONCAT(AA717,"…",TEXT(U717,"+00;-00;+00;"))</f>
        <v>302-122…+15</v>
      </c>
      <c r="AC717" s="23" t="str">
        <f>_xlfn.CONCAT(TEXT(P717,"+00;-00;+00;"),"…",TEXT(Q717,"+00;-00;+00;"))</f>
        <v>+19…+04</v>
      </c>
      <c r="AD717" s="14" t="str">
        <f>IF(X717="","?","")</f>
        <v>?</v>
      </c>
      <c r="AE717" s="15" t="str">
        <f>_xlfn.CONCAT(AA717,"…",TEXT(P717,"+00;-00;+00;"),"...",TEXT(Q717,"+00;-00;+00;"))</f>
        <v>302-122…+19...+04</v>
      </c>
      <c r="AF717" s="13" t="str">
        <f>_xlfn.CONCAT(R717,"…",TEXT(P717,"+00;-00;+00;"),"...",TEXT(Q717,"+00;-00;+00;"))</f>
        <v>WWLWL…+19...+04</v>
      </c>
    </row>
    <row r="718" spans="1:32" x14ac:dyDescent="0.25">
      <c r="A718" s="12" t="s">
        <v>1126</v>
      </c>
      <c r="B718" s="13" t="s">
        <v>295</v>
      </c>
      <c r="C718" s="14">
        <v>1</v>
      </c>
      <c r="D718" s="13" t="s">
        <v>1053</v>
      </c>
      <c r="E718" s="13" t="s">
        <v>315</v>
      </c>
      <c r="F718" s="15" t="s">
        <v>31</v>
      </c>
      <c r="G718" s="15" t="s">
        <v>29</v>
      </c>
      <c r="H718" s="15" t="s">
        <v>31</v>
      </c>
      <c r="I718" s="15" t="s">
        <v>29</v>
      </c>
      <c r="J718" s="15" t="s">
        <v>29</v>
      </c>
      <c r="K718" s="15" t="s">
        <v>31</v>
      </c>
      <c r="L718" s="15" t="s">
        <v>31</v>
      </c>
      <c r="M718" s="15" t="s">
        <v>29</v>
      </c>
      <c r="N718" s="15" t="s">
        <v>30</v>
      </c>
      <c r="O718" s="15" t="s">
        <v>30</v>
      </c>
      <c r="P718" s="18">
        <v>-5</v>
      </c>
      <c r="Q718" s="18">
        <v>3</v>
      </c>
      <c r="R718" s="15" t="str">
        <f>_xlfn.CONCAT(F718,G718,H718,I718,J718)</f>
        <v>LDLDD</v>
      </c>
      <c r="S718" s="13" t="str">
        <f>_xlfn.CONCAT(K718,L718,M718,N718,O718)</f>
        <v>LLDWW</v>
      </c>
      <c r="T718" s="13" t="str">
        <f>_xlfn.CONCAT(R718,"***",S718)</f>
        <v>LDLDD***LLDWW</v>
      </c>
      <c r="U718" s="19">
        <f>(P718-Q718)</f>
        <v>-8</v>
      </c>
      <c r="V718" s="14"/>
      <c r="W718" s="14"/>
      <c r="X718" s="20" t="str">
        <f>IF(ISBLANK(V718),"",IF(V718&gt;W718,"1",IF(V718&lt;W718,"2",IF(V718=W718,"X"))))</f>
        <v/>
      </c>
      <c r="Y718" s="23" t="str">
        <f>COUNTIF(F718:J718, "W")&amp;COUNTIF(F718:J718, "d")&amp;COUNTIF(F718:J718, "l")</f>
        <v>032</v>
      </c>
      <c r="Z718" s="13" t="str">
        <f>COUNTIF(K718:O718, "W")&amp;COUNTIF(K718:O718, "d")&amp;COUNTIF(K718:O718, "l")</f>
        <v>212</v>
      </c>
      <c r="AA718" s="23" t="str">
        <f>_xlfn.CONCAT(Y718,"-",Z718)</f>
        <v>032-212</v>
      </c>
      <c r="AB718" s="15" t="str">
        <f>_xlfn.CONCAT(AA718,"…",TEXT(U718,"+00;-00;+00;"))</f>
        <v>032-212…-08</v>
      </c>
      <c r="AC718" s="23" t="str">
        <f>_xlfn.CONCAT(TEXT(P718,"+00;-00;+00;"),"…",TEXT(Q718,"+00;-00;+00;"))</f>
        <v>-05…+03</v>
      </c>
      <c r="AD718" s="14" t="str">
        <f>IF(X718="","?","")</f>
        <v>?</v>
      </c>
      <c r="AE718" s="15" t="str">
        <f>_xlfn.CONCAT(AA718,"…",TEXT(P718,"+00;-00;+00;"),"...",TEXT(Q718,"+00;-00;+00;"))</f>
        <v>032-212…-05...+03</v>
      </c>
      <c r="AF718" s="13" t="str">
        <f>_xlfn.CONCAT(R718,"…",TEXT(P718,"+00;-00;+00;"),"...",TEXT(Q718,"+00;-00;+00;"))</f>
        <v>LDLDD…-05...+03</v>
      </c>
    </row>
    <row r="719" spans="1:32" x14ac:dyDescent="0.25">
      <c r="A719" s="12" t="s">
        <v>1095</v>
      </c>
      <c r="B719" s="13" t="s">
        <v>167</v>
      </c>
      <c r="C719" s="14">
        <v>2</v>
      </c>
      <c r="D719" s="13" t="s">
        <v>1186</v>
      </c>
      <c r="E719" s="13" t="s">
        <v>201</v>
      </c>
      <c r="F719" s="15" t="s">
        <v>31</v>
      </c>
      <c r="G719" s="15" t="s">
        <v>29</v>
      </c>
      <c r="H719" s="15" t="s">
        <v>29</v>
      </c>
      <c r="I719" s="15" t="s">
        <v>31</v>
      </c>
      <c r="J719" s="15" t="s">
        <v>31</v>
      </c>
      <c r="K719" s="15" t="s">
        <v>30</v>
      </c>
      <c r="L719" s="15" t="s">
        <v>30</v>
      </c>
      <c r="M719" s="15" t="s">
        <v>31</v>
      </c>
      <c r="N719" s="15" t="s">
        <v>30</v>
      </c>
      <c r="O719" s="15" t="s">
        <v>30</v>
      </c>
      <c r="P719" s="18">
        <v>-13</v>
      </c>
      <c r="Q719" s="18">
        <v>0</v>
      </c>
      <c r="R719" s="15" t="str">
        <f>_xlfn.CONCAT(F719,G719,H719,I719,J719)</f>
        <v>LDDLL</v>
      </c>
      <c r="S719" s="13" t="str">
        <f>_xlfn.CONCAT(K719,L719,M719,N719,O719)</f>
        <v>WWLWW</v>
      </c>
      <c r="T719" s="13" t="str">
        <f>_xlfn.CONCAT(R719,"***",S719)</f>
        <v>LDDLL***WWLWW</v>
      </c>
      <c r="U719" s="19">
        <f>(P719-Q719)</f>
        <v>-13</v>
      </c>
      <c r="V719" s="14"/>
      <c r="W719" s="14"/>
      <c r="X719" s="20" t="str">
        <f>IF(ISBLANK(V719),"",IF(V719&gt;W719,"1",IF(V719&lt;W719,"2",IF(V719=W719,"X"))))</f>
        <v/>
      </c>
      <c r="Y719" s="23" t="str">
        <f>COUNTIF(F719:J719, "W")&amp;COUNTIF(F719:J719, "d")&amp;COUNTIF(F719:J719, "l")</f>
        <v>023</v>
      </c>
      <c r="Z719" s="13" t="str">
        <f>COUNTIF(K719:O719, "W")&amp;COUNTIF(K719:O719, "d")&amp;COUNTIF(K719:O719, "l")</f>
        <v>401</v>
      </c>
      <c r="AA719" s="23" t="str">
        <f>_xlfn.CONCAT(Y719,"-",Z719)</f>
        <v>023-401</v>
      </c>
      <c r="AB719" s="15" t="str">
        <f>_xlfn.CONCAT(AA719,"…",TEXT(U719,"+00;-00;+00;"))</f>
        <v>023-401…-13</v>
      </c>
      <c r="AC719" s="23" t="str">
        <f>_xlfn.CONCAT(TEXT(P719,"+00;-00;+00;"),"…",TEXT(Q719,"+00;-00;+00;"))</f>
        <v>-13…+00</v>
      </c>
      <c r="AD719" s="14" t="str">
        <f>IF(X719="","?","")</f>
        <v>?</v>
      </c>
      <c r="AE719" s="15" t="str">
        <f>_xlfn.CONCAT(AA719,"…",TEXT(P719,"+00;-00;+00;"),"...",TEXT(Q719,"+00;-00;+00;"))</f>
        <v>023-401…-13...+00</v>
      </c>
      <c r="AF719" s="13" t="str">
        <f>_xlfn.CONCAT(R719,"…",TEXT(P719,"+00;-00;+00;"),"...",TEXT(Q719,"+00;-00;+00;"))</f>
        <v>LDDLL…-13...+00</v>
      </c>
    </row>
    <row r="720" spans="1:32" x14ac:dyDescent="0.25">
      <c r="A720" s="12" t="s">
        <v>1095</v>
      </c>
      <c r="B720" s="13" t="s">
        <v>250</v>
      </c>
      <c r="C720" s="14">
        <v>1</v>
      </c>
      <c r="D720" s="13" t="s">
        <v>997</v>
      </c>
      <c r="E720" s="13" t="s">
        <v>1101</v>
      </c>
      <c r="F720" s="15" t="s">
        <v>29</v>
      </c>
      <c r="G720" s="15" t="s">
        <v>30</v>
      </c>
      <c r="H720" s="15" t="s">
        <v>31</v>
      </c>
      <c r="I720" s="15" t="s">
        <v>31</v>
      </c>
      <c r="J720" s="15" t="s">
        <v>31</v>
      </c>
      <c r="K720" s="15" t="s">
        <v>29</v>
      </c>
      <c r="L720" s="15" t="s">
        <v>31</v>
      </c>
      <c r="M720" s="15" t="s">
        <v>29</v>
      </c>
      <c r="N720" s="15" t="s">
        <v>31</v>
      </c>
      <c r="O720" s="15" t="s">
        <v>29</v>
      </c>
      <c r="P720" s="18">
        <v>-4</v>
      </c>
      <c r="Q720" s="18">
        <v>-1</v>
      </c>
      <c r="R720" s="15" t="str">
        <f>_xlfn.CONCAT(F720,G720,H720,I720,J720)</f>
        <v>DWLLL</v>
      </c>
      <c r="S720" s="13" t="str">
        <f>_xlfn.CONCAT(K720,L720,M720,N720,O720)</f>
        <v>DLDLD</v>
      </c>
      <c r="T720" s="13" t="str">
        <f>_xlfn.CONCAT(R720,"***",S720)</f>
        <v>DWLLL***DLDLD</v>
      </c>
      <c r="U720" s="19">
        <f>(P720-Q720)</f>
        <v>-3</v>
      </c>
      <c r="V720" s="14"/>
      <c r="W720" s="14"/>
      <c r="X720" s="20" t="str">
        <f>IF(ISBLANK(V720),"",IF(V720&gt;W720,"1",IF(V720&lt;W720,"2",IF(V720=W720,"X"))))</f>
        <v/>
      </c>
      <c r="Y720" s="23" t="str">
        <f>COUNTIF(F720:J720, "W")&amp;COUNTIF(F720:J720, "d")&amp;COUNTIF(F720:J720, "l")</f>
        <v>113</v>
      </c>
      <c r="Z720" s="13" t="str">
        <f>COUNTIF(K720:O720, "W")&amp;COUNTIF(K720:O720, "d")&amp;COUNTIF(K720:O720, "l")</f>
        <v>032</v>
      </c>
      <c r="AA720" s="23" t="str">
        <f>_xlfn.CONCAT(Y720,"-",Z720)</f>
        <v>113-032</v>
      </c>
      <c r="AB720" s="15" t="str">
        <f>_xlfn.CONCAT(AA720,"…",TEXT(U720,"+00;-00;+00;"))</f>
        <v>113-032…-03</v>
      </c>
      <c r="AC720" s="23" t="str">
        <f>_xlfn.CONCAT(TEXT(P720,"+00;-00;+00;"),"…",TEXT(Q720,"+00;-00;+00;"))</f>
        <v>-04…-01</v>
      </c>
      <c r="AD720" s="14" t="str">
        <f>IF(X720="","?","")</f>
        <v>?</v>
      </c>
      <c r="AE720" s="15" t="str">
        <f>_xlfn.CONCAT(AA720,"…",TEXT(P720,"+00;-00;+00;"),"...",TEXT(Q720,"+00;-00;+00;"))</f>
        <v>113-032…-04...-01</v>
      </c>
      <c r="AF720" s="13" t="str">
        <f>_xlfn.CONCAT(R720,"…",TEXT(P720,"+00;-00;+00;"),"...",TEXT(Q720,"+00;-00;+00;"))</f>
        <v>DWLLL…-04...-01</v>
      </c>
    </row>
    <row r="721" spans="1:32" x14ac:dyDescent="0.25">
      <c r="A721" s="12" t="s">
        <v>1095</v>
      </c>
      <c r="B721" s="13" t="s">
        <v>167</v>
      </c>
      <c r="C721" s="14">
        <v>2</v>
      </c>
      <c r="D721" s="13" t="s">
        <v>200</v>
      </c>
      <c r="E721" s="13" t="s">
        <v>708</v>
      </c>
      <c r="F721" s="15" t="s">
        <v>31</v>
      </c>
      <c r="G721" s="15" t="s">
        <v>30</v>
      </c>
      <c r="H721" s="15" t="s">
        <v>31</v>
      </c>
      <c r="I721" s="15" t="s">
        <v>29</v>
      </c>
      <c r="J721" s="15" t="s">
        <v>31</v>
      </c>
      <c r="K721" s="15" t="s">
        <v>31</v>
      </c>
      <c r="L721" s="15" t="s">
        <v>30</v>
      </c>
      <c r="M721" s="15" t="s">
        <v>29</v>
      </c>
      <c r="N721" s="15" t="s">
        <v>31</v>
      </c>
      <c r="O721" s="15" t="s">
        <v>30</v>
      </c>
      <c r="P721" s="18">
        <v>1</v>
      </c>
      <c r="Q721" s="18">
        <v>-4</v>
      </c>
      <c r="R721" s="15" t="str">
        <f>_xlfn.CONCAT(F721,G721,H721,I721,J721)</f>
        <v>LWLDL</v>
      </c>
      <c r="S721" s="13" t="str">
        <f>_xlfn.CONCAT(K721,L721,M721,N721,O721)</f>
        <v>LWDLW</v>
      </c>
      <c r="T721" s="13" t="str">
        <f>_xlfn.CONCAT(R721,"***",S721)</f>
        <v>LWLDL***LWDLW</v>
      </c>
      <c r="U721" s="19">
        <f>(P721-Q721)</f>
        <v>5</v>
      </c>
      <c r="V721" s="14"/>
      <c r="W721" s="14"/>
      <c r="X721" s="20" t="str">
        <f>IF(ISBLANK(V721),"",IF(V721&gt;W721,"1",IF(V721&lt;W721,"2",IF(V721=W721,"X"))))</f>
        <v/>
      </c>
      <c r="Y721" s="23" t="str">
        <f>COUNTIF(F721:J721, "W")&amp;COUNTIF(F721:J721, "d")&amp;COUNTIF(F721:J721, "l")</f>
        <v>113</v>
      </c>
      <c r="Z721" s="13" t="str">
        <f>COUNTIF(K721:O721, "W")&amp;COUNTIF(K721:O721, "d")&amp;COUNTIF(K721:O721, "l")</f>
        <v>212</v>
      </c>
      <c r="AA721" s="23" t="str">
        <f>_xlfn.CONCAT(Y721,"-",Z721)</f>
        <v>113-212</v>
      </c>
      <c r="AB721" s="15" t="str">
        <f>_xlfn.CONCAT(AA721,"…",TEXT(U721,"+00;-00;+00;"))</f>
        <v>113-212…+05</v>
      </c>
      <c r="AC721" s="23" t="str">
        <f>_xlfn.CONCAT(TEXT(P721,"+00;-00;+00;"),"…",TEXT(Q721,"+00;-00;+00;"))</f>
        <v>+01…-04</v>
      </c>
      <c r="AD721" s="14" t="str">
        <f>IF(X721="","?","")</f>
        <v>?</v>
      </c>
      <c r="AE721" s="15" t="str">
        <f>_xlfn.CONCAT(AA721,"…",TEXT(P721,"+00;-00;+00;"),"...",TEXT(Q721,"+00;-00;+00;"))</f>
        <v>113-212…+01...-04</v>
      </c>
      <c r="AF721" s="13" t="str">
        <f>_xlfn.CONCAT(R721,"…",TEXT(P721,"+00;-00;+00;"),"...",TEXT(Q721,"+00;-00;+00;"))</f>
        <v>LWLDL…+01...-04</v>
      </c>
    </row>
    <row r="722" spans="1:32" x14ac:dyDescent="0.25">
      <c r="A722" s="12" t="s">
        <v>1095</v>
      </c>
      <c r="B722" s="13" t="s">
        <v>250</v>
      </c>
      <c r="C722" s="14">
        <v>2</v>
      </c>
      <c r="D722" s="13" t="s">
        <v>289</v>
      </c>
      <c r="E722" s="13" t="s">
        <v>858</v>
      </c>
      <c r="F722" s="15" t="s">
        <v>30</v>
      </c>
      <c r="G722" s="15" t="s">
        <v>30</v>
      </c>
      <c r="H722" s="15" t="s">
        <v>31</v>
      </c>
      <c r="I722" s="15" t="s">
        <v>31</v>
      </c>
      <c r="J722" s="15" t="s">
        <v>31</v>
      </c>
      <c r="K722" s="15" t="s">
        <v>30</v>
      </c>
      <c r="L722" s="15" t="s">
        <v>31</v>
      </c>
      <c r="M722" s="15" t="s">
        <v>31</v>
      </c>
      <c r="N722" s="15" t="s">
        <v>29</v>
      </c>
      <c r="O722" s="15" t="s">
        <v>30</v>
      </c>
      <c r="P722" s="18">
        <v>7</v>
      </c>
      <c r="Q722" s="18">
        <v>1</v>
      </c>
      <c r="R722" s="15" t="str">
        <f>_xlfn.CONCAT(F722,G722,H722,I722,J722)</f>
        <v>WWLLL</v>
      </c>
      <c r="S722" s="13" t="str">
        <f>_xlfn.CONCAT(K722,L722,M722,N722,O722)</f>
        <v>WLLDW</v>
      </c>
      <c r="T722" s="13" t="str">
        <f>_xlfn.CONCAT(R722,"***",S722)</f>
        <v>WWLLL***WLLDW</v>
      </c>
      <c r="U722" s="19">
        <f>(P722-Q722)</f>
        <v>6</v>
      </c>
      <c r="V722" s="14"/>
      <c r="W722" s="14"/>
      <c r="X722" s="20" t="str">
        <f>IF(ISBLANK(V722),"",IF(V722&gt;W722,"1",IF(V722&lt;W722,"2",IF(V722=W722,"X"))))</f>
        <v/>
      </c>
      <c r="Y722" s="23" t="str">
        <f>COUNTIF(F722:J722, "W")&amp;COUNTIF(F722:J722, "d")&amp;COUNTIF(F722:J722, "l")</f>
        <v>203</v>
      </c>
      <c r="Z722" s="13" t="str">
        <f>COUNTIF(K722:O722, "W")&amp;COUNTIF(K722:O722, "d")&amp;COUNTIF(K722:O722, "l")</f>
        <v>212</v>
      </c>
      <c r="AA722" s="23" t="str">
        <f>_xlfn.CONCAT(Y722,"-",Z722)</f>
        <v>203-212</v>
      </c>
      <c r="AB722" s="15" t="str">
        <f>_xlfn.CONCAT(AA722,"…",TEXT(U722,"+00;-00;+00;"))</f>
        <v>203-212…+06</v>
      </c>
      <c r="AC722" s="23" t="str">
        <f>_xlfn.CONCAT(TEXT(P722,"+00;-00;+00;"),"…",TEXT(Q722,"+00;-00;+00;"))</f>
        <v>+07…+01</v>
      </c>
      <c r="AD722" s="14" t="str">
        <f>IF(X722="","?","")</f>
        <v>?</v>
      </c>
      <c r="AE722" s="15" t="str">
        <f>_xlfn.CONCAT(AA722,"…",TEXT(P722,"+00;-00;+00;"),"...",TEXT(Q722,"+00;-00;+00;"))</f>
        <v>203-212…+07...+01</v>
      </c>
      <c r="AF722" s="13" t="str">
        <f>_xlfn.CONCAT(R722,"…",TEXT(P722,"+00;-00;+00;"),"...",TEXT(Q722,"+00;-00;+00;"))</f>
        <v>WWLLL…+07...+01</v>
      </c>
    </row>
    <row r="723" spans="1:32" x14ac:dyDescent="0.25">
      <c r="A723" s="12" t="s">
        <v>1095</v>
      </c>
      <c r="B723" s="13" t="s">
        <v>167</v>
      </c>
      <c r="C723" s="14">
        <v>2</v>
      </c>
      <c r="D723" s="13" t="s">
        <v>207</v>
      </c>
      <c r="E723" s="13" t="s">
        <v>715</v>
      </c>
      <c r="F723" s="15" t="s">
        <v>30</v>
      </c>
      <c r="G723" s="15" t="s">
        <v>30</v>
      </c>
      <c r="H723" s="15" t="s">
        <v>31</v>
      </c>
      <c r="I723" s="15" t="s">
        <v>29</v>
      </c>
      <c r="J723" s="15" t="s">
        <v>31</v>
      </c>
      <c r="K723" s="15" t="s">
        <v>31</v>
      </c>
      <c r="L723" s="15" t="s">
        <v>29</v>
      </c>
      <c r="M723" s="15" t="s">
        <v>31</v>
      </c>
      <c r="N723" s="15" t="s">
        <v>30</v>
      </c>
      <c r="O723" s="15" t="s">
        <v>31</v>
      </c>
      <c r="P723" s="18">
        <v>1</v>
      </c>
      <c r="Q723" s="18">
        <v>-16</v>
      </c>
      <c r="R723" s="15" t="str">
        <f>_xlfn.CONCAT(F723,G723,H723,I723,J723)</f>
        <v>WWLDL</v>
      </c>
      <c r="S723" s="13" t="str">
        <f>_xlfn.CONCAT(K723,L723,M723,N723,O723)</f>
        <v>LDLWL</v>
      </c>
      <c r="T723" s="13" t="str">
        <f>_xlfn.CONCAT(R723,"***",S723)</f>
        <v>WWLDL***LDLWL</v>
      </c>
      <c r="U723" s="19">
        <f>(P723-Q723)</f>
        <v>17</v>
      </c>
      <c r="V723" s="14"/>
      <c r="W723" s="14"/>
      <c r="X723" s="20" t="str">
        <f>IF(ISBLANK(V723),"",IF(V723&gt;W723,"1",IF(V723&lt;W723,"2",IF(V723=W723,"X"))))</f>
        <v/>
      </c>
      <c r="Y723" s="23" t="str">
        <f>COUNTIF(F723:J723, "W")&amp;COUNTIF(F723:J723, "d")&amp;COUNTIF(F723:J723, "l")</f>
        <v>212</v>
      </c>
      <c r="Z723" s="13" t="str">
        <f>COUNTIF(K723:O723, "W")&amp;COUNTIF(K723:O723, "d")&amp;COUNTIF(K723:O723, "l")</f>
        <v>113</v>
      </c>
      <c r="AA723" s="23" t="str">
        <f>_xlfn.CONCAT(Y723,"-",Z723)</f>
        <v>212-113</v>
      </c>
      <c r="AB723" s="15" t="str">
        <f>_xlfn.CONCAT(AA723,"…",TEXT(U723,"+00;-00;+00;"))</f>
        <v>212-113…+17</v>
      </c>
      <c r="AC723" s="23" t="str">
        <f>_xlfn.CONCAT(TEXT(P723,"+00;-00;+00;"),"…",TEXT(Q723,"+00;-00;+00;"))</f>
        <v>+01…-16</v>
      </c>
      <c r="AD723" s="14" t="str">
        <f>IF(X723="","?","")</f>
        <v>?</v>
      </c>
      <c r="AE723" s="15" t="str">
        <f>_xlfn.CONCAT(AA723,"…",TEXT(P723,"+00;-00;+00;"),"...",TEXT(Q723,"+00;-00;+00;"))</f>
        <v>212-113…+01...-16</v>
      </c>
      <c r="AF723" s="13" t="str">
        <f>_xlfn.CONCAT(R723,"…",TEXT(P723,"+00;-00;+00;"),"...",TEXT(Q723,"+00;-00;+00;"))</f>
        <v>WWLDL…+01...-16</v>
      </c>
    </row>
    <row r="724" spans="1:32" x14ac:dyDescent="0.25">
      <c r="A724" s="12" t="s">
        <v>1095</v>
      </c>
      <c r="B724" s="13" t="s">
        <v>167</v>
      </c>
      <c r="C724" s="14">
        <v>2</v>
      </c>
      <c r="D724" s="13" t="s">
        <v>714</v>
      </c>
      <c r="E724" s="13" t="s">
        <v>717</v>
      </c>
      <c r="F724" s="15" t="s">
        <v>31</v>
      </c>
      <c r="G724" s="15" t="s">
        <v>29</v>
      </c>
      <c r="H724" s="15" t="s">
        <v>30</v>
      </c>
      <c r="I724" s="15" t="s">
        <v>30</v>
      </c>
      <c r="J724" s="15" t="s">
        <v>31</v>
      </c>
      <c r="K724" s="15" t="s">
        <v>31</v>
      </c>
      <c r="L724" s="15" t="s">
        <v>29</v>
      </c>
      <c r="M724" s="15" t="s">
        <v>30</v>
      </c>
      <c r="N724" s="15" t="s">
        <v>31</v>
      </c>
      <c r="O724" s="15" t="s">
        <v>31</v>
      </c>
      <c r="P724" s="18">
        <v>4</v>
      </c>
      <c r="Q724" s="18">
        <v>-4</v>
      </c>
      <c r="R724" s="15" t="str">
        <f>_xlfn.CONCAT(F724,G724,H724,I724,J724)</f>
        <v>LDWWL</v>
      </c>
      <c r="S724" s="13" t="str">
        <f>_xlfn.CONCAT(K724,L724,M724,N724,O724)</f>
        <v>LDWLL</v>
      </c>
      <c r="T724" s="13" t="str">
        <f>_xlfn.CONCAT(R724,"***",S724)</f>
        <v>LDWWL***LDWLL</v>
      </c>
      <c r="U724" s="19">
        <f>(P724-Q724)</f>
        <v>8</v>
      </c>
      <c r="V724" s="14"/>
      <c r="W724" s="14"/>
      <c r="X724" s="20" t="str">
        <f>IF(ISBLANK(V724),"",IF(V724&gt;W724,"1",IF(V724&lt;W724,"2",IF(V724=W724,"X"))))</f>
        <v/>
      </c>
      <c r="Y724" s="23" t="str">
        <f>COUNTIF(F724:J724, "W")&amp;COUNTIF(F724:J724, "d")&amp;COUNTIF(F724:J724, "l")</f>
        <v>212</v>
      </c>
      <c r="Z724" s="13" t="str">
        <f>COUNTIF(K724:O724, "W")&amp;COUNTIF(K724:O724, "d")&amp;COUNTIF(K724:O724, "l")</f>
        <v>113</v>
      </c>
      <c r="AA724" s="23" t="str">
        <f>_xlfn.CONCAT(Y724,"-",Z724)</f>
        <v>212-113</v>
      </c>
      <c r="AB724" s="15" t="str">
        <f>_xlfn.CONCAT(AA724,"…",TEXT(U724,"+00;-00;+00;"))</f>
        <v>212-113…+08</v>
      </c>
      <c r="AC724" s="23" t="str">
        <f>_xlfn.CONCAT(TEXT(P724,"+00;-00;+00;"),"…",TEXT(Q724,"+00;-00;+00;"))</f>
        <v>+04…-04</v>
      </c>
      <c r="AD724" s="14" t="str">
        <f>IF(X724="","?","")</f>
        <v>?</v>
      </c>
      <c r="AE724" s="15" t="str">
        <f>_xlfn.CONCAT(AA724,"…",TEXT(P724,"+00;-00;+00;"),"...",TEXT(Q724,"+00;-00;+00;"))</f>
        <v>212-113…+04...-04</v>
      </c>
      <c r="AF724" s="13" t="str">
        <f>_xlfn.CONCAT(R724,"…",TEXT(P724,"+00;-00;+00;"),"...",TEXT(Q724,"+00;-00;+00;"))</f>
        <v>LDWWL…+04...-04</v>
      </c>
    </row>
    <row r="725" spans="1:32" x14ac:dyDescent="0.25">
      <c r="A725" s="12" t="s">
        <v>1095</v>
      </c>
      <c r="B725" s="13" t="s">
        <v>167</v>
      </c>
      <c r="C725" s="14">
        <v>2</v>
      </c>
      <c r="D725" s="13" t="s">
        <v>712</v>
      </c>
      <c r="E725" s="13" t="s">
        <v>711</v>
      </c>
      <c r="F725" s="15" t="s">
        <v>30</v>
      </c>
      <c r="G725" s="15" t="s">
        <v>31</v>
      </c>
      <c r="H725" s="15" t="s">
        <v>29</v>
      </c>
      <c r="I725" s="15" t="s">
        <v>31</v>
      </c>
      <c r="J725" s="15" t="s">
        <v>30</v>
      </c>
      <c r="K725" s="15" t="s">
        <v>30</v>
      </c>
      <c r="L725" s="15" t="s">
        <v>31</v>
      </c>
      <c r="M725" s="15" t="s">
        <v>29</v>
      </c>
      <c r="N725" s="15" t="s">
        <v>29</v>
      </c>
      <c r="O725" s="15" t="s">
        <v>30</v>
      </c>
      <c r="P725" s="18">
        <v>-1</v>
      </c>
      <c r="Q725" s="18">
        <v>-4</v>
      </c>
      <c r="R725" s="15" t="str">
        <f>_xlfn.CONCAT(F725,G725,H725,I725,J725)</f>
        <v>WLDLW</v>
      </c>
      <c r="S725" s="13" t="str">
        <f>_xlfn.CONCAT(K725,L725,M725,N725,O725)</f>
        <v>WLDDW</v>
      </c>
      <c r="T725" s="13" t="str">
        <f>_xlfn.CONCAT(R725,"***",S725)</f>
        <v>WLDLW***WLDDW</v>
      </c>
      <c r="U725" s="19">
        <f>(P725-Q725)</f>
        <v>3</v>
      </c>
      <c r="V725" s="14"/>
      <c r="W725" s="14"/>
      <c r="X725" s="20" t="str">
        <f>IF(ISBLANK(V725),"",IF(V725&gt;W725,"1",IF(V725&lt;W725,"2",IF(V725=W725,"X"))))</f>
        <v/>
      </c>
      <c r="Y725" s="23" t="str">
        <f>COUNTIF(F725:J725, "W")&amp;COUNTIF(F725:J725, "d")&amp;COUNTIF(F725:J725, "l")</f>
        <v>212</v>
      </c>
      <c r="Z725" s="13" t="str">
        <f>COUNTIF(K725:O725, "W")&amp;COUNTIF(K725:O725, "d")&amp;COUNTIF(K725:O725, "l")</f>
        <v>221</v>
      </c>
      <c r="AA725" s="23" t="str">
        <f>_xlfn.CONCAT(Y725,"-",Z725)</f>
        <v>212-221</v>
      </c>
      <c r="AB725" s="15" t="str">
        <f>_xlfn.CONCAT(AA725,"…",TEXT(U725,"+00;-00;+00;"))</f>
        <v>212-221…+03</v>
      </c>
      <c r="AC725" s="23" t="str">
        <f>_xlfn.CONCAT(TEXT(P725,"+00;-00;+00;"),"…",TEXT(Q725,"+00;-00;+00;"))</f>
        <v>-01…-04</v>
      </c>
      <c r="AD725" s="14" t="str">
        <f>IF(X725="","?","")</f>
        <v>?</v>
      </c>
      <c r="AE725" s="15" t="str">
        <f>_xlfn.CONCAT(AA725,"…",TEXT(P725,"+00;-00;+00;"),"...",TEXT(Q725,"+00;-00;+00;"))</f>
        <v>212-221…-01...-04</v>
      </c>
      <c r="AF725" s="13" t="str">
        <f>_xlfn.CONCAT(R725,"…",TEXT(P725,"+00;-00;+00;"),"...",TEXT(Q725,"+00;-00;+00;"))</f>
        <v>WLDLW…-01...-04</v>
      </c>
    </row>
    <row r="726" spans="1:32" x14ac:dyDescent="0.25">
      <c r="A726" s="12" t="s">
        <v>1095</v>
      </c>
      <c r="B726" s="13" t="s">
        <v>167</v>
      </c>
      <c r="C726" s="14">
        <v>2</v>
      </c>
      <c r="D726" s="13" t="s">
        <v>198</v>
      </c>
      <c r="E726" s="13" t="s">
        <v>190</v>
      </c>
      <c r="F726" s="15" t="s">
        <v>31</v>
      </c>
      <c r="G726" s="15" t="s">
        <v>29</v>
      </c>
      <c r="H726" s="15" t="s">
        <v>30</v>
      </c>
      <c r="I726" s="15" t="s">
        <v>31</v>
      </c>
      <c r="J726" s="15" t="s">
        <v>30</v>
      </c>
      <c r="K726" s="15" t="s">
        <v>30</v>
      </c>
      <c r="L726" s="15" t="s">
        <v>29</v>
      </c>
      <c r="M726" s="15" t="s">
        <v>30</v>
      </c>
      <c r="N726" s="15" t="s">
        <v>30</v>
      </c>
      <c r="O726" s="15" t="s">
        <v>29</v>
      </c>
      <c r="P726" s="18">
        <v>6</v>
      </c>
      <c r="Q726" s="18">
        <v>3</v>
      </c>
      <c r="R726" s="15" t="str">
        <f>_xlfn.CONCAT(F726,G726,H726,I726,J726)</f>
        <v>LDWLW</v>
      </c>
      <c r="S726" s="13" t="str">
        <f>_xlfn.CONCAT(K726,L726,M726,N726,O726)</f>
        <v>WDWWD</v>
      </c>
      <c r="T726" s="13" t="str">
        <f>_xlfn.CONCAT(R726,"***",S726)</f>
        <v>LDWLW***WDWWD</v>
      </c>
      <c r="U726" s="19">
        <f>(P726-Q726)</f>
        <v>3</v>
      </c>
      <c r="V726" s="14"/>
      <c r="W726" s="14"/>
      <c r="X726" s="20" t="str">
        <f>IF(ISBLANK(V726),"",IF(V726&gt;W726,"1",IF(V726&lt;W726,"2",IF(V726=W726,"X"))))</f>
        <v/>
      </c>
      <c r="Y726" s="23" t="str">
        <f>COUNTIF(F726:J726, "W")&amp;COUNTIF(F726:J726, "d")&amp;COUNTIF(F726:J726, "l")</f>
        <v>212</v>
      </c>
      <c r="Z726" s="13" t="str">
        <f>COUNTIF(K726:O726, "W")&amp;COUNTIF(K726:O726, "d")&amp;COUNTIF(K726:O726, "l")</f>
        <v>320</v>
      </c>
      <c r="AA726" s="23" t="str">
        <f>_xlfn.CONCAT(Y726,"-",Z726)</f>
        <v>212-320</v>
      </c>
      <c r="AB726" s="15" t="str">
        <f>_xlfn.CONCAT(AA726,"…",TEXT(U726,"+00;-00;+00;"))</f>
        <v>212-320…+03</v>
      </c>
      <c r="AC726" s="23" t="str">
        <f>_xlfn.CONCAT(TEXT(P726,"+00;-00;+00;"),"…",TEXT(Q726,"+00;-00;+00;"))</f>
        <v>+06…+03</v>
      </c>
      <c r="AD726" s="14" t="str">
        <f>IF(X726="","?","")</f>
        <v>?</v>
      </c>
      <c r="AE726" s="15" t="str">
        <f>_xlfn.CONCAT(AA726,"…",TEXT(P726,"+00;-00;+00;"),"...",TEXT(Q726,"+00;-00;+00;"))</f>
        <v>212-320…+06...+03</v>
      </c>
      <c r="AF726" s="13" t="str">
        <f>_xlfn.CONCAT(R726,"…",TEXT(P726,"+00;-00;+00;"),"...",TEXT(Q726,"+00;-00;+00;"))</f>
        <v>LDWLW…+06...+03</v>
      </c>
    </row>
    <row r="727" spans="1:32" x14ac:dyDescent="0.25">
      <c r="A727" s="12" t="s">
        <v>1095</v>
      </c>
      <c r="B727" s="13" t="s">
        <v>167</v>
      </c>
      <c r="C727" s="14">
        <v>2</v>
      </c>
      <c r="D727" s="13" t="s">
        <v>705</v>
      </c>
      <c r="E727" s="13" t="s">
        <v>707</v>
      </c>
      <c r="F727" s="15" t="s">
        <v>30</v>
      </c>
      <c r="G727" s="15" t="s">
        <v>30</v>
      </c>
      <c r="H727" s="15" t="s">
        <v>31</v>
      </c>
      <c r="I727" s="15" t="s">
        <v>31</v>
      </c>
      <c r="J727" s="15" t="s">
        <v>30</v>
      </c>
      <c r="K727" s="15" t="s">
        <v>30</v>
      </c>
      <c r="L727" s="15" t="s">
        <v>29</v>
      </c>
      <c r="M727" s="15" t="s">
        <v>30</v>
      </c>
      <c r="N727" s="15" t="s">
        <v>29</v>
      </c>
      <c r="O727" s="15" t="s">
        <v>30</v>
      </c>
      <c r="P727" s="18">
        <v>0</v>
      </c>
      <c r="Q727" s="18">
        <v>13</v>
      </c>
      <c r="R727" s="15" t="str">
        <f>_xlfn.CONCAT(F727,G727,H727,I727,J727)</f>
        <v>WWLLW</v>
      </c>
      <c r="S727" s="13" t="str">
        <f>_xlfn.CONCAT(K727,L727,M727,N727,O727)</f>
        <v>WDWDW</v>
      </c>
      <c r="T727" s="13" t="str">
        <f>_xlfn.CONCAT(R727,"***",S727)</f>
        <v>WWLLW***WDWDW</v>
      </c>
      <c r="U727" s="19">
        <f>(P727-Q727)</f>
        <v>-13</v>
      </c>
      <c r="V727" s="14"/>
      <c r="W727" s="14"/>
      <c r="X727" s="20" t="str">
        <f>IF(ISBLANK(V727),"",IF(V727&gt;W727,"1",IF(V727&lt;W727,"2",IF(V727=W727,"X"))))</f>
        <v/>
      </c>
      <c r="Y727" s="23" t="str">
        <f>COUNTIF(F727:J727, "W")&amp;COUNTIF(F727:J727, "d")&amp;COUNTIF(F727:J727, "l")</f>
        <v>302</v>
      </c>
      <c r="Z727" s="13" t="str">
        <f>COUNTIF(K727:O727, "W")&amp;COUNTIF(K727:O727, "d")&amp;COUNTIF(K727:O727, "l")</f>
        <v>320</v>
      </c>
      <c r="AA727" s="23" t="str">
        <f>_xlfn.CONCAT(Y727,"-",Z727)</f>
        <v>302-320</v>
      </c>
      <c r="AB727" s="15" t="str">
        <f>_xlfn.CONCAT(AA727,"…",TEXT(U727,"+00;-00;+00;"))</f>
        <v>302-320…-13</v>
      </c>
      <c r="AC727" s="23" t="str">
        <f>_xlfn.CONCAT(TEXT(P727,"+00;-00;+00;"),"…",TEXT(Q727,"+00;-00;+00;"))</f>
        <v>+00…+13</v>
      </c>
      <c r="AD727" s="14" t="str">
        <f>IF(X727="","?","")</f>
        <v>?</v>
      </c>
      <c r="AE727" s="15" t="str">
        <f>_xlfn.CONCAT(AA727,"…",TEXT(P727,"+00;-00;+00;"),"...",TEXT(Q727,"+00;-00;+00;"))</f>
        <v>302-320…+00...+13</v>
      </c>
      <c r="AF727" s="13" t="str">
        <f>_xlfn.CONCAT(R727,"…",TEXT(P727,"+00;-00;+00;"),"...",TEXT(Q727,"+00;-00;+00;"))</f>
        <v>WWLLW…+00...+13</v>
      </c>
    </row>
    <row r="728" spans="1:32" x14ac:dyDescent="0.25">
      <c r="A728" s="12" t="s">
        <v>1095</v>
      </c>
      <c r="B728" s="13" t="s">
        <v>167</v>
      </c>
      <c r="C728" s="14">
        <v>2</v>
      </c>
      <c r="D728" s="13" t="s">
        <v>927</v>
      </c>
      <c r="E728" s="13" t="s">
        <v>648</v>
      </c>
      <c r="F728" s="15" t="s">
        <v>30</v>
      </c>
      <c r="G728" s="15" t="s">
        <v>31</v>
      </c>
      <c r="H728" s="15" t="s">
        <v>30</v>
      </c>
      <c r="I728" s="15" t="s">
        <v>29</v>
      </c>
      <c r="J728" s="15" t="s">
        <v>30</v>
      </c>
      <c r="K728" s="15" t="s">
        <v>31</v>
      </c>
      <c r="L728" s="15" t="s">
        <v>31</v>
      </c>
      <c r="M728" s="15" t="s">
        <v>31</v>
      </c>
      <c r="N728" s="15" t="s">
        <v>29</v>
      </c>
      <c r="O728" s="15" t="s">
        <v>30</v>
      </c>
      <c r="P728" s="18">
        <v>9</v>
      </c>
      <c r="Q728" s="18">
        <v>-6</v>
      </c>
      <c r="R728" s="15" t="str">
        <f>_xlfn.CONCAT(F728,G728,H728,I728,J728)</f>
        <v>WLWDW</v>
      </c>
      <c r="S728" s="13" t="str">
        <f>_xlfn.CONCAT(K728,L728,M728,N728,O728)</f>
        <v>LLLDW</v>
      </c>
      <c r="T728" s="13" t="str">
        <f>_xlfn.CONCAT(R728,"***",S728)</f>
        <v>WLWDW***LLLDW</v>
      </c>
      <c r="U728" s="19">
        <f>(P728-Q728)</f>
        <v>15</v>
      </c>
      <c r="V728" s="14"/>
      <c r="W728" s="14"/>
      <c r="X728" s="20" t="str">
        <f>IF(ISBLANK(V728),"",IF(V728&gt;W728,"1",IF(V728&lt;W728,"2",IF(V728=W728,"X"))))</f>
        <v/>
      </c>
      <c r="Y728" s="23" t="str">
        <f>COUNTIF(F728:J728, "W")&amp;COUNTIF(F728:J728, "d")&amp;COUNTIF(F728:J728, "l")</f>
        <v>311</v>
      </c>
      <c r="Z728" s="13" t="str">
        <f>COUNTIF(K728:O728, "W")&amp;COUNTIF(K728:O728, "d")&amp;COUNTIF(K728:O728, "l")</f>
        <v>113</v>
      </c>
      <c r="AA728" s="23" t="str">
        <f>_xlfn.CONCAT(Y728,"-",Z728)</f>
        <v>311-113</v>
      </c>
      <c r="AB728" s="15" t="str">
        <f>_xlfn.CONCAT(AA728,"…",TEXT(U728,"+00;-00;+00;"))</f>
        <v>311-113…+15</v>
      </c>
      <c r="AC728" s="23" t="str">
        <f>_xlfn.CONCAT(TEXT(P728,"+00;-00;+00;"),"…",TEXT(Q728,"+00;-00;+00;"))</f>
        <v>+09…-06</v>
      </c>
      <c r="AD728" s="14" t="str">
        <f>IF(X728="","?","")</f>
        <v>?</v>
      </c>
      <c r="AE728" s="15" t="str">
        <f>_xlfn.CONCAT(AA728,"…",TEXT(P728,"+00;-00;+00;"),"...",TEXT(Q728,"+00;-00;+00;"))</f>
        <v>311-113…+09...-06</v>
      </c>
      <c r="AF728" s="13" t="str">
        <f>_xlfn.CONCAT(R728,"…",TEXT(P728,"+00;-00;+00;"),"...",TEXT(Q728,"+00;-00;+00;"))</f>
        <v>WLWDW…+09...-06</v>
      </c>
    </row>
    <row r="729" spans="1:32" x14ac:dyDescent="0.25">
      <c r="A729" s="12" t="s">
        <v>1177</v>
      </c>
      <c r="B729" s="13" t="s">
        <v>414</v>
      </c>
      <c r="C729" s="14">
        <v>1</v>
      </c>
      <c r="D729" s="13" t="s">
        <v>837</v>
      </c>
      <c r="E729" s="13" t="s">
        <v>839</v>
      </c>
      <c r="F729" s="15" t="s">
        <v>29</v>
      </c>
      <c r="G729" s="15" t="s">
        <v>30</v>
      </c>
      <c r="H729" s="15" t="s">
        <v>31</v>
      </c>
      <c r="I729" s="15" t="s">
        <v>29</v>
      </c>
      <c r="J729" s="15" t="s">
        <v>31</v>
      </c>
      <c r="K729" s="15" t="s">
        <v>31</v>
      </c>
      <c r="L729" s="15" t="s">
        <v>30</v>
      </c>
      <c r="M729" s="15" t="s">
        <v>31</v>
      </c>
      <c r="N729" s="15" t="s">
        <v>29</v>
      </c>
      <c r="O729" s="15" t="s">
        <v>30</v>
      </c>
      <c r="P729" s="18">
        <v>1</v>
      </c>
      <c r="Q729" s="18">
        <v>7</v>
      </c>
      <c r="R729" s="15" t="str">
        <f>_xlfn.CONCAT(F729,G729,H729,I729,J729)</f>
        <v>DWLDL</v>
      </c>
      <c r="S729" s="13" t="str">
        <f>_xlfn.CONCAT(K729,L729,M729,N729,O729)</f>
        <v>LWLDW</v>
      </c>
      <c r="T729" s="13" t="str">
        <f>_xlfn.CONCAT(R729,"***",S729)</f>
        <v>DWLDL***LWLDW</v>
      </c>
      <c r="U729" s="19">
        <f>(P729-Q729)</f>
        <v>-6</v>
      </c>
      <c r="V729" s="14"/>
      <c r="W729" s="14"/>
      <c r="X729" s="20" t="str">
        <f>IF(ISBLANK(V729),"",IF(V729&gt;W729,"1",IF(V729&lt;W729,"2",IF(V729=W729,"X"))))</f>
        <v/>
      </c>
      <c r="Y729" s="23" t="str">
        <f>COUNTIF(F729:J729, "W")&amp;COUNTIF(F729:J729, "d")&amp;COUNTIF(F729:J729, "l")</f>
        <v>122</v>
      </c>
      <c r="Z729" s="13" t="str">
        <f>COUNTIF(K729:O729, "W")&amp;COUNTIF(K729:O729, "d")&amp;COUNTIF(K729:O729, "l")</f>
        <v>212</v>
      </c>
      <c r="AA729" s="23" t="str">
        <f>_xlfn.CONCAT(Y729,"-",Z729)</f>
        <v>122-212</v>
      </c>
      <c r="AB729" s="15" t="str">
        <f>_xlfn.CONCAT(AA729,"…",TEXT(U729,"+00;-00;+00;"))</f>
        <v>122-212…-06</v>
      </c>
      <c r="AC729" s="23" t="str">
        <f>_xlfn.CONCAT(TEXT(P729,"+00;-00;+00;"),"…",TEXT(Q729,"+00;-00;+00;"))</f>
        <v>+01…+07</v>
      </c>
      <c r="AD729" s="14" t="str">
        <f>IF(X729="","?","")</f>
        <v>?</v>
      </c>
      <c r="AE729" s="15" t="str">
        <f>_xlfn.CONCAT(AA729,"…",TEXT(P729,"+00;-00;+00;"),"...",TEXT(Q729,"+00;-00;+00;"))</f>
        <v>122-212…+01...+07</v>
      </c>
      <c r="AF729" s="13" t="str">
        <f>_xlfn.CONCAT(R729,"…",TEXT(P729,"+00;-00;+00;"),"...",TEXT(Q729,"+00;-00;+00;"))</f>
        <v>DWLDL…+01...+07</v>
      </c>
    </row>
    <row r="730" spans="1:32" x14ac:dyDescent="0.25">
      <c r="A730" s="12" t="s">
        <v>1152</v>
      </c>
      <c r="B730" s="13" t="s">
        <v>208</v>
      </c>
      <c r="C730" s="14">
        <v>2</v>
      </c>
      <c r="D730" s="13" t="s">
        <v>1158</v>
      </c>
      <c r="E730" s="13" t="s">
        <v>1159</v>
      </c>
      <c r="F730" s="15" t="s">
        <v>30</v>
      </c>
      <c r="G730" s="15" t="s">
        <v>30</v>
      </c>
      <c r="H730" s="15" t="s">
        <v>30</v>
      </c>
      <c r="I730" s="15" t="s">
        <v>30</v>
      </c>
      <c r="J730" s="15" t="s">
        <v>29</v>
      </c>
      <c r="K730" s="15" t="s">
        <v>29</v>
      </c>
      <c r="L730" s="15" t="s">
        <v>31</v>
      </c>
      <c r="M730" s="15" t="s">
        <v>29</v>
      </c>
      <c r="N730" s="15" t="s">
        <v>29</v>
      </c>
      <c r="O730" s="15" t="s">
        <v>30</v>
      </c>
      <c r="P730" s="18">
        <v>7</v>
      </c>
      <c r="Q730" s="18">
        <v>10</v>
      </c>
      <c r="R730" s="15" t="str">
        <f>_xlfn.CONCAT(F730,G730,H730,I730,J730)</f>
        <v>WWWWD</v>
      </c>
      <c r="S730" s="13" t="str">
        <f>_xlfn.CONCAT(K730,L730,M730,N730,O730)</f>
        <v>DLDDW</v>
      </c>
      <c r="T730" s="13" t="str">
        <f>_xlfn.CONCAT(R730,"***",S730)</f>
        <v>WWWWD***DLDDW</v>
      </c>
      <c r="U730" s="19">
        <f>(P730-Q730)</f>
        <v>-3</v>
      </c>
      <c r="V730" s="14"/>
      <c r="W730" s="14"/>
      <c r="X730" s="20" t="str">
        <f>IF(ISBLANK(V730),"",IF(V730&gt;W730,"1",IF(V730&lt;W730,"2",IF(V730=W730,"X"))))</f>
        <v/>
      </c>
      <c r="Y730" s="23" t="str">
        <f>COUNTIF(F730:J730, "W")&amp;COUNTIF(F730:J730, "d")&amp;COUNTIF(F730:J730, "l")</f>
        <v>410</v>
      </c>
      <c r="Z730" s="13" t="str">
        <f>COUNTIF(K730:O730, "W")&amp;COUNTIF(K730:O730, "d")&amp;COUNTIF(K730:O730, "l")</f>
        <v>131</v>
      </c>
      <c r="AA730" s="23" t="str">
        <f>_xlfn.CONCAT(Y730,"-",Z730)</f>
        <v>410-131</v>
      </c>
      <c r="AB730" s="15" t="str">
        <f>_xlfn.CONCAT(AA730,"…",TEXT(U730,"+00;-00;+00;"))</f>
        <v>410-131…-03</v>
      </c>
      <c r="AC730" s="23" t="str">
        <f>_xlfn.CONCAT(TEXT(P730,"+00;-00;+00;"),"…",TEXT(Q730,"+00;-00;+00;"))</f>
        <v>+07…+10</v>
      </c>
      <c r="AD730" s="14" t="str">
        <f>IF(X730="","?","")</f>
        <v>?</v>
      </c>
      <c r="AE730" s="15" t="str">
        <f>_xlfn.CONCAT(AA730,"…",TEXT(P730,"+00;-00;+00;"),"...",TEXT(Q730,"+00;-00;+00;"))</f>
        <v>410-131…+07...+10</v>
      </c>
      <c r="AF730" s="13" t="str">
        <f>_xlfn.CONCAT(R730,"…",TEXT(P730,"+00;-00;+00;"),"...",TEXT(Q730,"+00;-00;+00;"))</f>
        <v>WWWWD…+07...+10</v>
      </c>
    </row>
    <row r="731" spans="1:32" x14ac:dyDescent="0.25">
      <c r="A731" s="12" t="s">
        <v>1115</v>
      </c>
      <c r="B731" s="13" t="s">
        <v>318</v>
      </c>
      <c r="C731" s="14">
        <v>1</v>
      </c>
      <c r="D731" s="13" t="s">
        <v>328</v>
      </c>
      <c r="E731" s="13" t="s">
        <v>758</v>
      </c>
      <c r="F731" s="15" t="s">
        <v>29</v>
      </c>
      <c r="G731" s="15" t="s">
        <v>31</v>
      </c>
      <c r="H731" s="15" t="s">
        <v>30</v>
      </c>
      <c r="I731" s="15" t="s">
        <v>31</v>
      </c>
      <c r="J731" s="15" t="s">
        <v>29</v>
      </c>
      <c r="K731" s="15" t="s">
        <v>31</v>
      </c>
      <c r="L731" s="15" t="s">
        <v>29</v>
      </c>
      <c r="M731" s="15" t="s">
        <v>30</v>
      </c>
      <c r="N731" s="15" t="s">
        <v>31</v>
      </c>
      <c r="O731" s="15" t="s">
        <v>31</v>
      </c>
      <c r="P731" s="18">
        <v>-7</v>
      </c>
      <c r="Q731" s="18">
        <v>-10</v>
      </c>
      <c r="R731" s="15" t="str">
        <f>_xlfn.CONCAT(F731,G731,H731,I731,J731)</f>
        <v>DLWLD</v>
      </c>
      <c r="S731" s="13" t="str">
        <f>_xlfn.CONCAT(K731,L731,M731,N731,O731)</f>
        <v>LDWLL</v>
      </c>
      <c r="T731" s="13" t="str">
        <f>_xlfn.CONCAT(R731,"***",S731)</f>
        <v>DLWLD***LDWLL</v>
      </c>
      <c r="U731" s="19">
        <f>(P731-Q731)</f>
        <v>3</v>
      </c>
      <c r="V731" s="14"/>
      <c r="W731" s="14"/>
      <c r="X731" s="20" t="str">
        <f>IF(ISBLANK(V731),"",IF(V731&gt;W731,"1",IF(V731&lt;W731,"2",IF(V731=W731,"X"))))</f>
        <v/>
      </c>
      <c r="Y731" s="23" t="str">
        <f>COUNTIF(F731:J731, "W")&amp;COUNTIF(F731:J731, "d")&amp;COUNTIF(F731:J731, "l")</f>
        <v>122</v>
      </c>
      <c r="Z731" s="13" t="str">
        <f>COUNTIF(K731:O731, "W")&amp;COUNTIF(K731:O731, "d")&amp;COUNTIF(K731:O731, "l")</f>
        <v>113</v>
      </c>
      <c r="AA731" s="23" t="str">
        <f>_xlfn.CONCAT(Y731,"-",Z731)</f>
        <v>122-113</v>
      </c>
      <c r="AB731" s="15" t="str">
        <f>_xlfn.CONCAT(AA731,"…",TEXT(U731,"+00;-00;+00;"))</f>
        <v>122-113…+03</v>
      </c>
      <c r="AC731" s="23" t="str">
        <f>_xlfn.CONCAT(TEXT(P731,"+00;-00;+00;"),"…",TEXT(Q731,"+00;-00;+00;"))</f>
        <v>-07…-10</v>
      </c>
      <c r="AD731" s="14" t="str">
        <f>IF(X731="","?","")</f>
        <v>?</v>
      </c>
      <c r="AE731" s="15" t="str">
        <f>_xlfn.CONCAT(AA731,"…",TEXT(P731,"+00;-00;+00;"),"...",TEXT(Q731,"+00;-00;+00;"))</f>
        <v>122-113…-07...-10</v>
      </c>
      <c r="AF731" s="13" t="str">
        <f>_xlfn.CONCAT(R731,"…",TEXT(P731,"+00;-00;+00;"),"...",TEXT(Q731,"+00;-00;+00;"))</f>
        <v>DLWLD…-07...-10</v>
      </c>
    </row>
    <row r="732" spans="1:32" x14ac:dyDescent="0.25">
      <c r="A732" s="12" t="s">
        <v>1115</v>
      </c>
      <c r="B732" s="13" t="s">
        <v>117</v>
      </c>
      <c r="C732" s="14" t="s">
        <v>0</v>
      </c>
      <c r="D732" s="13" t="s">
        <v>642</v>
      </c>
      <c r="E732" s="13" t="s">
        <v>632</v>
      </c>
      <c r="F732" s="15" t="s">
        <v>29</v>
      </c>
      <c r="G732" s="15" t="s">
        <v>30</v>
      </c>
      <c r="H732" s="15" t="s">
        <v>31</v>
      </c>
      <c r="I732" s="15" t="s">
        <v>29</v>
      </c>
      <c r="J732" s="15" t="s">
        <v>30</v>
      </c>
      <c r="K732" s="15" t="s">
        <v>29</v>
      </c>
      <c r="L732" s="15" t="s">
        <v>29</v>
      </c>
      <c r="M732" s="15" t="s">
        <v>31</v>
      </c>
      <c r="N732" s="15" t="s">
        <v>30</v>
      </c>
      <c r="O732" s="15" t="s">
        <v>31</v>
      </c>
      <c r="P732" s="18">
        <v>-3</v>
      </c>
      <c r="Q732" s="18">
        <v>-17</v>
      </c>
      <c r="R732" s="15" t="str">
        <f>_xlfn.CONCAT(F732,G732,H732,I732,J732)</f>
        <v>DWLDW</v>
      </c>
      <c r="S732" s="13" t="str">
        <f>_xlfn.CONCAT(K732,L732,M732,N732,O732)</f>
        <v>DDLWL</v>
      </c>
      <c r="T732" s="13" t="str">
        <f>_xlfn.CONCAT(R732,"***",S732)</f>
        <v>DWLDW***DDLWL</v>
      </c>
      <c r="U732" s="19">
        <f>(P732-Q732)</f>
        <v>14</v>
      </c>
      <c r="V732" s="14"/>
      <c r="W732" s="14"/>
      <c r="X732" s="20" t="str">
        <f>IF(ISBLANK(V732),"",IF(V732&gt;W732,"1",IF(V732&lt;W732,"2",IF(V732=W732,"X"))))</f>
        <v/>
      </c>
      <c r="Y732" s="23" t="str">
        <f>COUNTIF(F732:J732, "W")&amp;COUNTIF(F732:J732, "d")&amp;COUNTIF(F732:J732, "l")</f>
        <v>221</v>
      </c>
      <c r="Z732" s="13" t="str">
        <f>COUNTIF(K732:O732, "W")&amp;COUNTIF(K732:O732, "d")&amp;COUNTIF(K732:O732, "l")</f>
        <v>122</v>
      </c>
      <c r="AA732" s="23" t="str">
        <f>_xlfn.CONCAT(Y732,"-",Z732)</f>
        <v>221-122</v>
      </c>
      <c r="AB732" s="15" t="str">
        <f>_xlfn.CONCAT(AA732,"…",TEXT(U732,"+00;-00;+00;"))</f>
        <v>221-122…+14</v>
      </c>
      <c r="AC732" s="23" t="str">
        <f>_xlfn.CONCAT(TEXT(P732,"+00;-00;+00;"),"…",TEXT(Q732,"+00;-00;+00;"))</f>
        <v>-03…-17</v>
      </c>
      <c r="AD732" s="14" t="str">
        <f>IF(X732="","?","")</f>
        <v>?</v>
      </c>
      <c r="AE732" s="15" t="str">
        <f>_xlfn.CONCAT(AA732,"…",TEXT(P732,"+00;-00;+00;"),"...",TEXT(Q732,"+00;-00;+00;"))</f>
        <v>221-122…-03...-17</v>
      </c>
      <c r="AF732" s="13" t="str">
        <f>_xlfn.CONCAT(R732,"…",TEXT(P732,"+00;-00;+00;"),"...",TEXT(Q732,"+00;-00;+00;"))</f>
        <v>DWLDW…-03...-17</v>
      </c>
    </row>
    <row r="733" spans="1:32" x14ac:dyDescent="0.25">
      <c r="A733" s="12" t="s">
        <v>1079</v>
      </c>
      <c r="B733" s="13" t="s">
        <v>59</v>
      </c>
      <c r="C733" s="14">
        <v>1</v>
      </c>
      <c r="D733" s="13" t="s">
        <v>724</v>
      </c>
      <c r="E733" s="13" t="s">
        <v>69</v>
      </c>
      <c r="F733" s="15" t="s">
        <v>31</v>
      </c>
      <c r="G733" s="15" t="s">
        <v>31</v>
      </c>
      <c r="H733" s="15" t="s">
        <v>29</v>
      </c>
      <c r="I733" s="15" t="s">
        <v>31</v>
      </c>
      <c r="J733" s="15" t="s">
        <v>30</v>
      </c>
      <c r="K733" s="15" t="s">
        <v>31</v>
      </c>
      <c r="L733" s="15" t="s">
        <v>30</v>
      </c>
      <c r="M733" s="15" t="s">
        <v>29</v>
      </c>
      <c r="N733" s="15" t="s">
        <v>30</v>
      </c>
      <c r="O733" s="15" t="s">
        <v>30</v>
      </c>
      <c r="P733" s="18">
        <v>-4</v>
      </c>
      <c r="Q733" s="18">
        <v>12</v>
      </c>
      <c r="R733" s="15" t="str">
        <f>_xlfn.CONCAT(F733,G733,H733,I733,J733)</f>
        <v>LLDLW</v>
      </c>
      <c r="S733" s="13" t="str">
        <f>_xlfn.CONCAT(K733,L733,M733,N733,O733)</f>
        <v>LWDWW</v>
      </c>
      <c r="T733" s="13" t="str">
        <f>_xlfn.CONCAT(R733,"***",S733)</f>
        <v>LLDLW***LWDWW</v>
      </c>
      <c r="U733" s="19">
        <f>(P733-Q733)</f>
        <v>-16</v>
      </c>
      <c r="V733" s="14"/>
      <c r="W733" s="14"/>
      <c r="X733" s="20" t="str">
        <f>IF(ISBLANK(V733),"",IF(V733&gt;W733,"1",IF(V733&lt;W733,"2",IF(V733=W733,"X"))))</f>
        <v/>
      </c>
      <c r="Y733" s="23" t="str">
        <f>COUNTIF(F733:J733, "W")&amp;COUNTIF(F733:J733, "d")&amp;COUNTIF(F733:J733, "l")</f>
        <v>113</v>
      </c>
      <c r="Z733" s="13" t="str">
        <f>COUNTIF(K733:O733, "W")&amp;COUNTIF(K733:O733, "d")&amp;COUNTIF(K733:O733, "l")</f>
        <v>311</v>
      </c>
      <c r="AA733" s="23" t="str">
        <f>_xlfn.CONCAT(Y733,"-",Z733)</f>
        <v>113-311</v>
      </c>
      <c r="AB733" s="15" t="str">
        <f>_xlfn.CONCAT(AA733,"…",TEXT(U733,"+00;-00;+00;"))</f>
        <v>113-311…-16</v>
      </c>
      <c r="AC733" s="23" t="str">
        <f>_xlfn.CONCAT(TEXT(P733,"+00;-00;+00;"),"…",TEXT(Q733,"+00;-00;+00;"))</f>
        <v>-04…+12</v>
      </c>
      <c r="AD733" s="14" t="str">
        <f>IF(X733="","?","")</f>
        <v>?</v>
      </c>
      <c r="AE733" s="15" t="str">
        <f>_xlfn.CONCAT(AA733,"…",TEXT(P733,"+00;-00;+00;"),"...",TEXT(Q733,"+00;-00;+00;"))</f>
        <v>113-311…-04...+12</v>
      </c>
      <c r="AF733" s="13" t="str">
        <f>_xlfn.CONCAT(R733,"…",TEXT(P733,"+00;-00;+00;"),"...",TEXT(Q733,"+00;-00;+00;"))</f>
        <v>LLDLW…-04...+12</v>
      </c>
    </row>
    <row r="734" spans="1:32" x14ac:dyDescent="0.25">
      <c r="A734" s="12" t="s">
        <v>1079</v>
      </c>
      <c r="B734" s="13" t="s">
        <v>59</v>
      </c>
      <c r="C734" s="14">
        <v>2</v>
      </c>
      <c r="D734" s="13" t="s">
        <v>1016</v>
      </c>
      <c r="E734" s="13" t="s">
        <v>748</v>
      </c>
      <c r="F734" s="15" t="s">
        <v>29</v>
      </c>
      <c r="G734" s="15" t="s">
        <v>29</v>
      </c>
      <c r="H734" s="15" t="s">
        <v>30</v>
      </c>
      <c r="I734" s="15" t="s">
        <v>29</v>
      </c>
      <c r="J734" s="15" t="s">
        <v>31</v>
      </c>
      <c r="K734" s="15" t="s">
        <v>30</v>
      </c>
      <c r="L734" s="15" t="s">
        <v>31</v>
      </c>
      <c r="M734" s="15" t="s">
        <v>30</v>
      </c>
      <c r="N734" s="15" t="s">
        <v>29</v>
      </c>
      <c r="O734" s="15" t="s">
        <v>29</v>
      </c>
      <c r="P734" s="18">
        <v>-1</v>
      </c>
      <c r="Q734" s="18">
        <v>-4</v>
      </c>
      <c r="R734" s="15" t="str">
        <f>_xlfn.CONCAT(F734,G734,H734,I734,J734)</f>
        <v>DDWDL</v>
      </c>
      <c r="S734" s="13" t="str">
        <f>_xlfn.CONCAT(K734,L734,M734,N734,O734)</f>
        <v>WLWDD</v>
      </c>
      <c r="T734" s="13" t="str">
        <f>_xlfn.CONCAT(R734,"***",S734)</f>
        <v>DDWDL***WLWDD</v>
      </c>
      <c r="U734" s="19">
        <f>(P734-Q734)</f>
        <v>3</v>
      </c>
      <c r="V734" s="14"/>
      <c r="W734" s="14"/>
      <c r="X734" s="20" t="str">
        <f>IF(ISBLANK(V734),"",IF(V734&gt;W734,"1",IF(V734&lt;W734,"2",IF(V734=W734,"X"))))</f>
        <v/>
      </c>
      <c r="Y734" s="23" t="str">
        <f>COUNTIF(F734:J734, "W")&amp;COUNTIF(F734:J734, "d")&amp;COUNTIF(F734:J734, "l")</f>
        <v>131</v>
      </c>
      <c r="Z734" s="13" t="str">
        <f>COUNTIF(K734:O734, "W")&amp;COUNTIF(K734:O734, "d")&amp;COUNTIF(K734:O734, "l")</f>
        <v>221</v>
      </c>
      <c r="AA734" s="23" t="str">
        <f>_xlfn.CONCAT(Y734,"-",Z734)</f>
        <v>131-221</v>
      </c>
      <c r="AB734" s="15" t="str">
        <f>_xlfn.CONCAT(AA734,"…",TEXT(U734,"+00;-00;+00;"))</f>
        <v>131-221…+03</v>
      </c>
      <c r="AC734" s="23" t="str">
        <f>_xlfn.CONCAT(TEXT(P734,"+00;-00;+00;"),"…",TEXT(Q734,"+00;-00;+00;"))</f>
        <v>-01…-04</v>
      </c>
      <c r="AD734" s="14" t="str">
        <f>IF(X734="","?","")</f>
        <v>?</v>
      </c>
      <c r="AE734" s="15" t="str">
        <f>_xlfn.CONCAT(AA734,"…",TEXT(P734,"+00;-00;+00;"),"...",TEXT(Q734,"+00;-00;+00;"))</f>
        <v>131-221…-01...-04</v>
      </c>
      <c r="AF734" s="13" t="str">
        <f>_xlfn.CONCAT(R734,"…",TEXT(P734,"+00;-00;+00;"),"...",TEXT(Q734,"+00;-00;+00;"))</f>
        <v>DDWDL…-01...-04</v>
      </c>
    </row>
    <row r="735" spans="1:32" x14ac:dyDescent="0.25">
      <c r="A735" s="12" t="s">
        <v>1079</v>
      </c>
      <c r="B735" s="13" t="s">
        <v>295</v>
      </c>
      <c r="C735" s="14">
        <v>1</v>
      </c>
      <c r="D735" s="13" t="s">
        <v>1132</v>
      </c>
      <c r="E735" s="13" t="s">
        <v>1133</v>
      </c>
      <c r="F735" s="15" t="s">
        <v>31</v>
      </c>
      <c r="G735" s="15" t="s">
        <v>30</v>
      </c>
      <c r="H735" s="15" t="s">
        <v>30</v>
      </c>
      <c r="I735" s="15" t="s">
        <v>30</v>
      </c>
      <c r="J735" s="15" t="s">
        <v>31</v>
      </c>
      <c r="K735" s="15" t="s">
        <v>31</v>
      </c>
      <c r="L735" s="15" t="s">
        <v>31</v>
      </c>
      <c r="M735" s="15" t="s">
        <v>31</v>
      </c>
      <c r="N735" s="15" t="s">
        <v>31</v>
      </c>
      <c r="O735" s="15" t="s">
        <v>29</v>
      </c>
      <c r="P735" s="18">
        <v>-5</v>
      </c>
      <c r="Q735" s="18">
        <v>-23</v>
      </c>
      <c r="R735" s="15" t="str">
        <f>_xlfn.CONCAT(F735,G735,H735,I735,J735)</f>
        <v>LWWWL</v>
      </c>
      <c r="S735" s="13" t="str">
        <f>_xlfn.CONCAT(K735,L735,M735,N735,O735)</f>
        <v>LLLLD</v>
      </c>
      <c r="T735" s="13" t="str">
        <f>_xlfn.CONCAT(R735,"***",S735)</f>
        <v>LWWWL***LLLLD</v>
      </c>
      <c r="U735" s="19">
        <f>(P735-Q735)</f>
        <v>18</v>
      </c>
      <c r="V735" s="14"/>
      <c r="W735" s="14"/>
      <c r="X735" s="20" t="str">
        <f>IF(ISBLANK(V735),"",IF(V735&gt;W735,"1",IF(V735&lt;W735,"2",IF(V735=W735,"X"))))</f>
        <v/>
      </c>
      <c r="Y735" s="23" t="str">
        <f>COUNTIF(F735:J735, "W")&amp;COUNTIF(F735:J735, "d")&amp;COUNTIF(F735:J735, "l")</f>
        <v>302</v>
      </c>
      <c r="Z735" s="13" t="str">
        <f>COUNTIF(K735:O735, "W")&amp;COUNTIF(K735:O735, "d")&amp;COUNTIF(K735:O735, "l")</f>
        <v>014</v>
      </c>
      <c r="AA735" s="23" t="str">
        <f>_xlfn.CONCAT(Y735,"-",Z735)</f>
        <v>302-014</v>
      </c>
      <c r="AB735" s="15" t="str">
        <f>_xlfn.CONCAT(AA735,"…",TEXT(U735,"+00;-00;+00;"))</f>
        <v>302-014…+18</v>
      </c>
      <c r="AC735" s="23" t="str">
        <f>_xlfn.CONCAT(TEXT(P735,"+00;-00;+00;"),"…",TEXT(Q735,"+00;-00;+00;"))</f>
        <v>-05…-23</v>
      </c>
      <c r="AD735" s="14" t="str">
        <f>IF(X735="","?","")</f>
        <v>?</v>
      </c>
      <c r="AE735" s="15" t="str">
        <f>_xlfn.CONCAT(AA735,"…",TEXT(P735,"+00;-00;+00;"),"...",TEXT(Q735,"+00;-00;+00;"))</f>
        <v>302-014…-05...-23</v>
      </c>
      <c r="AF735" s="13" t="str">
        <f>_xlfn.CONCAT(R735,"…",TEXT(P735,"+00;-00;+00;"),"...",TEXT(Q735,"+00;-00;+00;"))</f>
        <v>LWWWL…-05...-23</v>
      </c>
    </row>
    <row r="736" spans="1:32" x14ac:dyDescent="0.25">
      <c r="A736" s="12" t="s">
        <v>1079</v>
      </c>
      <c r="B736" s="13" t="s">
        <v>167</v>
      </c>
      <c r="C736" s="14">
        <v>1</v>
      </c>
      <c r="D736" s="13" t="s">
        <v>172</v>
      </c>
      <c r="E736" s="13" t="s">
        <v>184</v>
      </c>
      <c r="F736" s="15" t="s">
        <v>29</v>
      </c>
      <c r="G736" s="15" t="s">
        <v>30</v>
      </c>
      <c r="H736" s="15" t="s">
        <v>30</v>
      </c>
      <c r="I736" s="15" t="s">
        <v>30</v>
      </c>
      <c r="J736" s="15" t="s">
        <v>29</v>
      </c>
      <c r="K736" s="15" t="s">
        <v>31</v>
      </c>
      <c r="L736" s="15" t="s">
        <v>30</v>
      </c>
      <c r="M736" s="15" t="s">
        <v>31</v>
      </c>
      <c r="N736" s="15" t="s">
        <v>31</v>
      </c>
      <c r="O736" s="15" t="s">
        <v>30</v>
      </c>
      <c r="P736" s="18">
        <v>4</v>
      </c>
      <c r="Q736" s="18">
        <v>0</v>
      </c>
      <c r="R736" s="15" t="str">
        <f>_xlfn.CONCAT(F736,G736,H736,I736,J736)</f>
        <v>DWWWD</v>
      </c>
      <c r="S736" s="13" t="str">
        <f>_xlfn.CONCAT(K736,L736,M736,N736,O736)</f>
        <v>LWLLW</v>
      </c>
      <c r="T736" s="13" t="str">
        <f>_xlfn.CONCAT(R736,"***",S736)</f>
        <v>DWWWD***LWLLW</v>
      </c>
      <c r="U736" s="19">
        <f>(P736-Q736)</f>
        <v>4</v>
      </c>
      <c r="V736" s="14"/>
      <c r="W736" s="14"/>
      <c r="X736" s="20" t="str">
        <f>IF(ISBLANK(V736),"",IF(V736&gt;W736,"1",IF(V736&lt;W736,"2",IF(V736=W736,"X"))))</f>
        <v/>
      </c>
      <c r="Y736" s="23" t="str">
        <f>COUNTIF(F736:J736, "W")&amp;COUNTIF(F736:J736, "d")&amp;COUNTIF(F736:J736, "l")</f>
        <v>320</v>
      </c>
      <c r="Z736" s="13" t="str">
        <f>COUNTIF(K736:O736, "W")&amp;COUNTIF(K736:O736, "d")&amp;COUNTIF(K736:O736, "l")</f>
        <v>203</v>
      </c>
      <c r="AA736" s="23" t="str">
        <f>_xlfn.CONCAT(Y736,"-",Z736)</f>
        <v>320-203</v>
      </c>
      <c r="AB736" s="15" t="str">
        <f>_xlfn.CONCAT(AA736,"…",TEXT(U736,"+00;-00;+00;"))</f>
        <v>320-203…+04</v>
      </c>
      <c r="AC736" s="23" t="str">
        <f>_xlfn.CONCAT(TEXT(P736,"+00;-00;+00;"),"…",TEXT(Q736,"+00;-00;+00;"))</f>
        <v>+04…+00</v>
      </c>
      <c r="AD736" s="14" t="str">
        <f>IF(X736="","?","")</f>
        <v>?</v>
      </c>
      <c r="AE736" s="15" t="str">
        <f>_xlfn.CONCAT(AA736,"…",TEXT(P736,"+00;-00;+00;"),"...",TEXT(Q736,"+00;-00;+00;"))</f>
        <v>320-203…+04...+00</v>
      </c>
      <c r="AF736" s="13" t="str">
        <f>_xlfn.CONCAT(R736,"…",TEXT(P736,"+00;-00;+00;"),"...",TEXT(Q736,"+00;-00;+00;"))</f>
        <v>DWWWD…+04...+00</v>
      </c>
    </row>
    <row r="737" spans="1:32" x14ac:dyDescent="0.25">
      <c r="A737" s="12" t="s">
        <v>1096</v>
      </c>
      <c r="B737" s="13" t="s">
        <v>250</v>
      </c>
      <c r="C737" s="14">
        <v>1</v>
      </c>
      <c r="D737" s="13" t="s">
        <v>996</v>
      </c>
      <c r="E737" s="13" t="s">
        <v>1102</v>
      </c>
      <c r="F737" s="15" t="s">
        <v>31</v>
      </c>
      <c r="G737" s="15" t="s">
        <v>31</v>
      </c>
      <c r="H737" s="15" t="s">
        <v>31</v>
      </c>
      <c r="I737" s="15" t="s">
        <v>31</v>
      </c>
      <c r="J737" s="15" t="s">
        <v>31</v>
      </c>
      <c r="K737" s="15" t="s">
        <v>30</v>
      </c>
      <c r="L737" s="15" t="s">
        <v>30</v>
      </c>
      <c r="M737" s="15" t="s">
        <v>31</v>
      </c>
      <c r="N737" s="15" t="s">
        <v>31</v>
      </c>
      <c r="O737" s="15" t="s">
        <v>30</v>
      </c>
      <c r="P737" s="18">
        <v>-7</v>
      </c>
      <c r="Q737" s="18">
        <v>7</v>
      </c>
      <c r="R737" s="15" t="str">
        <f>_xlfn.CONCAT(F737,G737,H737,I737,J737)</f>
        <v>LLLLL</v>
      </c>
      <c r="S737" s="13" t="str">
        <f>_xlfn.CONCAT(K737,L737,M737,N737,O737)</f>
        <v>WWLLW</v>
      </c>
      <c r="T737" s="13" t="str">
        <f>_xlfn.CONCAT(R737,"***",S737)</f>
        <v>LLLLL***WWLLW</v>
      </c>
      <c r="U737" s="19">
        <f>(P737-Q737)</f>
        <v>-14</v>
      </c>
      <c r="V737" s="14"/>
      <c r="W737" s="14"/>
      <c r="X737" s="20" t="str">
        <f>IF(ISBLANK(V737),"",IF(V737&gt;W737,"1",IF(V737&lt;W737,"2",IF(V737=W737,"X"))))</f>
        <v/>
      </c>
      <c r="Y737" s="23" t="str">
        <f>COUNTIF(F737:J737, "W")&amp;COUNTIF(F737:J737, "d")&amp;COUNTIF(F737:J737, "l")</f>
        <v>005</v>
      </c>
      <c r="Z737" s="13" t="str">
        <f>COUNTIF(K737:O737, "W")&amp;COUNTIF(K737:O737, "d")&amp;COUNTIF(K737:O737, "l")</f>
        <v>302</v>
      </c>
      <c r="AA737" s="23" t="str">
        <f>_xlfn.CONCAT(Y737,"-",Z737)</f>
        <v>005-302</v>
      </c>
      <c r="AB737" s="15" t="str">
        <f>_xlfn.CONCAT(AA737,"…",TEXT(U737,"+00;-00;+00;"))</f>
        <v>005-302…-14</v>
      </c>
      <c r="AC737" s="23" t="str">
        <f>_xlfn.CONCAT(TEXT(P737,"+00;-00;+00;"),"…",TEXT(Q737,"+00;-00;+00;"))</f>
        <v>-07…+07</v>
      </c>
      <c r="AD737" s="14" t="str">
        <f>IF(X737="","?","")</f>
        <v>?</v>
      </c>
      <c r="AE737" s="15" t="str">
        <f>_xlfn.CONCAT(AA737,"…",TEXT(P737,"+00;-00;+00;"),"...",TEXT(Q737,"+00;-00;+00;"))</f>
        <v>005-302…-07...+07</v>
      </c>
      <c r="AF737" s="13" t="str">
        <f>_xlfn.CONCAT(R737,"…",TEXT(P737,"+00;-00;+00;"),"...",TEXT(Q737,"+00;-00;+00;"))</f>
        <v>LLLLL…-07...+07</v>
      </c>
    </row>
    <row r="738" spans="1:32" x14ac:dyDescent="0.25">
      <c r="A738" s="12" t="s">
        <v>1127</v>
      </c>
      <c r="B738" s="13" t="s">
        <v>295</v>
      </c>
      <c r="C738" s="14">
        <v>1</v>
      </c>
      <c r="D738" s="13" t="s">
        <v>683</v>
      </c>
      <c r="E738" s="13" t="s">
        <v>686</v>
      </c>
      <c r="F738" s="15" t="s">
        <v>31</v>
      </c>
      <c r="G738" s="15" t="s">
        <v>31</v>
      </c>
      <c r="H738" s="15" t="s">
        <v>31</v>
      </c>
      <c r="I738" s="15" t="s">
        <v>29</v>
      </c>
      <c r="J738" s="15" t="s">
        <v>30</v>
      </c>
      <c r="K738" s="15" t="s">
        <v>30</v>
      </c>
      <c r="L738" s="15" t="s">
        <v>31</v>
      </c>
      <c r="M738" s="15" t="s">
        <v>31</v>
      </c>
      <c r="N738" s="15" t="s">
        <v>31</v>
      </c>
      <c r="O738" s="15" t="s">
        <v>31</v>
      </c>
      <c r="P738" s="18">
        <v>-21</v>
      </c>
      <c r="Q738" s="18">
        <v>-20</v>
      </c>
      <c r="R738" s="15" t="str">
        <f>_xlfn.CONCAT(F738,G738,H738,I738,J738)</f>
        <v>LLLDW</v>
      </c>
      <c r="S738" s="13" t="str">
        <f>_xlfn.CONCAT(K738,L738,M738,N738,O738)</f>
        <v>WLLLL</v>
      </c>
      <c r="T738" s="13" t="str">
        <f>_xlfn.CONCAT(R738,"***",S738)</f>
        <v>LLLDW***WLLLL</v>
      </c>
      <c r="U738" s="19">
        <f>(P738-Q738)</f>
        <v>-1</v>
      </c>
      <c r="V738" s="14"/>
      <c r="W738" s="14"/>
      <c r="X738" s="20" t="str">
        <f>IF(ISBLANK(V738),"",IF(V738&gt;W738,"1",IF(V738&lt;W738,"2",IF(V738=W738,"X"))))</f>
        <v/>
      </c>
      <c r="Y738" s="23" t="str">
        <f>COUNTIF(F738:J738, "W")&amp;COUNTIF(F738:J738, "d")&amp;COUNTIF(F738:J738, "l")</f>
        <v>113</v>
      </c>
      <c r="Z738" s="13" t="str">
        <f>COUNTIF(K738:O738, "W")&amp;COUNTIF(K738:O738, "d")&amp;COUNTIF(K738:O738, "l")</f>
        <v>104</v>
      </c>
      <c r="AA738" s="23" t="str">
        <f>_xlfn.CONCAT(Y738,"-",Z738)</f>
        <v>113-104</v>
      </c>
      <c r="AB738" s="15" t="str">
        <f>_xlfn.CONCAT(AA738,"…",TEXT(U738,"+00;-00;+00;"))</f>
        <v>113-104…-01</v>
      </c>
      <c r="AC738" s="23" t="str">
        <f>_xlfn.CONCAT(TEXT(P738,"+00;-00;+00;"),"…",TEXT(Q738,"+00;-00;+00;"))</f>
        <v>-21…-20</v>
      </c>
      <c r="AD738" s="14" t="str">
        <f>IF(X738="","?","")</f>
        <v>?</v>
      </c>
      <c r="AE738" s="15" t="str">
        <f>_xlfn.CONCAT(AA738,"…",TEXT(P738,"+00;-00;+00;"),"...",TEXT(Q738,"+00;-00;+00;"))</f>
        <v>113-104…-21...-20</v>
      </c>
      <c r="AF738" s="13" t="str">
        <f>_xlfn.CONCAT(R738,"…",TEXT(P738,"+00;-00;+00;"),"...",TEXT(Q738,"+00;-00;+00;"))</f>
        <v>LLLDW…-21...-20</v>
      </c>
    </row>
    <row r="739" spans="1:32" x14ac:dyDescent="0.25">
      <c r="A739" s="12" t="s">
        <v>1116</v>
      </c>
      <c r="B739" s="13" t="s">
        <v>414</v>
      </c>
      <c r="C739" s="14">
        <v>1</v>
      </c>
      <c r="D739" s="13" t="s">
        <v>1180</v>
      </c>
      <c r="E739" s="13" t="s">
        <v>841</v>
      </c>
      <c r="F739" s="15" t="s">
        <v>29</v>
      </c>
      <c r="G739" s="15" t="s">
        <v>31</v>
      </c>
      <c r="H739" s="15" t="s">
        <v>29</v>
      </c>
      <c r="I739" s="15" t="s">
        <v>31</v>
      </c>
      <c r="J739" s="15" t="s">
        <v>31</v>
      </c>
      <c r="K739" s="15" t="s">
        <v>29</v>
      </c>
      <c r="L739" s="15" t="s">
        <v>29</v>
      </c>
      <c r="M739" s="15" t="s">
        <v>29</v>
      </c>
      <c r="N739" s="15" t="s">
        <v>31</v>
      </c>
      <c r="O739" s="15" t="s">
        <v>29</v>
      </c>
      <c r="P739" s="18">
        <v>-23</v>
      </c>
      <c r="Q739" s="18">
        <v>-12</v>
      </c>
      <c r="R739" s="15" t="str">
        <f>_xlfn.CONCAT(F739,G739,H739,I739,J739)</f>
        <v>DLDLL</v>
      </c>
      <c r="S739" s="13" t="str">
        <f>_xlfn.CONCAT(K739,L739,M739,N739,O739)</f>
        <v>DDDLD</v>
      </c>
      <c r="T739" s="13" t="str">
        <f>_xlfn.CONCAT(R739,"***",S739)</f>
        <v>DLDLL***DDDLD</v>
      </c>
      <c r="U739" s="19">
        <f>(P739-Q739)</f>
        <v>-11</v>
      </c>
      <c r="V739" s="14"/>
      <c r="W739" s="14"/>
      <c r="X739" s="20" t="str">
        <f>IF(ISBLANK(V739),"",IF(V739&gt;W739,"1",IF(V739&lt;W739,"2",IF(V739=W739,"X"))))</f>
        <v/>
      </c>
      <c r="Y739" s="23" t="str">
        <f>COUNTIF(F739:J739, "W")&amp;COUNTIF(F739:J739, "d")&amp;COUNTIF(F739:J739, "l")</f>
        <v>023</v>
      </c>
      <c r="Z739" s="13" t="str">
        <f>COUNTIF(K739:O739, "W")&amp;COUNTIF(K739:O739, "d")&amp;COUNTIF(K739:O739, "l")</f>
        <v>041</v>
      </c>
      <c r="AA739" s="23" t="str">
        <f>_xlfn.CONCAT(Y739,"-",Z739)</f>
        <v>023-041</v>
      </c>
      <c r="AB739" s="15" t="str">
        <f>_xlfn.CONCAT(AA739,"…",TEXT(U739,"+00;-00;+00;"))</f>
        <v>023-041…-11</v>
      </c>
      <c r="AC739" s="23" t="str">
        <f>_xlfn.CONCAT(TEXT(P739,"+00;-00;+00;"),"…",TEXT(Q739,"+00;-00;+00;"))</f>
        <v>-23…-12</v>
      </c>
      <c r="AD739" s="14" t="str">
        <f>IF(X739="","?","")</f>
        <v>?</v>
      </c>
      <c r="AE739" s="15" t="str">
        <f>_xlfn.CONCAT(AA739,"…",TEXT(P739,"+00;-00;+00;"),"...",TEXT(Q739,"+00;-00;+00;"))</f>
        <v>023-041…-23...-12</v>
      </c>
      <c r="AF739" s="13" t="str">
        <f>_xlfn.CONCAT(R739,"…",TEXT(P739,"+00;-00;+00;"),"...",TEXT(Q739,"+00;-00;+00;"))</f>
        <v>DLDLL…-23...-12</v>
      </c>
    </row>
    <row r="740" spans="1:32" x14ac:dyDescent="0.25">
      <c r="A740" s="12" t="s">
        <v>1116</v>
      </c>
      <c r="B740" s="13" t="s">
        <v>117</v>
      </c>
      <c r="C740" s="14" t="s">
        <v>0</v>
      </c>
      <c r="D740" s="13" t="s">
        <v>130</v>
      </c>
      <c r="E740" s="13" t="s">
        <v>133</v>
      </c>
      <c r="F740" s="15" t="s">
        <v>31</v>
      </c>
      <c r="G740" s="15" t="s">
        <v>30</v>
      </c>
      <c r="H740" s="15" t="s">
        <v>30</v>
      </c>
      <c r="I740" s="15" t="s">
        <v>29</v>
      </c>
      <c r="J740" s="15" t="s">
        <v>31</v>
      </c>
      <c r="K740" s="15" t="s">
        <v>30</v>
      </c>
      <c r="L740" s="15" t="s">
        <v>31</v>
      </c>
      <c r="M740" s="15" t="s">
        <v>29</v>
      </c>
      <c r="N740" s="15" t="s">
        <v>29</v>
      </c>
      <c r="O740" s="15" t="s">
        <v>30</v>
      </c>
      <c r="P740" s="18">
        <v>8</v>
      </c>
      <c r="Q740" s="18">
        <v>2</v>
      </c>
      <c r="R740" s="15" t="str">
        <f>_xlfn.CONCAT(F740,G740,H740,I740,J740)</f>
        <v>LWWDL</v>
      </c>
      <c r="S740" s="13" t="str">
        <f>_xlfn.CONCAT(K740,L740,M740,N740,O740)</f>
        <v>WLDDW</v>
      </c>
      <c r="T740" s="13" t="str">
        <f>_xlfn.CONCAT(R740,"***",S740)</f>
        <v>LWWDL***WLDDW</v>
      </c>
      <c r="U740" s="19">
        <f>(P740-Q740)</f>
        <v>6</v>
      </c>
      <c r="V740" s="14"/>
      <c r="W740" s="14"/>
      <c r="X740" s="20" t="str">
        <f>IF(ISBLANK(V740),"",IF(V740&gt;W740,"1",IF(V740&lt;W740,"2",IF(V740=W740,"X"))))</f>
        <v/>
      </c>
      <c r="Y740" s="23" t="str">
        <f>COUNTIF(F740:J740, "W")&amp;COUNTIF(F740:J740, "d")&amp;COUNTIF(F740:J740, "l")</f>
        <v>212</v>
      </c>
      <c r="Z740" s="13" t="str">
        <f>COUNTIF(K740:O740, "W")&amp;COUNTIF(K740:O740, "d")&amp;COUNTIF(K740:O740, "l")</f>
        <v>221</v>
      </c>
      <c r="AA740" s="23" t="str">
        <f>_xlfn.CONCAT(Y740,"-",Z740)</f>
        <v>212-221</v>
      </c>
      <c r="AB740" s="15" t="str">
        <f>_xlfn.CONCAT(AA740,"…",TEXT(U740,"+00;-00;+00;"))</f>
        <v>212-221…+06</v>
      </c>
      <c r="AC740" s="23" t="str">
        <f>_xlfn.CONCAT(TEXT(P740,"+00;-00;+00;"),"…",TEXT(Q740,"+00;-00;+00;"))</f>
        <v>+08…+02</v>
      </c>
      <c r="AD740" s="14" t="str">
        <f>IF(X740="","?","")</f>
        <v>?</v>
      </c>
      <c r="AE740" s="15" t="str">
        <f>_xlfn.CONCAT(AA740,"…",TEXT(P740,"+00;-00;+00;"),"...",TEXT(Q740,"+00;-00;+00;"))</f>
        <v>212-221…+08...+02</v>
      </c>
      <c r="AF740" s="13" t="str">
        <f>_xlfn.CONCAT(R740,"…",TEXT(P740,"+00;-00;+00;"),"...",TEXT(Q740,"+00;-00;+00;"))</f>
        <v>LWWDL…+08...+02</v>
      </c>
    </row>
    <row r="741" spans="1:32" x14ac:dyDescent="0.25">
      <c r="A741" s="12" t="s">
        <v>1109</v>
      </c>
      <c r="B741" s="13" t="s">
        <v>167</v>
      </c>
      <c r="C741" s="14">
        <v>1</v>
      </c>
      <c r="D741" s="13" t="s">
        <v>696</v>
      </c>
      <c r="E741" s="13" t="s">
        <v>180</v>
      </c>
      <c r="F741" s="15" t="s">
        <v>31</v>
      </c>
      <c r="G741" s="15" t="s">
        <v>30</v>
      </c>
      <c r="H741" s="15" t="s">
        <v>29</v>
      </c>
      <c r="I741" s="15" t="s">
        <v>31</v>
      </c>
      <c r="J741" s="15" t="s">
        <v>31</v>
      </c>
      <c r="K741" s="15" t="s">
        <v>30</v>
      </c>
      <c r="L741" s="15" t="s">
        <v>29</v>
      </c>
      <c r="M741" s="15" t="s">
        <v>30</v>
      </c>
      <c r="N741" s="15" t="s">
        <v>30</v>
      </c>
      <c r="O741" s="15" t="s">
        <v>31</v>
      </c>
      <c r="P741" s="18">
        <v>-6</v>
      </c>
      <c r="Q741" s="18">
        <v>4</v>
      </c>
      <c r="R741" s="15" t="str">
        <f>_xlfn.CONCAT(F741,G741,H741,I741,J741)</f>
        <v>LWDLL</v>
      </c>
      <c r="S741" s="13" t="str">
        <f>_xlfn.CONCAT(K741,L741,M741,N741,O741)</f>
        <v>WDWWL</v>
      </c>
      <c r="T741" s="13" t="str">
        <f>_xlfn.CONCAT(R741,"***",S741)</f>
        <v>LWDLL***WDWWL</v>
      </c>
      <c r="U741" s="19">
        <f>(P741-Q741)</f>
        <v>-10</v>
      </c>
      <c r="V741" s="14"/>
      <c r="W741" s="14"/>
      <c r="X741" s="20" t="str">
        <f>IF(ISBLANK(V741),"",IF(V741&gt;W741,"1",IF(V741&lt;W741,"2",IF(V741=W741,"X"))))</f>
        <v/>
      </c>
      <c r="Y741" s="23" t="str">
        <f>COUNTIF(F741:J741, "W")&amp;COUNTIF(F741:J741, "d")&amp;COUNTIF(F741:J741, "l")</f>
        <v>113</v>
      </c>
      <c r="Z741" s="13" t="str">
        <f>COUNTIF(K741:O741, "W")&amp;COUNTIF(K741:O741, "d")&amp;COUNTIF(K741:O741, "l")</f>
        <v>311</v>
      </c>
      <c r="AA741" s="23" t="str">
        <f>_xlfn.CONCAT(Y741,"-",Z741)</f>
        <v>113-311</v>
      </c>
      <c r="AB741" s="15" t="str">
        <f>_xlfn.CONCAT(AA741,"…",TEXT(U741,"+00;-00;+00;"))</f>
        <v>113-311…-10</v>
      </c>
      <c r="AC741" s="23" t="str">
        <f>_xlfn.CONCAT(TEXT(P741,"+00;-00;+00;"),"…",TEXT(Q741,"+00;-00;+00;"))</f>
        <v>-06…+04</v>
      </c>
      <c r="AD741" s="14" t="str">
        <f>IF(X741="","?","")</f>
        <v>?</v>
      </c>
      <c r="AE741" s="15" t="str">
        <f>_xlfn.CONCAT(AA741,"…",TEXT(P741,"+00;-00;+00;"),"...",TEXT(Q741,"+00;-00;+00;"))</f>
        <v>113-311…-06...+04</v>
      </c>
      <c r="AF741" s="13" t="str">
        <f>_xlfn.CONCAT(R741,"…",TEXT(P741,"+00;-00;+00;"),"...",TEXT(Q741,"+00;-00;+00;"))</f>
        <v>LWDLL…-06...+04</v>
      </c>
    </row>
    <row r="742" spans="1:32" x14ac:dyDescent="0.25">
      <c r="A742" s="27" t="s">
        <v>1109</v>
      </c>
      <c r="B742" s="28" t="s">
        <v>7</v>
      </c>
      <c r="C742" s="29" t="s">
        <v>32</v>
      </c>
      <c r="D742" s="28" t="s">
        <v>57</v>
      </c>
      <c r="E742" s="28" t="s">
        <v>53</v>
      </c>
      <c r="F742" s="30" t="s">
        <v>30</v>
      </c>
      <c r="G742" s="30" t="s">
        <v>31</v>
      </c>
      <c r="H742" s="30" t="s">
        <v>31</v>
      </c>
      <c r="I742" s="30" t="s">
        <v>30</v>
      </c>
      <c r="J742" s="30" t="s">
        <v>30</v>
      </c>
      <c r="K742" s="30" t="s">
        <v>29</v>
      </c>
      <c r="L742" s="30" t="s">
        <v>31</v>
      </c>
      <c r="M742" s="30" t="s">
        <v>31</v>
      </c>
      <c r="N742" s="30" t="s">
        <v>31</v>
      </c>
      <c r="O742" s="30" t="s">
        <v>31</v>
      </c>
      <c r="P742" s="31">
        <v>12</v>
      </c>
      <c r="Q742" s="31">
        <v>-9</v>
      </c>
      <c r="R742" s="32" t="str">
        <f>_xlfn.CONCAT(F742,G742,H742,I742,J742)</f>
        <v>WLLWW</v>
      </c>
      <c r="S742" s="33" t="str">
        <f>_xlfn.CONCAT(K742,L742,M742,N742,O742)</f>
        <v>DLLLL</v>
      </c>
      <c r="T742" s="33" t="str">
        <f>_xlfn.CONCAT(R742,"***",S742)</f>
        <v>WLLWW***DLLLL</v>
      </c>
      <c r="U742" s="34">
        <f>(P742-Q742)</f>
        <v>21</v>
      </c>
      <c r="V742" s="29"/>
      <c r="W742" s="29"/>
      <c r="X742" s="35" t="str">
        <f>IF(ISBLANK(V742),"",IF(V742&gt;W742,"1",IF(V742&lt;W742,"2",IF(V742=W742,"X"))))</f>
        <v/>
      </c>
      <c r="Y742" s="36" t="str">
        <f>COUNTIF(F742:J742, "W")&amp;COUNTIF(F742:J742, "d")&amp;COUNTIF(F742:J742, "l")</f>
        <v>302</v>
      </c>
      <c r="Z742" s="37" t="str">
        <f>COUNTIF(K742:O742, "W")&amp;COUNTIF(K742:O742, "d")&amp;COUNTIF(K742:O742, "l")</f>
        <v>014</v>
      </c>
      <c r="AA742" s="38" t="str">
        <f>_xlfn.CONCAT(Y742,"-",Z742)</f>
        <v>302-014</v>
      </c>
      <c r="AB742" s="30" t="str">
        <f>_xlfn.CONCAT(AA742,"…",TEXT(U742,"+00;-00;+00;"))</f>
        <v>302-014…+21</v>
      </c>
      <c r="AC742" s="36" t="str">
        <f>_xlfn.CONCAT(TEXT(P742,"+00;-00;+00;"),"…",TEXT(Q742,"+00;-00;+00;"))</f>
        <v>+12…-09</v>
      </c>
      <c r="AD742" s="39" t="str">
        <f>IF(X742="","?","")</f>
        <v>?</v>
      </c>
      <c r="AE742" s="40" t="str">
        <f>_xlfn.CONCAT(AA742,"…",TEXT(P742,"+00;-00;+00;"),"...",TEXT(Q742,"+00;-00;+00;"))</f>
        <v>302-014…+12...-09</v>
      </c>
      <c r="AF742" s="33" t="str">
        <f>_xlfn.CONCAT(R742,"…",TEXT(P742,"+00;-00;+00;"),"...",TEXT(Q742,"+00;-00;+00;"))</f>
        <v>WLLWW…+12...-09</v>
      </c>
    </row>
    <row r="743" spans="1:32" x14ac:dyDescent="0.25">
      <c r="A743" s="12" t="s">
        <v>1109</v>
      </c>
      <c r="B743" s="13" t="s">
        <v>250</v>
      </c>
      <c r="C743" s="14">
        <v>2</v>
      </c>
      <c r="D743" s="13" t="s">
        <v>864</v>
      </c>
      <c r="E743" s="13" t="s">
        <v>856</v>
      </c>
      <c r="F743" s="15" t="s">
        <v>30</v>
      </c>
      <c r="G743" s="15" t="s">
        <v>30</v>
      </c>
      <c r="H743" s="15" t="s">
        <v>30</v>
      </c>
      <c r="I743" s="15" t="s">
        <v>30</v>
      </c>
      <c r="J743" s="15" t="s">
        <v>29</v>
      </c>
      <c r="K743" s="15" t="s">
        <v>31</v>
      </c>
      <c r="L743" s="15" t="s">
        <v>30</v>
      </c>
      <c r="M743" s="15" t="s">
        <v>30</v>
      </c>
      <c r="N743" s="15" t="s">
        <v>31</v>
      </c>
      <c r="O743" s="15" t="s">
        <v>30</v>
      </c>
      <c r="P743" s="18">
        <v>13</v>
      </c>
      <c r="Q743" s="18">
        <v>10</v>
      </c>
      <c r="R743" s="15" t="str">
        <f>_xlfn.CONCAT(F743,G743,H743,I743,J743)</f>
        <v>WWWWD</v>
      </c>
      <c r="S743" s="13" t="str">
        <f>_xlfn.CONCAT(K743,L743,M743,N743,O743)</f>
        <v>LWWLW</v>
      </c>
      <c r="T743" s="13" t="str">
        <f>_xlfn.CONCAT(R743,"***",S743)</f>
        <v>WWWWD***LWWLW</v>
      </c>
      <c r="U743" s="19">
        <f>(P743-Q743)</f>
        <v>3</v>
      </c>
      <c r="V743" s="14"/>
      <c r="W743" s="14"/>
      <c r="X743" s="20" t="str">
        <f>IF(ISBLANK(V743),"",IF(V743&gt;W743,"1",IF(V743&lt;W743,"2",IF(V743=W743,"X"))))</f>
        <v/>
      </c>
      <c r="Y743" s="23" t="str">
        <f>COUNTIF(F743:J743, "W")&amp;COUNTIF(F743:J743, "d")&amp;COUNTIF(F743:J743, "l")</f>
        <v>410</v>
      </c>
      <c r="Z743" s="13" t="str">
        <f>COUNTIF(K743:O743, "W")&amp;COUNTIF(K743:O743, "d")&amp;COUNTIF(K743:O743, "l")</f>
        <v>302</v>
      </c>
      <c r="AA743" s="23" t="str">
        <f>_xlfn.CONCAT(Y743,"-",Z743)</f>
        <v>410-302</v>
      </c>
      <c r="AB743" s="15" t="str">
        <f>_xlfn.CONCAT(AA743,"…",TEXT(U743,"+00;-00;+00;"))</f>
        <v>410-302…+03</v>
      </c>
      <c r="AC743" s="23" t="str">
        <f>_xlfn.CONCAT(TEXT(P743,"+00;-00;+00;"),"…",TEXT(Q743,"+00;-00;+00;"))</f>
        <v>+13…+10</v>
      </c>
      <c r="AD743" s="14" t="str">
        <f>IF(X743="","?","")</f>
        <v>?</v>
      </c>
      <c r="AE743" s="15" t="str">
        <f>_xlfn.CONCAT(AA743,"…",TEXT(P743,"+00;-00;+00;"),"...",TEXT(Q743,"+00;-00;+00;"))</f>
        <v>410-302…+13...+10</v>
      </c>
      <c r="AF743" s="13" t="str">
        <f>_xlfn.CONCAT(R743,"…",TEXT(P743,"+00;-00;+00;"),"...",TEXT(Q743,"+00;-00;+00;"))</f>
        <v>WWWWD…+13...+10</v>
      </c>
    </row>
    <row r="744" spans="1:32" x14ac:dyDescent="0.25">
      <c r="A744" s="12" t="s">
        <v>1136</v>
      </c>
      <c r="B744" s="13" t="s">
        <v>208</v>
      </c>
      <c r="C744" s="14">
        <v>3</v>
      </c>
      <c r="D744" s="13" t="s">
        <v>1039</v>
      </c>
      <c r="E744" s="13" t="s">
        <v>1170</v>
      </c>
      <c r="F744" s="15" t="s">
        <v>29</v>
      </c>
      <c r="G744" s="15" t="s">
        <v>30</v>
      </c>
      <c r="H744" s="15" t="s">
        <v>29</v>
      </c>
      <c r="I744" s="15" t="s">
        <v>31</v>
      </c>
      <c r="J744" s="15" t="s">
        <v>31</v>
      </c>
      <c r="K744" s="15" t="s">
        <v>30</v>
      </c>
      <c r="L744" s="15" t="s">
        <v>31</v>
      </c>
      <c r="M744" s="15" t="s">
        <v>31</v>
      </c>
      <c r="N744" s="15" t="s">
        <v>31</v>
      </c>
      <c r="O744" s="15" t="s">
        <v>30</v>
      </c>
      <c r="P744" s="18">
        <v>-11</v>
      </c>
      <c r="Q744" s="18">
        <v>13</v>
      </c>
      <c r="R744" s="15" t="str">
        <f>_xlfn.CONCAT(F744,G744,H744,I744,J744)</f>
        <v>DWDLL</v>
      </c>
      <c r="S744" s="13" t="str">
        <f>_xlfn.CONCAT(K744,L744,M744,N744,O744)</f>
        <v>WLLLW</v>
      </c>
      <c r="T744" s="13" t="str">
        <f>_xlfn.CONCAT(R744,"***",S744)</f>
        <v>DWDLL***WLLLW</v>
      </c>
      <c r="U744" s="19">
        <f>(P744-Q744)</f>
        <v>-24</v>
      </c>
      <c r="V744" s="14"/>
      <c r="W744" s="14"/>
      <c r="X744" s="20" t="str">
        <f>IF(ISBLANK(V744),"",IF(V744&gt;W744,"1",IF(V744&lt;W744,"2",IF(V744=W744,"X"))))</f>
        <v/>
      </c>
      <c r="Y744" s="23" t="str">
        <f>COUNTIF(F744:J744, "W")&amp;COUNTIF(F744:J744, "d")&amp;COUNTIF(F744:J744, "l")</f>
        <v>122</v>
      </c>
      <c r="Z744" s="13" t="str">
        <f>COUNTIF(K744:O744, "W")&amp;COUNTIF(K744:O744, "d")&amp;COUNTIF(K744:O744, "l")</f>
        <v>203</v>
      </c>
      <c r="AA744" s="23" t="str">
        <f>_xlfn.CONCAT(Y744,"-",Z744)</f>
        <v>122-203</v>
      </c>
      <c r="AB744" s="15" t="str">
        <f>_xlfn.CONCAT(AA744,"…",TEXT(U744,"+00;-00;+00;"))</f>
        <v>122-203…-24</v>
      </c>
      <c r="AC744" s="23" t="str">
        <f>_xlfn.CONCAT(TEXT(P744,"+00;-00;+00;"),"…",TEXT(Q744,"+00;-00;+00;"))</f>
        <v>-11…+13</v>
      </c>
      <c r="AD744" s="14" t="str">
        <f>IF(X744="","?","")</f>
        <v>?</v>
      </c>
      <c r="AE744" s="15" t="str">
        <f>_xlfn.CONCAT(AA744,"…",TEXT(P744,"+00;-00;+00;"),"...",TEXT(Q744,"+00;-00;+00;"))</f>
        <v>122-203…-11...+13</v>
      </c>
      <c r="AF744" s="13" t="str">
        <f>_xlfn.CONCAT(R744,"…",TEXT(P744,"+00;-00;+00;"),"...",TEXT(Q744,"+00;-00;+00;"))</f>
        <v>DWDLL…-11...+13</v>
      </c>
    </row>
    <row r="745" spans="1:32" x14ac:dyDescent="0.25">
      <c r="A745" s="12" t="s">
        <v>1136</v>
      </c>
      <c r="B745" s="13" t="s">
        <v>208</v>
      </c>
      <c r="C745" s="14">
        <v>2</v>
      </c>
      <c r="D745" s="13" t="s">
        <v>1161</v>
      </c>
      <c r="E745" s="13" t="s">
        <v>1162</v>
      </c>
      <c r="F745" s="15" t="s">
        <v>29</v>
      </c>
      <c r="G745" s="15" t="s">
        <v>29</v>
      </c>
      <c r="H745" s="15" t="s">
        <v>30</v>
      </c>
      <c r="I745" s="15" t="s">
        <v>29</v>
      </c>
      <c r="J745" s="15" t="s">
        <v>31</v>
      </c>
      <c r="K745" s="15" t="s">
        <v>31</v>
      </c>
      <c r="L745" s="15" t="s">
        <v>31</v>
      </c>
      <c r="M745" s="15" t="s">
        <v>30</v>
      </c>
      <c r="N745" s="15" t="s">
        <v>30</v>
      </c>
      <c r="O745" s="15" t="s">
        <v>31</v>
      </c>
      <c r="P745" s="18">
        <v>-1</v>
      </c>
      <c r="Q745" s="18">
        <v>-2</v>
      </c>
      <c r="R745" s="15" t="str">
        <f>_xlfn.CONCAT(F745,G745,H745,I745,J745)</f>
        <v>DDWDL</v>
      </c>
      <c r="S745" s="13" t="str">
        <f>_xlfn.CONCAT(K745,L745,M745,N745,O745)</f>
        <v>LLWWL</v>
      </c>
      <c r="T745" s="13" t="str">
        <f>_xlfn.CONCAT(R745,"***",S745)</f>
        <v>DDWDL***LLWWL</v>
      </c>
      <c r="U745" s="19">
        <f>(P745-Q745)</f>
        <v>1</v>
      </c>
      <c r="V745" s="14"/>
      <c r="W745" s="14"/>
      <c r="X745" s="20" t="str">
        <f>IF(ISBLANK(V745),"",IF(V745&gt;W745,"1",IF(V745&lt;W745,"2",IF(V745=W745,"X"))))</f>
        <v/>
      </c>
      <c r="Y745" s="23" t="str">
        <f>COUNTIF(F745:J745, "W")&amp;COUNTIF(F745:J745, "d")&amp;COUNTIF(F745:J745, "l")</f>
        <v>131</v>
      </c>
      <c r="Z745" s="13" t="str">
        <f>COUNTIF(K745:O745, "W")&amp;COUNTIF(K745:O745, "d")&amp;COUNTIF(K745:O745, "l")</f>
        <v>203</v>
      </c>
      <c r="AA745" s="23" t="str">
        <f>_xlfn.CONCAT(Y745,"-",Z745)</f>
        <v>131-203</v>
      </c>
      <c r="AB745" s="15" t="str">
        <f>_xlfn.CONCAT(AA745,"…",TEXT(U745,"+00;-00;+00;"))</f>
        <v>131-203…+01</v>
      </c>
      <c r="AC745" s="23" t="str">
        <f>_xlfn.CONCAT(TEXT(P745,"+00;-00;+00;"),"…",TEXT(Q745,"+00;-00;+00;"))</f>
        <v>-01…-02</v>
      </c>
      <c r="AD745" s="14" t="str">
        <f>IF(X745="","?","")</f>
        <v>?</v>
      </c>
      <c r="AE745" s="15" t="str">
        <f>_xlfn.CONCAT(AA745,"…",TEXT(P745,"+00;-00;+00;"),"...",TEXT(Q745,"+00;-00;+00;"))</f>
        <v>131-203…-01...-02</v>
      </c>
      <c r="AF745" s="13" t="str">
        <f>_xlfn.CONCAT(R745,"…",TEXT(P745,"+00;-00;+00;"),"...",TEXT(Q745,"+00;-00;+00;"))</f>
        <v>DDWDL…-01...-02</v>
      </c>
    </row>
    <row r="746" spans="1:32" x14ac:dyDescent="0.25">
      <c r="A746" s="12" t="s">
        <v>1136</v>
      </c>
      <c r="B746" s="13" t="s">
        <v>208</v>
      </c>
      <c r="C746" s="14">
        <v>2</v>
      </c>
      <c r="D746" s="13" t="s">
        <v>584</v>
      </c>
      <c r="E746" s="13" t="s">
        <v>1160</v>
      </c>
      <c r="F746" s="15" t="s">
        <v>30</v>
      </c>
      <c r="G746" s="15" t="s">
        <v>31</v>
      </c>
      <c r="H746" s="15" t="s">
        <v>31</v>
      </c>
      <c r="I746" s="15" t="s">
        <v>30</v>
      </c>
      <c r="J746" s="15" t="s">
        <v>31</v>
      </c>
      <c r="K746" s="15" t="s">
        <v>31</v>
      </c>
      <c r="L746" s="15" t="s">
        <v>31</v>
      </c>
      <c r="M746" s="15" t="s">
        <v>31</v>
      </c>
      <c r="N746" s="15" t="s">
        <v>31</v>
      </c>
      <c r="O746" s="15" t="s">
        <v>31</v>
      </c>
      <c r="P746" s="18">
        <v>-16</v>
      </c>
      <c r="Q746" s="18">
        <v>-7</v>
      </c>
      <c r="R746" s="15" t="str">
        <f>_xlfn.CONCAT(F746,G746,H746,I746,J746)</f>
        <v>WLLWL</v>
      </c>
      <c r="S746" s="13" t="str">
        <f>_xlfn.CONCAT(K746,L746,M746,N746,O746)</f>
        <v>LLLLL</v>
      </c>
      <c r="T746" s="13" t="str">
        <f>_xlfn.CONCAT(R746,"***",S746)</f>
        <v>WLLWL***LLLLL</v>
      </c>
      <c r="U746" s="19">
        <f>(P746-Q746)</f>
        <v>-9</v>
      </c>
      <c r="V746" s="14"/>
      <c r="W746" s="14"/>
      <c r="X746" s="20" t="str">
        <f>IF(ISBLANK(V746),"",IF(V746&gt;W746,"1",IF(V746&lt;W746,"2",IF(V746=W746,"X"))))</f>
        <v/>
      </c>
      <c r="Y746" s="23" t="str">
        <f>COUNTIF(F746:J746, "W")&amp;COUNTIF(F746:J746, "d")&amp;COUNTIF(F746:J746, "l")</f>
        <v>203</v>
      </c>
      <c r="Z746" s="13" t="str">
        <f>COUNTIF(K746:O746, "W")&amp;COUNTIF(K746:O746, "d")&amp;COUNTIF(K746:O746, "l")</f>
        <v>005</v>
      </c>
      <c r="AA746" s="23" t="str">
        <f>_xlfn.CONCAT(Y746,"-",Z746)</f>
        <v>203-005</v>
      </c>
      <c r="AB746" s="15" t="str">
        <f>_xlfn.CONCAT(AA746,"…",TEXT(U746,"+00;-00;+00;"))</f>
        <v>203-005…-09</v>
      </c>
      <c r="AC746" s="23" t="str">
        <f>_xlfn.CONCAT(TEXT(P746,"+00;-00;+00;"),"…",TEXT(Q746,"+00;-00;+00;"))</f>
        <v>-16…-07</v>
      </c>
      <c r="AD746" s="14" t="str">
        <f>IF(X746="","?","")</f>
        <v>?</v>
      </c>
      <c r="AE746" s="15" t="str">
        <f>_xlfn.CONCAT(AA746,"…",TEXT(P746,"+00;-00;+00;"),"...",TEXT(Q746,"+00;-00;+00;"))</f>
        <v>203-005…-16...-07</v>
      </c>
      <c r="AF746" s="13" t="str">
        <f>_xlfn.CONCAT(R746,"…",TEXT(P746,"+00;-00;+00;"),"...",TEXT(Q746,"+00;-00;+00;"))</f>
        <v>WLLWL…-16...-07</v>
      </c>
    </row>
    <row r="747" spans="1:32" x14ac:dyDescent="0.25">
      <c r="A747" s="12" t="s">
        <v>1136</v>
      </c>
      <c r="B747" s="13" t="s">
        <v>318</v>
      </c>
      <c r="C747" s="14">
        <v>1</v>
      </c>
      <c r="D747" s="13" t="s">
        <v>761</v>
      </c>
      <c r="E747" s="13" t="s">
        <v>330</v>
      </c>
      <c r="F747" s="15" t="s">
        <v>29</v>
      </c>
      <c r="G747" s="15" t="s">
        <v>30</v>
      </c>
      <c r="H747" s="15" t="s">
        <v>30</v>
      </c>
      <c r="I747" s="15" t="s">
        <v>29</v>
      </c>
      <c r="J747" s="15" t="s">
        <v>31</v>
      </c>
      <c r="K747" s="15" t="s">
        <v>30</v>
      </c>
      <c r="L747" s="15" t="s">
        <v>29</v>
      </c>
      <c r="M747" s="15" t="s">
        <v>29</v>
      </c>
      <c r="N747" s="15" t="s">
        <v>29</v>
      </c>
      <c r="O747" s="15" t="s">
        <v>30</v>
      </c>
      <c r="P747" s="18">
        <v>14</v>
      </c>
      <c r="Q747" s="18">
        <v>12</v>
      </c>
      <c r="R747" s="15" t="str">
        <f>_xlfn.CONCAT(F747,G747,H747,I747,J747)</f>
        <v>DWWDL</v>
      </c>
      <c r="S747" s="13" t="str">
        <f>_xlfn.CONCAT(K747,L747,M747,N747,O747)</f>
        <v>WDDDW</v>
      </c>
      <c r="T747" s="13" t="str">
        <f>_xlfn.CONCAT(R747,"***",S747)</f>
        <v>DWWDL***WDDDW</v>
      </c>
      <c r="U747" s="19">
        <f>(P747-Q747)</f>
        <v>2</v>
      </c>
      <c r="V747" s="14"/>
      <c r="W747" s="14"/>
      <c r="X747" s="20" t="str">
        <f>IF(ISBLANK(V747),"",IF(V747&gt;W747,"1",IF(V747&lt;W747,"2",IF(V747=W747,"X"))))</f>
        <v/>
      </c>
      <c r="Y747" s="23" t="str">
        <f>COUNTIF(F747:J747, "W")&amp;COUNTIF(F747:J747, "d")&amp;COUNTIF(F747:J747, "l")</f>
        <v>221</v>
      </c>
      <c r="Z747" s="13" t="str">
        <f>COUNTIF(K747:O747, "W")&amp;COUNTIF(K747:O747, "d")&amp;COUNTIF(K747:O747, "l")</f>
        <v>230</v>
      </c>
      <c r="AA747" s="23" t="str">
        <f>_xlfn.CONCAT(Y747,"-",Z747)</f>
        <v>221-230</v>
      </c>
      <c r="AB747" s="15" t="str">
        <f>_xlfn.CONCAT(AA747,"…",TEXT(U747,"+00;-00;+00;"))</f>
        <v>221-230…+02</v>
      </c>
      <c r="AC747" s="23" t="str">
        <f>_xlfn.CONCAT(TEXT(P747,"+00;-00;+00;"),"…",TEXT(Q747,"+00;-00;+00;"))</f>
        <v>+14…+12</v>
      </c>
      <c r="AD747" s="14" t="str">
        <f>IF(X747="","?","")</f>
        <v>?</v>
      </c>
      <c r="AE747" s="15" t="str">
        <f>_xlfn.CONCAT(AA747,"…",TEXT(P747,"+00;-00;+00;"),"...",TEXT(Q747,"+00;-00;+00;"))</f>
        <v>221-230…+14...+12</v>
      </c>
      <c r="AF747" s="13" t="str">
        <f>_xlfn.CONCAT(R747,"…",TEXT(P747,"+00;-00;+00;"),"...",TEXT(Q747,"+00;-00;+00;"))</f>
        <v>DWWDL…+14...+12</v>
      </c>
    </row>
    <row r="748" spans="1:32" x14ac:dyDescent="0.25">
      <c r="A748" s="12" t="s">
        <v>1136</v>
      </c>
      <c r="B748" s="13" t="s">
        <v>208</v>
      </c>
      <c r="C748" s="14">
        <v>2</v>
      </c>
      <c r="D748" s="13" t="s">
        <v>239</v>
      </c>
      <c r="E748" s="13" t="s">
        <v>934</v>
      </c>
      <c r="F748" s="15" t="s">
        <v>29</v>
      </c>
      <c r="G748" s="15" t="s">
        <v>29</v>
      </c>
      <c r="H748" s="15" t="s">
        <v>30</v>
      </c>
      <c r="I748" s="15" t="s">
        <v>29</v>
      </c>
      <c r="J748" s="15" t="s">
        <v>30</v>
      </c>
      <c r="K748" s="15" t="s">
        <v>31</v>
      </c>
      <c r="L748" s="15" t="s">
        <v>31</v>
      </c>
      <c r="M748" s="15" t="s">
        <v>31</v>
      </c>
      <c r="N748" s="15" t="s">
        <v>30</v>
      </c>
      <c r="O748" s="15" t="s">
        <v>30</v>
      </c>
      <c r="P748" s="18">
        <v>16</v>
      </c>
      <c r="Q748" s="18">
        <v>-3</v>
      </c>
      <c r="R748" s="15" t="str">
        <f>_xlfn.CONCAT(F748,G748,H748,I748,J748)</f>
        <v>DDWDW</v>
      </c>
      <c r="S748" s="13" t="str">
        <f>_xlfn.CONCAT(K748,L748,M748,N748,O748)</f>
        <v>LLLWW</v>
      </c>
      <c r="T748" s="13" t="str">
        <f>_xlfn.CONCAT(R748,"***",S748)</f>
        <v>DDWDW***LLLWW</v>
      </c>
      <c r="U748" s="19">
        <f>(P748-Q748)</f>
        <v>19</v>
      </c>
      <c r="V748" s="14"/>
      <c r="W748" s="14"/>
      <c r="X748" s="20" t="str">
        <f>IF(ISBLANK(V748),"",IF(V748&gt;W748,"1",IF(V748&lt;W748,"2",IF(V748=W748,"X"))))</f>
        <v/>
      </c>
      <c r="Y748" s="23" t="str">
        <f>COUNTIF(F748:J748, "W")&amp;COUNTIF(F748:J748, "d")&amp;COUNTIF(F748:J748, "l")</f>
        <v>230</v>
      </c>
      <c r="Z748" s="13" t="str">
        <f>COUNTIF(K748:O748, "W")&amp;COUNTIF(K748:O748, "d")&amp;COUNTIF(K748:O748, "l")</f>
        <v>203</v>
      </c>
      <c r="AA748" s="23" t="str">
        <f>_xlfn.CONCAT(Y748,"-",Z748)</f>
        <v>230-203</v>
      </c>
      <c r="AB748" s="15" t="str">
        <f>_xlfn.CONCAT(AA748,"…",TEXT(U748,"+00;-00;+00;"))</f>
        <v>230-203…+19</v>
      </c>
      <c r="AC748" s="23" t="str">
        <f>_xlfn.CONCAT(TEXT(P748,"+00;-00;+00;"),"…",TEXT(Q748,"+00;-00;+00;"))</f>
        <v>+16…-03</v>
      </c>
      <c r="AD748" s="14" t="str">
        <f>IF(X748="","?","")</f>
        <v>?</v>
      </c>
      <c r="AE748" s="15" t="str">
        <f>_xlfn.CONCAT(AA748,"…",TEXT(P748,"+00;-00;+00;"),"...",TEXT(Q748,"+00;-00;+00;"))</f>
        <v>230-203…+16...-03</v>
      </c>
      <c r="AF748" s="13" t="str">
        <f>_xlfn.CONCAT(R748,"…",TEXT(P748,"+00;-00;+00;"),"...",TEXT(Q748,"+00;-00;+00;"))</f>
        <v>DDWDW…+16...-03</v>
      </c>
    </row>
    <row r="749" spans="1:32" x14ac:dyDescent="0.25">
      <c r="A749" s="12" t="s">
        <v>1080</v>
      </c>
      <c r="B749" s="13" t="s">
        <v>59</v>
      </c>
      <c r="C749" s="14">
        <v>2</v>
      </c>
      <c r="D749" s="13" t="s">
        <v>747</v>
      </c>
      <c r="E749" s="13" t="s">
        <v>110</v>
      </c>
      <c r="F749" s="15" t="s">
        <v>31</v>
      </c>
      <c r="G749" s="15" t="s">
        <v>31</v>
      </c>
      <c r="H749" s="15" t="s">
        <v>31</v>
      </c>
      <c r="I749" s="15" t="s">
        <v>29</v>
      </c>
      <c r="J749" s="15" t="s">
        <v>31</v>
      </c>
      <c r="K749" s="15" t="s">
        <v>29</v>
      </c>
      <c r="L749" s="15" t="s">
        <v>31</v>
      </c>
      <c r="M749" s="15" t="s">
        <v>30</v>
      </c>
      <c r="N749" s="15" t="s">
        <v>31</v>
      </c>
      <c r="O749" s="15" t="s">
        <v>29</v>
      </c>
      <c r="P749" s="18">
        <v>-16</v>
      </c>
      <c r="Q749" s="18">
        <v>8</v>
      </c>
      <c r="R749" s="15" t="str">
        <f>_xlfn.CONCAT(F749,G749,H749,I749,J749)</f>
        <v>LLLDL</v>
      </c>
      <c r="S749" s="13" t="str">
        <f>_xlfn.CONCAT(K749,L749,M749,N749,O749)</f>
        <v>DLWLD</v>
      </c>
      <c r="T749" s="13" t="str">
        <f>_xlfn.CONCAT(R749,"***",S749)</f>
        <v>LLLDL***DLWLD</v>
      </c>
      <c r="U749" s="19">
        <f>(P749-Q749)</f>
        <v>-24</v>
      </c>
      <c r="V749" s="14"/>
      <c r="W749" s="14"/>
      <c r="X749" s="20" t="str">
        <f>IF(ISBLANK(V749),"",IF(V749&gt;W749,"1",IF(V749&lt;W749,"2",IF(V749=W749,"X"))))</f>
        <v/>
      </c>
      <c r="Y749" s="23" t="str">
        <f>COUNTIF(F749:J749, "W")&amp;COUNTIF(F749:J749, "d")&amp;COUNTIF(F749:J749, "l")</f>
        <v>014</v>
      </c>
      <c r="Z749" s="13" t="str">
        <f>COUNTIF(K749:O749, "W")&amp;COUNTIF(K749:O749, "d")&amp;COUNTIF(K749:O749, "l")</f>
        <v>122</v>
      </c>
      <c r="AA749" s="23" t="str">
        <f>_xlfn.CONCAT(Y749,"-",Z749)</f>
        <v>014-122</v>
      </c>
      <c r="AB749" s="15" t="str">
        <f>_xlfn.CONCAT(AA749,"…",TEXT(U749,"+00;-00;+00;"))</f>
        <v>014-122…-24</v>
      </c>
      <c r="AC749" s="23" t="str">
        <f>_xlfn.CONCAT(TEXT(P749,"+00;-00;+00;"),"…",TEXT(Q749,"+00;-00;+00;"))</f>
        <v>-16…+08</v>
      </c>
      <c r="AD749" s="14" t="str">
        <f>IF(X749="","?","")</f>
        <v>?</v>
      </c>
      <c r="AE749" s="15" t="str">
        <f>_xlfn.CONCAT(AA749,"…",TEXT(P749,"+00;-00;+00;"),"...",TEXT(Q749,"+00;-00;+00;"))</f>
        <v>014-122…-16...+08</v>
      </c>
      <c r="AF749" s="13" t="str">
        <f>_xlfn.CONCAT(R749,"…",TEXT(P749,"+00;-00;+00;"),"...",TEXT(Q749,"+00;-00;+00;"))</f>
        <v>LLLDL…-16...+08</v>
      </c>
    </row>
    <row r="750" spans="1:32" x14ac:dyDescent="0.25">
      <c r="A750" s="12" t="s">
        <v>1080</v>
      </c>
      <c r="B750" s="13" t="s">
        <v>59</v>
      </c>
      <c r="C750" s="14">
        <v>1</v>
      </c>
      <c r="D750" s="13" t="s">
        <v>732</v>
      </c>
      <c r="E750" s="13" t="s">
        <v>730</v>
      </c>
      <c r="F750" s="15" t="s">
        <v>31</v>
      </c>
      <c r="G750" s="15" t="s">
        <v>29</v>
      </c>
      <c r="H750" s="15" t="s">
        <v>31</v>
      </c>
      <c r="I750" s="15" t="s">
        <v>31</v>
      </c>
      <c r="J750" s="15" t="s">
        <v>31</v>
      </c>
      <c r="K750" s="15" t="s">
        <v>30</v>
      </c>
      <c r="L750" s="15" t="s">
        <v>29</v>
      </c>
      <c r="M750" s="15" t="s">
        <v>29</v>
      </c>
      <c r="N750" s="15" t="s">
        <v>31</v>
      </c>
      <c r="O750" s="15" t="s">
        <v>31</v>
      </c>
      <c r="P750" s="18">
        <v>-22</v>
      </c>
      <c r="Q750" s="18">
        <v>-6</v>
      </c>
      <c r="R750" s="15" t="str">
        <f>_xlfn.CONCAT(F750,G750,H750,I750,J750)</f>
        <v>LDLLL</v>
      </c>
      <c r="S750" s="13" t="str">
        <f>_xlfn.CONCAT(K750,L750,M750,N750,O750)</f>
        <v>WDDLL</v>
      </c>
      <c r="T750" s="13" t="str">
        <f>_xlfn.CONCAT(R750,"***",S750)</f>
        <v>LDLLL***WDDLL</v>
      </c>
      <c r="U750" s="19">
        <f>(P750-Q750)</f>
        <v>-16</v>
      </c>
      <c r="V750" s="14"/>
      <c r="W750" s="14"/>
      <c r="X750" s="20" t="str">
        <f>IF(ISBLANK(V750),"",IF(V750&gt;W750,"1",IF(V750&lt;W750,"2",IF(V750=W750,"X"))))</f>
        <v/>
      </c>
      <c r="Y750" s="23" t="str">
        <f>COUNTIF(F750:J750, "W")&amp;COUNTIF(F750:J750, "d")&amp;COUNTIF(F750:J750, "l")</f>
        <v>014</v>
      </c>
      <c r="Z750" s="13" t="str">
        <f>COUNTIF(K750:O750, "W")&amp;COUNTIF(K750:O750, "d")&amp;COUNTIF(K750:O750, "l")</f>
        <v>122</v>
      </c>
      <c r="AA750" s="23" t="str">
        <f>_xlfn.CONCAT(Y750,"-",Z750)</f>
        <v>014-122</v>
      </c>
      <c r="AB750" s="15" t="str">
        <f>_xlfn.CONCAT(AA750,"…",TEXT(U750,"+00;-00;+00;"))</f>
        <v>014-122…-16</v>
      </c>
      <c r="AC750" s="23" t="str">
        <f>_xlfn.CONCAT(TEXT(P750,"+00;-00;+00;"),"…",TEXT(Q750,"+00;-00;+00;"))</f>
        <v>-22…-06</v>
      </c>
      <c r="AD750" s="14" t="str">
        <f>IF(X750="","?","")</f>
        <v>?</v>
      </c>
      <c r="AE750" s="15" t="str">
        <f>_xlfn.CONCAT(AA750,"…",TEXT(P750,"+00;-00;+00;"),"...",TEXT(Q750,"+00;-00;+00;"))</f>
        <v>014-122…-22...-06</v>
      </c>
      <c r="AF750" s="13" t="str">
        <f>_xlfn.CONCAT(R750,"…",TEXT(P750,"+00;-00;+00;"),"...",TEXT(Q750,"+00;-00;+00;"))</f>
        <v>LDLLL…-22...-06</v>
      </c>
    </row>
    <row r="751" spans="1:32" x14ac:dyDescent="0.25">
      <c r="A751" s="12" t="s">
        <v>1080</v>
      </c>
      <c r="B751" s="13" t="s">
        <v>401</v>
      </c>
      <c r="C751" s="14">
        <v>1</v>
      </c>
      <c r="D751" s="13" t="s">
        <v>797</v>
      </c>
      <c r="E751" s="13" t="s">
        <v>403</v>
      </c>
      <c r="F751" s="15" t="s">
        <v>31</v>
      </c>
      <c r="G751" s="15" t="s">
        <v>30</v>
      </c>
      <c r="H751" s="15" t="s">
        <v>30</v>
      </c>
      <c r="I751" s="15" t="s">
        <v>31</v>
      </c>
      <c r="J751" s="15" t="s">
        <v>30</v>
      </c>
      <c r="K751" s="15" t="s">
        <v>31</v>
      </c>
      <c r="L751" s="15" t="s">
        <v>29</v>
      </c>
      <c r="M751" s="15" t="s">
        <v>29</v>
      </c>
      <c r="N751" s="15" t="s">
        <v>31</v>
      </c>
      <c r="O751" s="15" t="s">
        <v>31</v>
      </c>
      <c r="P751" s="18">
        <v>3</v>
      </c>
      <c r="Q751" s="18">
        <v>-6</v>
      </c>
      <c r="R751" s="15" t="str">
        <f>_xlfn.CONCAT(F751,G751,H751,I751,J751)</f>
        <v>LWWLW</v>
      </c>
      <c r="S751" s="13" t="str">
        <f>_xlfn.CONCAT(K751,L751,M751,N751,O751)</f>
        <v>LDDLL</v>
      </c>
      <c r="T751" s="13" t="str">
        <f>_xlfn.CONCAT(R751,"***",S751)</f>
        <v>LWWLW***LDDLL</v>
      </c>
      <c r="U751" s="19">
        <f>(P751-Q751)</f>
        <v>9</v>
      </c>
      <c r="V751" s="14"/>
      <c r="W751" s="14"/>
      <c r="X751" s="20" t="str">
        <f>IF(ISBLANK(V751),"",IF(V751&gt;W751,"1",IF(V751&lt;W751,"2",IF(V751=W751,"X"))))</f>
        <v/>
      </c>
      <c r="Y751" s="23" t="str">
        <f>COUNTIF(F751:J751, "W")&amp;COUNTIF(F751:J751, "d")&amp;COUNTIF(F751:J751, "l")</f>
        <v>302</v>
      </c>
      <c r="Z751" s="13" t="str">
        <f>COUNTIF(K751:O751, "W")&amp;COUNTIF(K751:O751, "d")&amp;COUNTIF(K751:O751, "l")</f>
        <v>023</v>
      </c>
      <c r="AA751" s="23" t="str">
        <f>_xlfn.CONCAT(Y751,"-",Z751)</f>
        <v>302-023</v>
      </c>
      <c r="AB751" s="15" t="str">
        <f>_xlfn.CONCAT(AA751,"…",TEXT(U751,"+00;-00;+00;"))</f>
        <v>302-023…+09</v>
      </c>
      <c r="AC751" s="23" t="str">
        <f>_xlfn.CONCAT(TEXT(P751,"+00;-00;+00;"),"…",TEXT(Q751,"+00;-00;+00;"))</f>
        <v>+03…-06</v>
      </c>
      <c r="AD751" s="14" t="str">
        <f>IF(X751="","?","")</f>
        <v>?</v>
      </c>
      <c r="AE751" s="15" t="str">
        <f>_xlfn.CONCAT(AA751,"…",TEXT(P751,"+00;-00;+00;"),"...",TEXT(Q751,"+00;-00;+00;"))</f>
        <v>302-023…+03...-06</v>
      </c>
      <c r="AF751" s="13" t="str">
        <f>_xlfn.CONCAT(R751,"…",TEXT(P751,"+00;-00;+00;"),"...",TEXT(Q751,"+00;-00;+00;"))</f>
        <v>LWWLW…+03...-06</v>
      </c>
    </row>
    <row r="752" spans="1:32" x14ac:dyDescent="0.25">
      <c r="A752" s="12" t="s">
        <v>1128</v>
      </c>
      <c r="B752" s="13" t="s">
        <v>295</v>
      </c>
      <c r="C752" s="14">
        <v>1</v>
      </c>
      <c r="D752" s="13" t="s">
        <v>688</v>
      </c>
      <c r="E752" s="13" t="s">
        <v>1134</v>
      </c>
      <c r="F752" s="15" t="s">
        <v>31</v>
      </c>
      <c r="G752" s="15" t="s">
        <v>31</v>
      </c>
      <c r="H752" s="15" t="s">
        <v>30</v>
      </c>
      <c r="I752" s="15" t="s">
        <v>31</v>
      </c>
      <c r="J752" s="15" t="s">
        <v>31</v>
      </c>
      <c r="K752" s="15" t="s">
        <v>30</v>
      </c>
      <c r="L752" s="15" t="s">
        <v>31</v>
      </c>
      <c r="M752" s="15" t="s">
        <v>30</v>
      </c>
      <c r="N752" s="15" t="s">
        <v>30</v>
      </c>
      <c r="O752" s="15" t="s">
        <v>30</v>
      </c>
      <c r="P752" s="18">
        <v>-15</v>
      </c>
      <c r="Q752" s="18">
        <v>30</v>
      </c>
      <c r="R752" s="15" t="str">
        <f>_xlfn.CONCAT(F752,G752,H752,I752,J752)</f>
        <v>LLWLL</v>
      </c>
      <c r="S752" s="13" t="str">
        <f>_xlfn.CONCAT(K752,L752,M752,N752,O752)</f>
        <v>WLWWW</v>
      </c>
      <c r="T752" s="13" t="str">
        <f>_xlfn.CONCAT(R752,"***",S752)</f>
        <v>LLWLL***WLWWW</v>
      </c>
      <c r="U752" s="19">
        <f>(P752-Q752)</f>
        <v>-45</v>
      </c>
      <c r="V752" s="14"/>
      <c r="W752" s="14"/>
      <c r="X752" s="20" t="str">
        <f>IF(ISBLANK(V752),"",IF(V752&gt;W752,"1",IF(V752&lt;W752,"2",IF(V752=W752,"X"))))</f>
        <v/>
      </c>
      <c r="Y752" s="23" t="str">
        <f>COUNTIF(F752:J752, "W")&amp;COUNTIF(F752:J752, "d")&amp;COUNTIF(F752:J752, "l")</f>
        <v>104</v>
      </c>
      <c r="Z752" s="13" t="str">
        <f>COUNTIF(K752:O752, "W")&amp;COUNTIF(K752:O752, "d")&amp;COUNTIF(K752:O752, "l")</f>
        <v>401</v>
      </c>
      <c r="AA752" s="23" t="str">
        <f>_xlfn.CONCAT(Y752,"-",Z752)</f>
        <v>104-401</v>
      </c>
      <c r="AB752" s="15" t="str">
        <f>_xlfn.CONCAT(AA752,"…",TEXT(U752,"+00;-00;+00;"))</f>
        <v>104-401…-45</v>
      </c>
      <c r="AC752" s="23" t="str">
        <f>_xlfn.CONCAT(TEXT(P752,"+00;-00;+00;"),"…",TEXT(Q752,"+00;-00;+00;"))</f>
        <v>-15…+30</v>
      </c>
      <c r="AD752" s="14" t="str">
        <f>IF(X752="","?","")</f>
        <v>?</v>
      </c>
      <c r="AE752" s="15" t="str">
        <f>_xlfn.CONCAT(AA752,"…",TEXT(P752,"+00;-00;+00;"),"...",TEXT(Q752,"+00;-00;+00;"))</f>
        <v>104-401…-15...+30</v>
      </c>
      <c r="AF752" s="13" t="str">
        <f>_xlfn.CONCAT(R752,"…",TEXT(P752,"+00;-00;+00;"),"...",TEXT(Q752,"+00;-00;+00;"))</f>
        <v>LLWLL…-15...+30</v>
      </c>
    </row>
    <row r="753" spans="1:32" x14ac:dyDescent="0.25">
      <c r="A753" s="12" t="s">
        <v>1128</v>
      </c>
      <c r="B753" s="13" t="s">
        <v>295</v>
      </c>
      <c r="C753" s="14">
        <v>1</v>
      </c>
      <c r="D753" s="13" t="s">
        <v>1054</v>
      </c>
      <c r="E753" s="13" t="s">
        <v>690</v>
      </c>
      <c r="F753" s="15" t="s">
        <v>31</v>
      </c>
      <c r="G753" s="15" t="s">
        <v>30</v>
      </c>
      <c r="H753" s="15" t="s">
        <v>31</v>
      </c>
      <c r="I753" s="15" t="s">
        <v>30</v>
      </c>
      <c r="J753" s="15" t="s">
        <v>31</v>
      </c>
      <c r="K753" s="15" t="s">
        <v>30</v>
      </c>
      <c r="L753" s="15" t="s">
        <v>30</v>
      </c>
      <c r="M753" s="15" t="s">
        <v>31</v>
      </c>
      <c r="N753" s="15" t="s">
        <v>29</v>
      </c>
      <c r="O753" s="15" t="s">
        <v>29</v>
      </c>
      <c r="P753" s="18">
        <v>0</v>
      </c>
      <c r="Q753" s="18">
        <v>15</v>
      </c>
      <c r="R753" s="15" t="str">
        <f>_xlfn.CONCAT(F753,G753,H753,I753,J753)</f>
        <v>LWLWL</v>
      </c>
      <c r="S753" s="13" t="str">
        <f>_xlfn.CONCAT(K753,L753,M753,N753,O753)</f>
        <v>WWLDD</v>
      </c>
      <c r="T753" s="13" t="str">
        <f>_xlfn.CONCAT(R753,"***",S753)</f>
        <v>LWLWL***WWLDD</v>
      </c>
      <c r="U753" s="19">
        <f>(P753-Q753)</f>
        <v>-15</v>
      </c>
      <c r="V753" s="14"/>
      <c r="W753" s="14"/>
      <c r="X753" s="20" t="str">
        <f>IF(ISBLANK(V753),"",IF(V753&gt;W753,"1",IF(V753&lt;W753,"2",IF(V753=W753,"X"))))</f>
        <v/>
      </c>
      <c r="Y753" s="23" t="str">
        <f>COUNTIF(F753:J753, "W")&amp;COUNTIF(F753:J753, "d")&amp;COUNTIF(F753:J753, "l")</f>
        <v>203</v>
      </c>
      <c r="Z753" s="13" t="str">
        <f>COUNTIF(K753:O753, "W")&amp;COUNTIF(K753:O753, "d")&amp;COUNTIF(K753:O753, "l")</f>
        <v>221</v>
      </c>
      <c r="AA753" s="23" t="str">
        <f>_xlfn.CONCAT(Y753,"-",Z753)</f>
        <v>203-221</v>
      </c>
      <c r="AB753" s="15" t="str">
        <f>_xlfn.CONCAT(AA753,"…",TEXT(U753,"+00;-00;+00;"))</f>
        <v>203-221…-15</v>
      </c>
      <c r="AC753" s="23" t="str">
        <f>_xlfn.CONCAT(TEXT(P753,"+00;-00;+00;"),"…",TEXT(Q753,"+00;-00;+00;"))</f>
        <v>+00…+15</v>
      </c>
      <c r="AD753" s="14" t="str">
        <f>IF(X753="","?","")</f>
        <v>?</v>
      </c>
      <c r="AE753" s="15" t="str">
        <f>_xlfn.CONCAT(AA753,"…",TEXT(P753,"+00;-00;+00;"),"...",TEXT(Q753,"+00;-00;+00;"))</f>
        <v>203-221…+00...+15</v>
      </c>
      <c r="AF753" s="13" t="str">
        <f>_xlfn.CONCAT(R753,"…",TEXT(P753,"+00;-00;+00;"),"...",TEXT(Q753,"+00;-00;+00;"))</f>
        <v>LWLWL…+00...+15</v>
      </c>
    </row>
    <row r="754" spans="1:32" x14ac:dyDescent="0.25">
      <c r="A754" s="12" t="s">
        <v>1065</v>
      </c>
      <c r="B754" s="13" t="s">
        <v>167</v>
      </c>
      <c r="C754" s="14">
        <v>1</v>
      </c>
      <c r="D754" s="13" t="s">
        <v>1184</v>
      </c>
      <c r="E754" s="13" t="s">
        <v>703</v>
      </c>
      <c r="F754" s="15" t="s">
        <v>31</v>
      </c>
      <c r="G754" s="15" t="s">
        <v>29</v>
      </c>
      <c r="H754" s="15" t="s">
        <v>31</v>
      </c>
      <c r="I754" s="15" t="s">
        <v>29</v>
      </c>
      <c r="J754" s="15" t="s">
        <v>31</v>
      </c>
      <c r="K754" s="15" t="s">
        <v>31</v>
      </c>
      <c r="L754" s="15" t="s">
        <v>31</v>
      </c>
      <c r="M754" s="15" t="s">
        <v>30</v>
      </c>
      <c r="N754" s="15" t="s">
        <v>31</v>
      </c>
      <c r="O754" s="15" t="s">
        <v>31</v>
      </c>
      <c r="P754" s="18">
        <v>-7</v>
      </c>
      <c r="Q754" s="18">
        <v>-1</v>
      </c>
      <c r="R754" s="15" t="str">
        <f>_xlfn.CONCAT(F754,G754,H754,I754,J754)</f>
        <v>LDLDL</v>
      </c>
      <c r="S754" s="13" t="str">
        <f>_xlfn.CONCAT(K754,L754,M754,N754,O754)</f>
        <v>LLWLL</v>
      </c>
      <c r="T754" s="13" t="str">
        <f>_xlfn.CONCAT(R754,"***",S754)</f>
        <v>LDLDL***LLWLL</v>
      </c>
      <c r="U754" s="19">
        <f>(P754-Q754)</f>
        <v>-6</v>
      </c>
      <c r="V754" s="14"/>
      <c r="W754" s="14"/>
      <c r="X754" s="20" t="str">
        <f>IF(ISBLANK(V754),"",IF(V754&gt;W754,"1",IF(V754&lt;W754,"2",IF(V754=W754,"X"))))</f>
        <v/>
      </c>
      <c r="Y754" s="23" t="str">
        <f>COUNTIF(F754:J754, "W")&amp;COUNTIF(F754:J754, "d")&amp;COUNTIF(F754:J754, "l")</f>
        <v>023</v>
      </c>
      <c r="Z754" s="13" t="str">
        <f>COUNTIF(K754:O754, "W")&amp;COUNTIF(K754:O754, "d")&amp;COUNTIF(K754:O754, "l")</f>
        <v>104</v>
      </c>
      <c r="AA754" s="23" t="str">
        <f>_xlfn.CONCAT(Y754,"-",Z754)</f>
        <v>023-104</v>
      </c>
      <c r="AB754" s="15" t="str">
        <f>_xlfn.CONCAT(AA754,"…",TEXT(U754,"+00;-00;+00;"))</f>
        <v>023-104…-06</v>
      </c>
      <c r="AC754" s="23" t="str">
        <f>_xlfn.CONCAT(TEXT(P754,"+00;-00;+00;"),"…",TEXT(Q754,"+00;-00;+00;"))</f>
        <v>-07…-01</v>
      </c>
      <c r="AD754" s="14" t="str">
        <f>IF(X754="","?","")</f>
        <v>?</v>
      </c>
      <c r="AE754" s="15" t="str">
        <f>_xlfn.CONCAT(AA754,"…",TEXT(P754,"+00;-00;+00;"),"...",TEXT(Q754,"+00;-00;+00;"))</f>
        <v>023-104…-07...-01</v>
      </c>
      <c r="AF754" s="13" t="str">
        <f>_xlfn.CONCAT(R754,"…",TEXT(P754,"+00;-00;+00;"),"...",TEXT(Q754,"+00;-00;+00;"))</f>
        <v>LDLDL…-07...-01</v>
      </c>
    </row>
    <row r="755" spans="1:32" x14ac:dyDescent="0.25">
      <c r="A755" s="12" t="s">
        <v>1065</v>
      </c>
      <c r="B755" s="13" t="s">
        <v>167</v>
      </c>
      <c r="C755" s="14">
        <v>1</v>
      </c>
      <c r="D755" s="13" t="s">
        <v>701</v>
      </c>
      <c r="E755" s="13" t="s">
        <v>1183</v>
      </c>
      <c r="F755" s="15" t="s">
        <v>31</v>
      </c>
      <c r="G755" s="15" t="s">
        <v>29</v>
      </c>
      <c r="H755" s="15" t="s">
        <v>31</v>
      </c>
      <c r="I755" s="15" t="s">
        <v>31</v>
      </c>
      <c r="J755" s="15" t="s">
        <v>29</v>
      </c>
      <c r="K755" s="15" t="s">
        <v>30</v>
      </c>
      <c r="L755" s="15" t="s">
        <v>29</v>
      </c>
      <c r="M755" s="15" t="s">
        <v>31</v>
      </c>
      <c r="N755" s="15" t="s">
        <v>29</v>
      </c>
      <c r="O755" s="15" t="s">
        <v>29</v>
      </c>
      <c r="P755" s="18">
        <v>-9</v>
      </c>
      <c r="Q755" s="18">
        <v>-6</v>
      </c>
      <c r="R755" s="15" t="str">
        <f>_xlfn.CONCAT(F755,G755,H755,I755,J755)</f>
        <v>LDLLD</v>
      </c>
      <c r="S755" s="13" t="str">
        <f>_xlfn.CONCAT(K755,L755,M755,N755,O755)</f>
        <v>WDLDD</v>
      </c>
      <c r="T755" s="13" t="str">
        <f>_xlfn.CONCAT(R755,"***",S755)</f>
        <v>LDLLD***WDLDD</v>
      </c>
      <c r="U755" s="19">
        <f>(P755-Q755)</f>
        <v>-3</v>
      </c>
      <c r="V755" s="14"/>
      <c r="W755" s="14"/>
      <c r="X755" s="20" t="str">
        <f>IF(ISBLANK(V755),"",IF(V755&gt;W755,"1",IF(V755&lt;W755,"2",IF(V755=W755,"X"))))</f>
        <v/>
      </c>
      <c r="Y755" s="23" t="str">
        <f>COUNTIF(F755:J755, "W")&amp;COUNTIF(F755:J755, "d")&amp;COUNTIF(F755:J755, "l")</f>
        <v>023</v>
      </c>
      <c r="Z755" s="13" t="str">
        <f>COUNTIF(K755:O755, "W")&amp;COUNTIF(K755:O755, "d")&amp;COUNTIF(K755:O755, "l")</f>
        <v>131</v>
      </c>
      <c r="AA755" s="23" t="str">
        <f>_xlfn.CONCAT(Y755,"-",Z755)</f>
        <v>023-131</v>
      </c>
      <c r="AB755" s="15" t="str">
        <f>_xlfn.CONCAT(AA755,"…",TEXT(U755,"+00;-00;+00;"))</f>
        <v>023-131…-03</v>
      </c>
      <c r="AC755" s="23" t="str">
        <f>_xlfn.CONCAT(TEXT(P755,"+00;-00;+00;"),"…",TEXT(Q755,"+00;-00;+00;"))</f>
        <v>-09…-06</v>
      </c>
      <c r="AD755" s="14" t="str">
        <f>IF(X755="","?","")</f>
        <v>?</v>
      </c>
      <c r="AE755" s="15" t="str">
        <f>_xlfn.CONCAT(AA755,"…",TEXT(P755,"+00;-00;+00;"),"...",TEXT(Q755,"+00;-00;+00;"))</f>
        <v>023-131…-09...-06</v>
      </c>
      <c r="AF755" s="13" t="str">
        <f>_xlfn.CONCAT(R755,"…",TEXT(P755,"+00;-00;+00;"),"...",TEXT(Q755,"+00;-00;+00;"))</f>
        <v>LDLLD…-09...-06</v>
      </c>
    </row>
    <row r="756" spans="1:32" x14ac:dyDescent="0.25">
      <c r="A756" s="12" t="s">
        <v>1065</v>
      </c>
      <c r="B756" s="13" t="s">
        <v>7</v>
      </c>
      <c r="C756" s="14" t="s">
        <v>8</v>
      </c>
      <c r="D756" s="13" t="s">
        <v>946</v>
      </c>
      <c r="E756" s="13" t="s">
        <v>26</v>
      </c>
      <c r="F756" s="15" t="s">
        <v>31</v>
      </c>
      <c r="G756" s="15" t="s">
        <v>31</v>
      </c>
      <c r="H756" s="15" t="s">
        <v>30</v>
      </c>
      <c r="I756" s="15" t="s">
        <v>31</v>
      </c>
      <c r="J756" s="15" t="s">
        <v>31</v>
      </c>
      <c r="K756" s="15" t="s">
        <v>30</v>
      </c>
      <c r="L756" s="15" t="s">
        <v>30</v>
      </c>
      <c r="M756" s="15" t="s">
        <v>29</v>
      </c>
      <c r="N756" s="15" t="s">
        <v>30</v>
      </c>
      <c r="O756" s="15" t="s">
        <v>30</v>
      </c>
      <c r="P756" s="18">
        <v>1</v>
      </c>
      <c r="Q756" s="18">
        <v>15</v>
      </c>
      <c r="R756" s="15" t="str">
        <f>_xlfn.CONCAT(F756,G756,H756,I756,J756)</f>
        <v>LLWLL</v>
      </c>
      <c r="S756" s="13" t="str">
        <f>_xlfn.CONCAT(K756,L756,M756,N756,O756)</f>
        <v>WWDWW</v>
      </c>
      <c r="T756" s="13" t="str">
        <f>_xlfn.CONCAT(R756,"***",S756)</f>
        <v>LLWLL***WWDWW</v>
      </c>
      <c r="U756" s="19">
        <f>(P756-Q756)</f>
        <v>-14</v>
      </c>
      <c r="V756" s="14"/>
      <c r="W756" s="14"/>
      <c r="X756" s="20" t="str">
        <f>IF(ISBLANK(V756),"",IF(V756&gt;W756,"1",IF(V756&lt;W756,"2",IF(V756=W756,"X"))))</f>
        <v/>
      </c>
      <c r="Y756" s="23" t="str">
        <f>COUNTIF(F756:J756, "W")&amp;COUNTIF(F756:J756, "d")&amp;COUNTIF(F756:J756, "l")</f>
        <v>104</v>
      </c>
      <c r="Z756" s="13" t="str">
        <f>COUNTIF(K756:O756, "W")&amp;COUNTIF(K756:O756, "d")&amp;COUNTIF(K756:O756, "l")</f>
        <v>410</v>
      </c>
      <c r="AA756" s="23" t="str">
        <f>_xlfn.CONCAT(Y756,"-",Z756)</f>
        <v>104-410</v>
      </c>
      <c r="AB756" s="15" t="str">
        <f>_xlfn.CONCAT(AA756,"…",TEXT(U756,"+00;-00;+00;"))</f>
        <v>104-410…-14</v>
      </c>
      <c r="AC756" s="23" t="str">
        <f>_xlfn.CONCAT(TEXT(P756,"+00;-00;+00;"),"…",TEXT(Q756,"+00;-00;+00;"))</f>
        <v>+01…+15</v>
      </c>
      <c r="AD756" s="14" t="str">
        <f>IF(X756="","?","")</f>
        <v>?</v>
      </c>
      <c r="AE756" s="15" t="str">
        <f>_xlfn.CONCAT(AA756,"…",TEXT(P756,"+00;-00;+00;"),"...",TEXT(Q756,"+00;-00;+00;"))</f>
        <v>104-410…+01...+15</v>
      </c>
      <c r="AF756" s="13" t="str">
        <f>_xlfn.CONCAT(R756,"…",TEXT(P756,"+00;-00;+00;"),"...",TEXT(Q756,"+00;-00;+00;"))</f>
        <v>LLWLL…+01...+15</v>
      </c>
    </row>
    <row r="757" spans="1:32" x14ac:dyDescent="0.25">
      <c r="A757" s="12" t="s">
        <v>1065</v>
      </c>
      <c r="B757" s="13" t="s">
        <v>117</v>
      </c>
      <c r="C757" s="14" t="s">
        <v>0</v>
      </c>
      <c r="D757" s="13" t="s">
        <v>957</v>
      </c>
      <c r="E757" s="13" t="s">
        <v>960</v>
      </c>
      <c r="F757" s="15" t="s">
        <v>31</v>
      </c>
      <c r="G757" s="15" t="s">
        <v>29</v>
      </c>
      <c r="H757" s="15" t="s">
        <v>31</v>
      </c>
      <c r="I757" s="15" t="s">
        <v>29</v>
      </c>
      <c r="J757" s="15" t="s">
        <v>30</v>
      </c>
      <c r="K757" s="15" t="s">
        <v>31</v>
      </c>
      <c r="L757" s="15" t="s">
        <v>31</v>
      </c>
      <c r="M757" s="15" t="s">
        <v>30</v>
      </c>
      <c r="N757" s="15" t="s">
        <v>29</v>
      </c>
      <c r="O757" s="15" t="s">
        <v>31</v>
      </c>
      <c r="P757" s="18">
        <v>-13</v>
      </c>
      <c r="Q757" s="18">
        <v>-6</v>
      </c>
      <c r="R757" s="15" t="str">
        <f>_xlfn.CONCAT(F757,G757,H757,I757,J757)</f>
        <v>LDLDW</v>
      </c>
      <c r="S757" s="13" t="str">
        <f>_xlfn.CONCAT(K757,L757,M757,N757,O757)</f>
        <v>LLWDL</v>
      </c>
      <c r="T757" s="13" t="str">
        <f>_xlfn.CONCAT(R757,"***",S757)</f>
        <v>LDLDW***LLWDL</v>
      </c>
      <c r="U757" s="19">
        <f>(P757-Q757)</f>
        <v>-7</v>
      </c>
      <c r="V757" s="14"/>
      <c r="W757" s="14"/>
      <c r="X757" s="20" t="str">
        <f>IF(ISBLANK(V757),"",IF(V757&gt;W757,"1",IF(V757&lt;W757,"2",IF(V757=W757,"X"))))</f>
        <v/>
      </c>
      <c r="Y757" s="23" t="str">
        <f>COUNTIF(F757:J757, "W")&amp;COUNTIF(F757:J757, "d")&amp;COUNTIF(F757:J757, "l")</f>
        <v>122</v>
      </c>
      <c r="Z757" s="13" t="str">
        <f>COUNTIF(K757:O757, "W")&amp;COUNTIF(K757:O757, "d")&amp;COUNTIF(K757:O757, "l")</f>
        <v>113</v>
      </c>
      <c r="AA757" s="23" t="str">
        <f>_xlfn.CONCAT(Y757,"-",Z757)</f>
        <v>122-113</v>
      </c>
      <c r="AB757" s="15" t="str">
        <f>_xlfn.CONCAT(AA757,"…",TEXT(U757,"+00;-00;+00;"))</f>
        <v>122-113…-07</v>
      </c>
      <c r="AC757" s="23" t="str">
        <f>_xlfn.CONCAT(TEXT(P757,"+00;-00;+00;"),"…",TEXT(Q757,"+00;-00;+00;"))</f>
        <v>-13…-06</v>
      </c>
      <c r="AD757" s="14" t="str">
        <f>IF(X757="","?","")</f>
        <v>?</v>
      </c>
      <c r="AE757" s="15" t="str">
        <f>_xlfn.CONCAT(AA757,"…",TEXT(P757,"+00;-00;+00;"),"...",TEXT(Q757,"+00;-00;+00;"))</f>
        <v>122-113…-13...-06</v>
      </c>
      <c r="AF757" s="13" t="str">
        <f>_xlfn.CONCAT(R757,"…",TEXT(P757,"+00;-00;+00;"),"...",TEXT(Q757,"+00;-00;+00;"))</f>
        <v>LDLDW…-13...-06</v>
      </c>
    </row>
    <row r="758" spans="1:32" x14ac:dyDescent="0.25">
      <c r="A758" s="12" t="s">
        <v>1065</v>
      </c>
      <c r="B758" s="13" t="s">
        <v>414</v>
      </c>
      <c r="C758" s="14">
        <v>1</v>
      </c>
      <c r="D758" s="13" t="s">
        <v>845</v>
      </c>
      <c r="E758" s="13" t="s">
        <v>838</v>
      </c>
      <c r="F758" s="15" t="s">
        <v>31</v>
      </c>
      <c r="G758" s="15" t="s">
        <v>29</v>
      </c>
      <c r="H758" s="15" t="s">
        <v>29</v>
      </c>
      <c r="I758" s="15" t="s">
        <v>29</v>
      </c>
      <c r="J758" s="15" t="s">
        <v>30</v>
      </c>
      <c r="K758" s="15" t="s">
        <v>29</v>
      </c>
      <c r="L758" s="15" t="s">
        <v>31</v>
      </c>
      <c r="M758" s="15" t="s">
        <v>29</v>
      </c>
      <c r="N758" s="15" t="s">
        <v>29</v>
      </c>
      <c r="O758" s="15" t="s">
        <v>29</v>
      </c>
      <c r="P758" s="18">
        <v>12</v>
      </c>
      <c r="Q758" s="18">
        <v>-1</v>
      </c>
      <c r="R758" s="15" t="str">
        <f>_xlfn.CONCAT(F758,G758,H758,I758,J758)</f>
        <v>LDDDW</v>
      </c>
      <c r="S758" s="13" t="str">
        <f>_xlfn.CONCAT(K758,L758,M758,N758,O758)</f>
        <v>DLDDD</v>
      </c>
      <c r="T758" s="13" t="str">
        <f>_xlfn.CONCAT(R758,"***",S758)</f>
        <v>LDDDW***DLDDD</v>
      </c>
      <c r="U758" s="19">
        <f>(P758-Q758)</f>
        <v>13</v>
      </c>
      <c r="V758" s="14"/>
      <c r="W758" s="14"/>
      <c r="X758" s="20" t="str">
        <f>IF(ISBLANK(V758),"",IF(V758&gt;W758,"1",IF(V758&lt;W758,"2",IF(V758=W758,"X"))))</f>
        <v/>
      </c>
      <c r="Y758" s="23" t="str">
        <f>COUNTIF(F758:J758, "W")&amp;COUNTIF(F758:J758, "d")&amp;COUNTIF(F758:J758, "l")</f>
        <v>131</v>
      </c>
      <c r="Z758" s="13" t="str">
        <f>COUNTIF(K758:O758, "W")&amp;COUNTIF(K758:O758, "d")&amp;COUNTIF(K758:O758, "l")</f>
        <v>041</v>
      </c>
      <c r="AA758" s="23" t="str">
        <f>_xlfn.CONCAT(Y758,"-",Z758)</f>
        <v>131-041</v>
      </c>
      <c r="AB758" s="15" t="str">
        <f>_xlfn.CONCAT(AA758,"…",TEXT(U758,"+00;-00;+00;"))</f>
        <v>131-041…+13</v>
      </c>
      <c r="AC758" s="23" t="str">
        <f>_xlfn.CONCAT(TEXT(P758,"+00;-00;+00;"),"…",TEXT(Q758,"+00;-00;+00;"))</f>
        <v>+12…-01</v>
      </c>
      <c r="AD758" s="14" t="str">
        <f>IF(X758="","?","")</f>
        <v>?</v>
      </c>
      <c r="AE758" s="15" t="str">
        <f>_xlfn.CONCAT(AA758,"…",TEXT(P758,"+00;-00;+00;"),"...",TEXT(Q758,"+00;-00;+00;"))</f>
        <v>131-041…+12...-01</v>
      </c>
      <c r="AF758" s="13" t="str">
        <f>_xlfn.CONCAT(R758,"…",TEXT(P758,"+00;-00;+00;"),"...",TEXT(Q758,"+00;-00;+00;"))</f>
        <v>LDDDW…+12...-01</v>
      </c>
    </row>
    <row r="759" spans="1:32" x14ac:dyDescent="0.25">
      <c r="A759" s="27" t="s">
        <v>1065</v>
      </c>
      <c r="B759" s="28" t="s">
        <v>1198</v>
      </c>
      <c r="C759" s="29">
        <v>1</v>
      </c>
      <c r="D759" s="28" t="s">
        <v>1211</v>
      </c>
      <c r="E759" s="28" t="s">
        <v>1212</v>
      </c>
      <c r="F759" s="30" t="s">
        <v>29</v>
      </c>
      <c r="G759" s="30" t="s">
        <v>30</v>
      </c>
      <c r="H759" s="30" t="s">
        <v>31</v>
      </c>
      <c r="I759" s="30" t="s">
        <v>29</v>
      </c>
      <c r="J759" s="30" t="s">
        <v>29</v>
      </c>
      <c r="K759" s="30" t="s">
        <v>30</v>
      </c>
      <c r="L759" s="30" t="s">
        <v>30</v>
      </c>
      <c r="M759" s="30" t="s">
        <v>29</v>
      </c>
      <c r="N759" s="30" t="s">
        <v>31</v>
      </c>
      <c r="O759" s="30" t="s">
        <v>30</v>
      </c>
      <c r="P759" s="31">
        <v>7</v>
      </c>
      <c r="Q759" s="31">
        <v>18</v>
      </c>
      <c r="R759" s="32" t="str">
        <f>_xlfn.CONCAT(F759,G759,H759,I759,J759)</f>
        <v>DWLDD</v>
      </c>
      <c r="S759" s="33" t="str">
        <f>_xlfn.CONCAT(K759,L759,M759,N759,O759)</f>
        <v>WWDLW</v>
      </c>
      <c r="T759" s="33" t="str">
        <f>_xlfn.CONCAT(R759,"***",S759)</f>
        <v>DWLDD***WWDLW</v>
      </c>
      <c r="U759" s="34">
        <f>(P759-Q759)</f>
        <v>-11</v>
      </c>
      <c r="V759" s="29"/>
      <c r="W759" s="29"/>
      <c r="X759" s="35" t="str">
        <f>IF(ISBLANK(V759),"",IF(V759&gt;W759,"1",IF(V759&lt;W759,"2",IF(V759=W759,"X"))))</f>
        <v/>
      </c>
      <c r="Y759" s="36" t="str">
        <f>COUNTIF(F759:J759, "W")&amp;COUNTIF(F759:J759, "d")&amp;COUNTIF(F759:J759, "l")</f>
        <v>131</v>
      </c>
      <c r="Z759" s="37" t="str">
        <f>COUNTIF(K759:O759, "W")&amp;COUNTIF(K759:O759, "d")&amp;COUNTIF(K759:O759, "l")</f>
        <v>311</v>
      </c>
      <c r="AA759" s="38" t="str">
        <f>_xlfn.CONCAT(Y759,"-",Z759)</f>
        <v>131-311</v>
      </c>
      <c r="AB759" s="30" t="str">
        <f>_xlfn.CONCAT(AA759,"…",TEXT(U759,"+00;-00;+00;"))</f>
        <v>131-311…-11</v>
      </c>
      <c r="AC759" s="36" t="str">
        <f>_xlfn.CONCAT(TEXT(P759,"+00;-00;+00;"),"…",TEXT(Q759,"+00;-00;+00;"))</f>
        <v>+07…+18</v>
      </c>
      <c r="AD759" s="39" t="str">
        <f>IF(X759="","?","")</f>
        <v>?</v>
      </c>
      <c r="AE759" s="40" t="str">
        <f>_xlfn.CONCAT(AA759,"…",TEXT(P759,"+00;-00;+00;"),"...",TEXT(Q759,"+00;-00;+00;"))</f>
        <v>131-311…+07...+18</v>
      </c>
      <c r="AF759" s="33" t="str">
        <f>_xlfn.CONCAT(R759,"…",TEXT(P759,"+00;-00;+00;"),"...",TEXT(Q759,"+00;-00;+00;"))</f>
        <v>DWLDD…+07...+18</v>
      </c>
    </row>
    <row r="760" spans="1:32" x14ac:dyDescent="0.25">
      <c r="A760" s="27" t="s">
        <v>1065</v>
      </c>
      <c r="B760" s="28" t="s">
        <v>1198</v>
      </c>
      <c r="C760" s="29">
        <v>1</v>
      </c>
      <c r="D760" s="28" t="s">
        <v>1209</v>
      </c>
      <c r="E760" s="28" t="s">
        <v>1210</v>
      </c>
      <c r="F760" s="30" t="s">
        <v>30</v>
      </c>
      <c r="G760" s="30" t="s">
        <v>31</v>
      </c>
      <c r="H760" s="30" t="s">
        <v>31</v>
      </c>
      <c r="I760" s="30" t="s">
        <v>30</v>
      </c>
      <c r="J760" s="30" t="s">
        <v>31</v>
      </c>
      <c r="K760" s="30" t="s">
        <v>30</v>
      </c>
      <c r="L760" s="30" t="s">
        <v>30</v>
      </c>
      <c r="M760" s="30" t="s">
        <v>30</v>
      </c>
      <c r="N760" s="30" t="s">
        <v>31</v>
      </c>
      <c r="O760" s="30" t="s">
        <v>30</v>
      </c>
      <c r="P760" s="31">
        <v>8</v>
      </c>
      <c r="Q760" s="31">
        <v>21</v>
      </c>
      <c r="R760" s="32" t="str">
        <f>_xlfn.CONCAT(F760,G760,H760,I760,J760)</f>
        <v>WLLWL</v>
      </c>
      <c r="S760" s="33" t="str">
        <f>_xlfn.CONCAT(K760,L760,M760,N760,O760)</f>
        <v>WWWLW</v>
      </c>
      <c r="T760" s="33" t="str">
        <f>_xlfn.CONCAT(R760,"***",S760)</f>
        <v>WLLWL***WWWLW</v>
      </c>
      <c r="U760" s="34">
        <f>(P760-Q760)</f>
        <v>-13</v>
      </c>
      <c r="V760" s="29"/>
      <c r="W760" s="29"/>
      <c r="X760" s="35" t="str">
        <f>IF(ISBLANK(V760),"",IF(V760&gt;W760,"1",IF(V760&lt;W760,"2",IF(V760=W760,"X"))))</f>
        <v/>
      </c>
      <c r="Y760" s="36" t="str">
        <f>COUNTIF(F760:J760, "W")&amp;COUNTIF(F760:J760, "d")&amp;COUNTIF(F760:J760, "l")</f>
        <v>203</v>
      </c>
      <c r="Z760" s="37" t="str">
        <f>COUNTIF(K760:O760, "W")&amp;COUNTIF(K760:O760, "d")&amp;COUNTIF(K760:O760, "l")</f>
        <v>401</v>
      </c>
      <c r="AA760" s="38" t="str">
        <f>_xlfn.CONCAT(Y760,"-",Z760)</f>
        <v>203-401</v>
      </c>
      <c r="AB760" s="30" t="str">
        <f>_xlfn.CONCAT(AA760,"…",TEXT(U760,"+00;-00;+00;"))</f>
        <v>203-401…-13</v>
      </c>
      <c r="AC760" s="36" t="str">
        <f>_xlfn.CONCAT(TEXT(P760,"+00;-00;+00;"),"…",TEXT(Q760,"+00;-00;+00;"))</f>
        <v>+08…+21</v>
      </c>
      <c r="AD760" s="39" t="str">
        <f>IF(X760="","?","")</f>
        <v>?</v>
      </c>
      <c r="AE760" s="40" t="str">
        <f>_xlfn.CONCAT(AA760,"…",TEXT(P760,"+00;-00;+00;"),"...",TEXT(Q760,"+00;-00;+00;"))</f>
        <v>203-401…+08...+21</v>
      </c>
      <c r="AF760" s="33" t="str">
        <f>_xlfn.CONCAT(R760,"…",TEXT(P760,"+00;-00;+00;"),"...",TEXT(Q760,"+00;-00;+00;"))</f>
        <v>WLLWL…+08...+21</v>
      </c>
    </row>
    <row r="761" spans="1:32" x14ac:dyDescent="0.25">
      <c r="A761" s="12" t="s">
        <v>1065</v>
      </c>
      <c r="B761" s="13" t="s">
        <v>167</v>
      </c>
      <c r="C761" s="14">
        <v>1</v>
      </c>
      <c r="D761" s="13" t="s">
        <v>178</v>
      </c>
      <c r="E761" s="13" t="s">
        <v>699</v>
      </c>
      <c r="F761" s="15" t="s">
        <v>31</v>
      </c>
      <c r="G761" s="15" t="s">
        <v>31</v>
      </c>
      <c r="H761" s="15" t="s">
        <v>30</v>
      </c>
      <c r="I761" s="15" t="s">
        <v>30</v>
      </c>
      <c r="J761" s="15" t="s">
        <v>29</v>
      </c>
      <c r="K761" s="15" t="s">
        <v>31</v>
      </c>
      <c r="L761" s="15" t="s">
        <v>29</v>
      </c>
      <c r="M761" s="15" t="s">
        <v>31</v>
      </c>
      <c r="N761" s="15" t="s">
        <v>29</v>
      </c>
      <c r="O761" s="15" t="s">
        <v>31</v>
      </c>
      <c r="P761" s="18">
        <v>-8</v>
      </c>
      <c r="Q761" s="18">
        <v>-3</v>
      </c>
      <c r="R761" s="15" t="str">
        <f>_xlfn.CONCAT(F761,G761,H761,I761,J761)</f>
        <v>LLWWD</v>
      </c>
      <c r="S761" s="13" t="str">
        <f>_xlfn.CONCAT(K761,L761,M761,N761,O761)</f>
        <v>LDLDL</v>
      </c>
      <c r="T761" s="13" t="str">
        <f>_xlfn.CONCAT(R761,"***",S761)</f>
        <v>LLWWD***LDLDL</v>
      </c>
      <c r="U761" s="19">
        <f>(P761-Q761)</f>
        <v>-5</v>
      </c>
      <c r="V761" s="14"/>
      <c r="W761" s="14"/>
      <c r="X761" s="20" t="str">
        <f>IF(ISBLANK(V761),"",IF(V761&gt;W761,"1",IF(V761&lt;W761,"2",IF(V761=W761,"X"))))</f>
        <v/>
      </c>
      <c r="Y761" s="23" t="str">
        <f>COUNTIF(F761:J761, "W")&amp;COUNTIF(F761:J761, "d")&amp;COUNTIF(F761:J761, "l")</f>
        <v>212</v>
      </c>
      <c r="Z761" s="13" t="str">
        <f>COUNTIF(K761:O761, "W")&amp;COUNTIF(K761:O761, "d")&amp;COUNTIF(K761:O761, "l")</f>
        <v>023</v>
      </c>
      <c r="AA761" s="23" t="str">
        <f>_xlfn.CONCAT(Y761,"-",Z761)</f>
        <v>212-023</v>
      </c>
      <c r="AB761" s="15" t="str">
        <f>_xlfn.CONCAT(AA761,"…",TEXT(U761,"+00;-00;+00;"))</f>
        <v>212-023…-05</v>
      </c>
      <c r="AC761" s="23" t="str">
        <f>_xlfn.CONCAT(TEXT(P761,"+00;-00;+00;"),"…",TEXT(Q761,"+00;-00;+00;"))</f>
        <v>-08…-03</v>
      </c>
      <c r="AD761" s="14" t="str">
        <f>IF(X761="","?","")</f>
        <v>?</v>
      </c>
      <c r="AE761" s="15" t="str">
        <f>_xlfn.CONCAT(AA761,"…",TEXT(P761,"+00;-00;+00;"),"...",TEXT(Q761,"+00;-00;+00;"))</f>
        <v>212-023…-08...-03</v>
      </c>
      <c r="AF761" s="13" t="str">
        <f>_xlfn.CONCAT(R761,"…",TEXT(P761,"+00;-00;+00;"),"...",TEXT(Q761,"+00;-00;+00;"))</f>
        <v>LLWWD…-08...-03</v>
      </c>
    </row>
    <row r="762" spans="1:32" x14ac:dyDescent="0.25">
      <c r="A762" s="12" t="s">
        <v>1065</v>
      </c>
      <c r="B762" s="13" t="s">
        <v>117</v>
      </c>
      <c r="C762" s="14" t="s">
        <v>0</v>
      </c>
      <c r="D762" s="13" t="s">
        <v>958</v>
      </c>
      <c r="E762" s="13" t="s">
        <v>639</v>
      </c>
      <c r="F762" s="15" t="s">
        <v>29</v>
      </c>
      <c r="G762" s="15" t="s">
        <v>30</v>
      </c>
      <c r="H762" s="15" t="s">
        <v>31</v>
      </c>
      <c r="I762" s="15" t="s">
        <v>30</v>
      </c>
      <c r="J762" s="15" t="s">
        <v>31</v>
      </c>
      <c r="K762" s="15" t="s">
        <v>29</v>
      </c>
      <c r="L762" s="15" t="s">
        <v>29</v>
      </c>
      <c r="M762" s="15" t="s">
        <v>29</v>
      </c>
      <c r="N762" s="15" t="s">
        <v>31</v>
      </c>
      <c r="O762" s="15" t="s">
        <v>31</v>
      </c>
      <c r="P762" s="18">
        <v>6</v>
      </c>
      <c r="Q762" s="18">
        <v>-9</v>
      </c>
      <c r="R762" s="15" t="str">
        <f>_xlfn.CONCAT(F762,G762,H762,I762,J762)</f>
        <v>DWLWL</v>
      </c>
      <c r="S762" s="13" t="str">
        <f>_xlfn.CONCAT(K762,L762,M762,N762,O762)</f>
        <v>DDDLL</v>
      </c>
      <c r="T762" s="13" t="str">
        <f>_xlfn.CONCAT(R762,"***",S762)</f>
        <v>DWLWL***DDDLL</v>
      </c>
      <c r="U762" s="19">
        <f>(P762-Q762)</f>
        <v>15</v>
      </c>
      <c r="V762" s="14"/>
      <c r="W762" s="14"/>
      <c r="X762" s="20" t="str">
        <f>IF(ISBLANK(V762),"",IF(V762&gt;W762,"1",IF(V762&lt;W762,"2",IF(V762=W762,"X"))))</f>
        <v/>
      </c>
      <c r="Y762" s="23" t="str">
        <f>COUNTIF(F762:J762, "W")&amp;COUNTIF(F762:J762, "d")&amp;COUNTIF(F762:J762, "l")</f>
        <v>212</v>
      </c>
      <c r="Z762" s="13" t="str">
        <f>COUNTIF(K762:O762, "W")&amp;COUNTIF(K762:O762, "d")&amp;COUNTIF(K762:O762, "l")</f>
        <v>032</v>
      </c>
      <c r="AA762" s="23" t="str">
        <f>_xlfn.CONCAT(Y762,"-",Z762)</f>
        <v>212-032</v>
      </c>
      <c r="AB762" s="15" t="str">
        <f>_xlfn.CONCAT(AA762,"…",TEXT(U762,"+00;-00;+00;"))</f>
        <v>212-032…+15</v>
      </c>
      <c r="AC762" s="23" t="str">
        <f>_xlfn.CONCAT(TEXT(P762,"+00;-00;+00;"),"…",TEXT(Q762,"+00;-00;+00;"))</f>
        <v>+06…-09</v>
      </c>
      <c r="AD762" s="14" t="str">
        <f>IF(X762="","?","")</f>
        <v>?</v>
      </c>
      <c r="AE762" s="15" t="str">
        <f>_xlfn.CONCAT(AA762,"…",TEXT(P762,"+00;-00;+00;"),"...",TEXT(Q762,"+00;-00;+00;"))</f>
        <v>212-032…+06...-09</v>
      </c>
      <c r="AF762" s="13" t="str">
        <f>_xlfn.CONCAT(R762,"…",TEXT(P762,"+00;-00;+00;"),"...",TEXT(Q762,"+00;-00;+00;"))</f>
        <v>DWLWL…+06...-09</v>
      </c>
    </row>
    <row r="763" spans="1:32" x14ac:dyDescent="0.25">
      <c r="A763" s="12" t="s">
        <v>1065</v>
      </c>
      <c r="B763" s="13" t="s">
        <v>250</v>
      </c>
      <c r="C763" s="14">
        <v>2</v>
      </c>
      <c r="D763" s="13" t="s">
        <v>866</v>
      </c>
      <c r="E763" s="13" t="s">
        <v>865</v>
      </c>
      <c r="F763" s="15" t="s">
        <v>29</v>
      </c>
      <c r="G763" s="15" t="s">
        <v>30</v>
      </c>
      <c r="H763" s="15" t="s">
        <v>31</v>
      </c>
      <c r="I763" s="15" t="s">
        <v>30</v>
      </c>
      <c r="J763" s="15" t="s">
        <v>31</v>
      </c>
      <c r="K763" s="15" t="s">
        <v>30</v>
      </c>
      <c r="L763" s="15" t="s">
        <v>31</v>
      </c>
      <c r="M763" s="15" t="s">
        <v>31</v>
      </c>
      <c r="N763" s="15" t="s">
        <v>30</v>
      </c>
      <c r="O763" s="15" t="s">
        <v>31</v>
      </c>
      <c r="P763" s="18">
        <v>-6</v>
      </c>
      <c r="Q763" s="18">
        <v>7</v>
      </c>
      <c r="R763" s="15" t="str">
        <f>_xlfn.CONCAT(F763,G763,H763,I763,J763)</f>
        <v>DWLWL</v>
      </c>
      <c r="S763" s="13" t="str">
        <f>_xlfn.CONCAT(K763,L763,M763,N763,O763)</f>
        <v>WLLWL</v>
      </c>
      <c r="T763" s="13" t="str">
        <f>_xlfn.CONCAT(R763,"***",S763)</f>
        <v>DWLWL***WLLWL</v>
      </c>
      <c r="U763" s="19">
        <f>(P763-Q763)</f>
        <v>-13</v>
      </c>
      <c r="V763" s="14"/>
      <c r="W763" s="14"/>
      <c r="X763" s="20" t="str">
        <f>IF(ISBLANK(V763),"",IF(V763&gt;W763,"1",IF(V763&lt;W763,"2",IF(V763=W763,"X"))))</f>
        <v/>
      </c>
      <c r="Y763" s="23" t="str">
        <f>COUNTIF(F763:J763, "W")&amp;COUNTIF(F763:J763, "d")&amp;COUNTIF(F763:J763, "l")</f>
        <v>212</v>
      </c>
      <c r="Z763" s="13" t="str">
        <f>COUNTIF(K763:O763, "W")&amp;COUNTIF(K763:O763, "d")&amp;COUNTIF(K763:O763, "l")</f>
        <v>203</v>
      </c>
      <c r="AA763" s="23" t="str">
        <f>_xlfn.CONCAT(Y763,"-",Z763)</f>
        <v>212-203</v>
      </c>
      <c r="AB763" s="15" t="str">
        <f>_xlfn.CONCAT(AA763,"…",TEXT(U763,"+00;-00;+00;"))</f>
        <v>212-203…-13</v>
      </c>
      <c r="AC763" s="23" t="str">
        <f>_xlfn.CONCAT(TEXT(P763,"+00;-00;+00;"),"…",TEXT(Q763,"+00;-00;+00;"))</f>
        <v>-06…+07</v>
      </c>
      <c r="AD763" s="14" t="str">
        <f>IF(X763="","?","")</f>
        <v>?</v>
      </c>
      <c r="AE763" s="15" t="str">
        <f>_xlfn.CONCAT(AA763,"…",TEXT(P763,"+00;-00;+00;"),"...",TEXT(Q763,"+00;-00;+00;"))</f>
        <v>212-203…-06...+07</v>
      </c>
      <c r="AF763" s="13" t="str">
        <f>_xlfn.CONCAT(R763,"…",TEXT(P763,"+00;-00;+00;"),"...",TEXT(Q763,"+00;-00;+00;"))</f>
        <v>DWLWL…-06...+07</v>
      </c>
    </row>
    <row r="764" spans="1:32" x14ac:dyDescent="0.25">
      <c r="A764" s="12" t="s">
        <v>1065</v>
      </c>
      <c r="B764" s="13" t="s">
        <v>7</v>
      </c>
      <c r="C764" s="14" t="s">
        <v>8</v>
      </c>
      <c r="D764" s="13" t="s">
        <v>620</v>
      </c>
      <c r="E764" s="13" t="s">
        <v>608</v>
      </c>
      <c r="F764" s="15" t="s">
        <v>31</v>
      </c>
      <c r="G764" s="15" t="s">
        <v>30</v>
      </c>
      <c r="H764" s="15" t="s">
        <v>29</v>
      </c>
      <c r="I764" s="15" t="s">
        <v>30</v>
      </c>
      <c r="J764" s="15" t="s">
        <v>30</v>
      </c>
      <c r="K764" s="15" t="s">
        <v>29</v>
      </c>
      <c r="L764" s="15" t="s">
        <v>30</v>
      </c>
      <c r="M764" s="15" t="s">
        <v>31</v>
      </c>
      <c r="N764" s="15" t="s">
        <v>31</v>
      </c>
      <c r="O764" s="15" t="s">
        <v>30</v>
      </c>
      <c r="P764" s="18">
        <v>-4</v>
      </c>
      <c r="Q764" s="18">
        <v>-5</v>
      </c>
      <c r="R764" s="15" t="str">
        <f>_xlfn.CONCAT(F764,G764,H764,I764,J764)</f>
        <v>LWDWW</v>
      </c>
      <c r="S764" s="13" t="str">
        <f>_xlfn.CONCAT(K764,L764,M764,N764,O764)</f>
        <v>DWLLW</v>
      </c>
      <c r="T764" s="13" t="str">
        <f>_xlfn.CONCAT(R764,"***",S764)</f>
        <v>LWDWW***DWLLW</v>
      </c>
      <c r="U764" s="19">
        <f>(P764-Q764)</f>
        <v>1</v>
      </c>
      <c r="V764" s="14"/>
      <c r="W764" s="14"/>
      <c r="X764" s="20" t="str">
        <f>IF(ISBLANK(V764),"",IF(V764&gt;W764,"1",IF(V764&lt;W764,"2",IF(V764=W764,"X"))))</f>
        <v/>
      </c>
      <c r="Y764" s="23" t="str">
        <f>COUNTIF(F764:J764, "W")&amp;COUNTIF(F764:J764, "d")&amp;COUNTIF(F764:J764, "l")</f>
        <v>311</v>
      </c>
      <c r="Z764" s="13" t="str">
        <f>COUNTIF(K764:O764, "W")&amp;COUNTIF(K764:O764, "d")&amp;COUNTIF(K764:O764, "l")</f>
        <v>212</v>
      </c>
      <c r="AA764" s="23" t="str">
        <f>_xlfn.CONCAT(Y764,"-",Z764)</f>
        <v>311-212</v>
      </c>
      <c r="AB764" s="15" t="str">
        <f>_xlfn.CONCAT(AA764,"…",TEXT(U764,"+00;-00;+00;"))</f>
        <v>311-212…+01</v>
      </c>
      <c r="AC764" s="23" t="str">
        <f>_xlfn.CONCAT(TEXT(P764,"+00;-00;+00;"),"…",TEXT(Q764,"+00;-00;+00;"))</f>
        <v>-04…-05</v>
      </c>
      <c r="AD764" s="14" t="str">
        <f>IF(X764="","?","")</f>
        <v>?</v>
      </c>
      <c r="AE764" s="15" t="str">
        <f>_xlfn.CONCAT(AA764,"…",TEXT(P764,"+00;-00;+00;"),"...",TEXT(Q764,"+00;-00;+00;"))</f>
        <v>311-212…-04...-05</v>
      </c>
      <c r="AF764" s="13" t="str">
        <f>_xlfn.CONCAT(R764,"…",TEXT(P764,"+00;-00;+00;"),"...",TEXT(Q764,"+00;-00;+00;"))</f>
        <v>LWDWW…-04...-05</v>
      </c>
    </row>
    <row r="765" spans="1:32" x14ac:dyDescent="0.25">
      <c r="A765" s="12" t="s">
        <v>1065</v>
      </c>
      <c r="B765" s="13" t="s">
        <v>7</v>
      </c>
      <c r="C765" s="14" t="s">
        <v>8</v>
      </c>
      <c r="D765" s="13" t="s">
        <v>607</v>
      </c>
      <c r="E765" s="13" t="s">
        <v>618</v>
      </c>
      <c r="F765" s="15" t="s">
        <v>31</v>
      </c>
      <c r="G765" s="15" t="s">
        <v>30</v>
      </c>
      <c r="H765" s="15" t="s">
        <v>30</v>
      </c>
      <c r="I765" s="15" t="s">
        <v>30</v>
      </c>
      <c r="J765" s="15" t="s">
        <v>30</v>
      </c>
      <c r="K765" s="15" t="s">
        <v>29</v>
      </c>
      <c r="L765" s="15" t="s">
        <v>30</v>
      </c>
      <c r="M765" s="15" t="s">
        <v>31</v>
      </c>
      <c r="N765" s="15" t="s">
        <v>30</v>
      </c>
      <c r="O765" s="15" t="s">
        <v>29</v>
      </c>
      <c r="P765" s="18">
        <v>18</v>
      </c>
      <c r="Q765" s="18">
        <v>5</v>
      </c>
      <c r="R765" s="15" t="str">
        <f>_xlfn.CONCAT(F765,G765,H765,I765,J765)</f>
        <v>LWWWW</v>
      </c>
      <c r="S765" s="13" t="str">
        <f>_xlfn.CONCAT(K765,L765,M765,N765,O765)</f>
        <v>DWLWD</v>
      </c>
      <c r="T765" s="13" t="str">
        <f>_xlfn.CONCAT(R765,"***",S765)</f>
        <v>LWWWW***DWLWD</v>
      </c>
      <c r="U765" s="19">
        <f>(P765-Q765)</f>
        <v>13</v>
      </c>
      <c r="V765" s="14"/>
      <c r="W765" s="14"/>
      <c r="X765" s="20" t="str">
        <f>IF(ISBLANK(V765),"",IF(V765&gt;W765,"1",IF(V765&lt;W765,"2",IF(V765=W765,"X"))))</f>
        <v/>
      </c>
      <c r="Y765" s="23" t="str">
        <f>COUNTIF(F765:J765, "W")&amp;COUNTIF(F765:J765, "d")&amp;COUNTIF(F765:J765, "l")</f>
        <v>401</v>
      </c>
      <c r="Z765" s="13" t="str">
        <f>COUNTIF(K765:O765, "W")&amp;COUNTIF(K765:O765, "d")&amp;COUNTIF(K765:O765, "l")</f>
        <v>221</v>
      </c>
      <c r="AA765" s="23" t="str">
        <f>_xlfn.CONCAT(Y765,"-",Z765)</f>
        <v>401-221</v>
      </c>
      <c r="AB765" s="15" t="str">
        <f>_xlfn.CONCAT(AA765,"…",TEXT(U765,"+00;-00;+00;"))</f>
        <v>401-221…+13</v>
      </c>
      <c r="AC765" s="23" t="str">
        <f>_xlfn.CONCAT(TEXT(P765,"+00;-00;+00;"),"…",TEXT(Q765,"+00;-00;+00;"))</f>
        <v>+18…+05</v>
      </c>
      <c r="AD765" s="14" t="str">
        <f>IF(X765="","?","")</f>
        <v>?</v>
      </c>
      <c r="AE765" s="15" t="str">
        <f>_xlfn.CONCAT(AA765,"…",TEXT(P765,"+00;-00;+00;"),"...",TEXT(Q765,"+00;-00;+00;"))</f>
        <v>401-221…+18...+05</v>
      </c>
      <c r="AF765" s="13" t="str">
        <f>_xlfn.CONCAT(R765,"…",TEXT(P765,"+00;-00;+00;"),"...",TEXT(Q765,"+00;-00;+00;"))</f>
        <v>LWWWW…+18...+05</v>
      </c>
    </row>
    <row r="766" spans="1:32" x14ac:dyDescent="0.25">
      <c r="A766" s="12" t="s">
        <v>1142</v>
      </c>
      <c r="B766" s="13" t="s">
        <v>208</v>
      </c>
      <c r="C766" s="14">
        <v>1</v>
      </c>
      <c r="D766" s="13" t="s">
        <v>573</v>
      </c>
      <c r="E766" s="13" t="s">
        <v>211</v>
      </c>
      <c r="F766" s="15" t="s">
        <v>30</v>
      </c>
      <c r="G766" s="15" t="s">
        <v>30</v>
      </c>
      <c r="H766" s="15" t="s">
        <v>29</v>
      </c>
      <c r="I766" s="15" t="s">
        <v>31</v>
      </c>
      <c r="J766" s="15" t="s">
        <v>29</v>
      </c>
      <c r="K766" s="15" t="s">
        <v>29</v>
      </c>
      <c r="L766" s="15" t="s">
        <v>30</v>
      </c>
      <c r="M766" s="15" t="s">
        <v>31</v>
      </c>
      <c r="N766" s="15" t="s">
        <v>29</v>
      </c>
      <c r="O766" s="15" t="s">
        <v>29</v>
      </c>
      <c r="P766" s="18">
        <v>-6</v>
      </c>
      <c r="Q766" s="18">
        <v>-14</v>
      </c>
      <c r="R766" s="15" t="str">
        <f>_xlfn.CONCAT(F766,G766,H766,I766,J766)</f>
        <v>WWDLD</v>
      </c>
      <c r="S766" s="13" t="str">
        <f>_xlfn.CONCAT(K766,L766,M766,N766,O766)</f>
        <v>DWLDD</v>
      </c>
      <c r="T766" s="13" t="str">
        <f>_xlfn.CONCAT(R766,"***",S766)</f>
        <v>WWDLD***DWLDD</v>
      </c>
      <c r="U766" s="19">
        <f>(P766-Q766)</f>
        <v>8</v>
      </c>
      <c r="V766" s="14"/>
      <c r="W766" s="14"/>
      <c r="X766" s="20" t="str">
        <f>IF(ISBLANK(V766),"",IF(V766&gt;W766,"1",IF(V766&lt;W766,"2",IF(V766=W766,"X"))))</f>
        <v/>
      </c>
      <c r="Y766" s="23" t="str">
        <f>COUNTIF(F766:J766, "W")&amp;COUNTIF(F766:J766, "d")&amp;COUNTIF(F766:J766, "l")</f>
        <v>221</v>
      </c>
      <c r="Z766" s="13" t="str">
        <f>COUNTIF(K766:O766, "W")&amp;COUNTIF(K766:O766, "d")&amp;COUNTIF(K766:O766, "l")</f>
        <v>131</v>
      </c>
      <c r="AA766" s="23" t="str">
        <f>_xlfn.CONCAT(Y766,"-",Z766)</f>
        <v>221-131</v>
      </c>
      <c r="AB766" s="15" t="str">
        <f>_xlfn.CONCAT(AA766,"…",TEXT(U766,"+00;-00;+00;"))</f>
        <v>221-131…+08</v>
      </c>
      <c r="AC766" s="23" t="str">
        <f>_xlfn.CONCAT(TEXT(P766,"+00;-00;+00;"),"…",TEXT(Q766,"+00;-00;+00;"))</f>
        <v>-06…-14</v>
      </c>
      <c r="AD766" s="14" t="str">
        <f>IF(X766="","?","")</f>
        <v>?</v>
      </c>
      <c r="AE766" s="15" t="str">
        <f>_xlfn.CONCAT(AA766,"…",TEXT(P766,"+00;-00;+00;"),"...",TEXT(Q766,"+00;-00;+00;"))</f>
        <v>221-131…-06...-14</v>
      </c>
      <c r="AF766" s="13" t="str">
        <f>_xlfn.CONCAT(R766,"…",TEXT(P766,"+00;-00;+00;"),"...",TEXT(Q766,"+00;-00;+00;"))</f>
        <v>WWDLD…-06...-14</v>
      </c>
    </row>
    <row r="767" spans="1:32" x14ac:dyDescent="0.25">
      <c r="A767" s="12" t="s">
        <v>1137</v>
      </c>
      <c r="B767" s="13" t="s">
        <v>318</v>
      </c>
      <c r="C767" s="14">
        <v>1</v>
      </c>
      <c r="D767" s="13" t="s">
        <v>762</v>
      </c>
      <c r="E767" s="13" t="s">
        <v>1140</v>
      </c>
      <c r="F767" s="15" t="s">
        <v>30</v>
      </c>
      <c r="G767" s="15" t="s">
        <v>30</v>
      </c>
      <c r="H767" s="15" t="s">
        <v>29</v>
      </c>
      <c r="I767" s="15" t="s">
        <v>30</v>
      </c>
      <c r="J767" s="15" t="s">
        <v>30</v>
      </c>
      <c r="K767" s="15" t="s">
        <v>29</v>
      </c>
      <c r="L767" s="15" t="s">
        <v>31</v>
      </c>
      <c r="M767" s="15" t="s">
        <v>30</v>
      </c>
      <c r="N767" s="15" t="s">
        <v>30</v>
      </c>
      <c r="O767" s="15" t="s">
        <v>29</v>
      </c>
      <c r="P767" s="18">
        <v>22</v>
      </c>
      <c r="Q767" s="18">
        <v>-5</v>
      </c>
      <c r="R767" s="15" t="str">
        <f>_xlfn.CONCAT(F767,G767,H767,I767,J767)</f>
        <v>WWDWW</v>
      </c>
      <c r="S767" s="13" t="str">
        <f>_xlfn.CONCAT(K767,L767,M767,N767,O767)</f>
        <v>DLWWD</v>
      </c>
      <c r="T767" s="13" t="str">
        <f>_xlfn.CONCAT(R767,"***",S767)</f>
        <v>WWDWW***DLWWD</v>
      </c>
      <c r="U767" s="19">
        <f>(P767-Q767)</f>
        <v>27</v>
      </c>
      <c r="V767" s="14"/>
      <c r="W767" s="14"/>
      <c r="X767" s="20" t="str">
        <f>IF(ISBLANK(V767),"",IF(V767&gt;W767,"1",IF(V767&lt;W767,"2",IF(V767=W767,"X"))))</f>
        <v/>
      </c>
      <c r="Y767" s="23" t="str">
        <f>COUNTIF(F767:J767, "W")&amp;COUNTIF(F767:J767, "d")&amp;COUNTIF(F767:J767, "l")</f>
        <v>410</v>
      </c>
      <c r="Z767" s="13" t="str">
        <f>COUNTIF(K767:O767, "W")&amp;COUNTIF(K767:O767, "d")&amp;COUNTIF(K767:O767, "l")</f>
        <v>221</v>
      </c>
      <c r="AA767" s="23" t="str">
        <f>_xlfn.CONCAT(Y767,"-",Z767)</f>
        <v>410-221</v>
      </c>
      <c r="AB767" s="15" t="str">
        <f>_xlfn.CONCAT(AA767,"…",TEXT(U767,"+00;-00;+00;"))</f>
        <v>410-221…+27</v>
      </c>
      <c r="AC767" s="23" t="str">
        <f>_xlfn.CONCAT(TEXT(P767,"+00;-00;+00;"),"…",TEXT(Q767,"+00;-00;+00;"))</f>
        <v>+22…-05</v>
      </c>
      <c r="AD767" s="14" t="str">
        <f>IF(X767="","?","")</f>
        <v>?</v>
      </c>
      <c r="AE767" s="15" t="str">
        <f>_xlfn.CONCAT(AA767,"…",TEXT(P767,"+00;-00;+00;"),"...",TEXT(Q767,"+00;-00;+00;"))</f>
        <v>410-221…+22...-05</v>
      </c>
      <c r="AF767" s="13" t="str">
        <f>_xlfn.CONCAT(R767,"…",TEXT(P767,"+00;-00;+00;"),"...",TEXT(Q767,"+00;-00;+00;"))</f>
        <v>WWDWW…+22...-05</v>
      </c>
    </row>
    <row r="768" spans="1:32" x14ac:dyDescent="0.25">
      <c r="A768" s="12" t="s">
        <v>1081</v>
      </c>
      <c r="B768" s="13" t="s">
        <v>59</v>
      </c>
      <c r="C768" s="14">
        <v>2</v>
      </c>
      <c r="D768" s="13" t="s">
        <v>743</v>
      </c>
      <c r="E768" s="13" t="s">
        <v>746</v>
      </c>
      <c r="F768" s="15" t="s">
        <v>29</v>
      </c>
      <c r="G768" s="15" t="s">
        <v>30</v>
      </c>
      <c r="H768" s="15" t="s">
        <v>31</v>
      </c>
      <c r="I768" s="15" t="s">
        <v>31</v>
      </c>
      <c r="J768" s="15" t="s">
        <v>31</v>
      </c>
      <c r="K768" s="15" t="s">
        <v>30</v>
      </c>
      <c r="L768" s="15" t="s">
        <v>31</v>
      </c>
      <c r="M768" s="15" t="s">
        <v>31</v>
      </c>
      <c r="N768" s="15" t="s">
        <v>30</v>
      </c>
      <c r="O768" s="15" t="s">
        <v>29</v>
      </c>
      <c r="P768" s="18">
        <v>0</v>
      </c>
      <c r="Q768" s="18">
        <v>-4</v>
      </c>
      <c r="R768" s="15" t="str">
        <f>_xlfn.CONCAT(F768,G768,H768,I768,J768)</f>
        <v>DWLLL</v>
      </c>
      <c r="S768" s="13" t="str">
        <f>_xlfn.CONCAT(K768,L768,M768,N768,O768)</f>
        <v>WLLWD</v>
      </c>
      <c r="T768" s="13" t="str">
        <f>_xlfn.CONCAT(R768,"***",S768)</f>
        <v>DWLLL***WLLWD</v>
      </c>
      <c r="U768" s="19">
        <f>(P768-Q768)</f>
        <v>4</v>
      </c>
      <c r="V768" s="14"/>
      <c r="W768" s="14"/>
      <c r="X768" s="20" t="str">
        <f>IF(ISBLANK(V768),"",IF(V768&gt;W768,"1",IF(V768&lt;W768,"2",IF(V768=W768,"X"))))</f>
        <v/>
      </c>
      <c r="Y768" s="23" t="str">
        <f>COUNTIF(F768:J768, "W")&amp;COUNTIF(F768:J768, "d")&amp;COUNTIF(F768:J768, "l")</f>
        <v>113</v>
      </c>
      <c r="Z768" s="13" t="str">
        <f>COUNTIF(K768:O768, "W")&amp;COUNTIF(K768:O768, "d")&amp;COUNTIF(K768:O768, "l")</f>
        <v>212</v>
      </c>
      <c r="AA768" s="23" t="str">
        <f>_xlfn.CONCAT(Y768,"-",Z768)</f>
        <v>113-212</v>
      </c>
      <c r="AB768" s="15" t="str">
        <f>_xlfn.CONCAT(AA768,"…",TEXT(U768,"+00;-00;+00;"))</f>
        <v>113-212…+04</v>
      </c>
      <c r="AC768" s="23" t="str">
        <f>_xlfn.CONCAT(TEXT(P768,"+00;-00;+00;"),"…",TEXT(Q768,"+00;-00;+00;"))</f>
        <v>+00…-04</v>
      </c>
      <c r="AD768" s="14" t="str">
        <f>IF(X768="","?","")</f>
        <v>?</v>
      </c>
      <c r="AE768" s="15" t="str">
        <f>_xlfn.CONCAT(AA768,"…",TEXT(P768,"+00;-00;+00;"),"...",TEXT(Q768,"+00;-00;+00;"))</f>
        <v>113-212…+00...-04</v>
      </c>
      <c r="AF768" s="13" t="str">
        <f>_xlfn.CONCAT(R768,"…",TEXT(P768,"+00;-00;+00;"),"...",TEXT(Q768,"+00;-00;+00;"))</f>
        <v>DWLLL…+00...-04</v>
      </c>
    </row>
    <row r="769" spans="1:32" x14ac:dyDescent="0.25">
      <c r="A769" s="12" t="s">
        <v>1081</v>
      </c>
      <c r="B769" s="13" t="s">
        <v>59</v>
      </c>
      <c r="C769" s="14">
        <v>1</v>
      </c>
      <c r="D769" s="13" t="s">
        <v>729</v>
      </c>
      <c r="E769" s="13" t="s">
        <v>85</v>
      </c>
      <c r="F769" s="15" t="s">
        <v>30</v>
      </c>
      <c r="G769" s="15" t="s">
        <v>29</v>
      </c>
      <c r="H769" s="15" t="s">
        <v>30</v>
      </c>
      <c r="I769" s="15" t="s">
        <v>30</v>
      </c>
      <c r="J769" s="15" t="s">
        <v>31</v>
      </c>
      <c r="K769" s="15" t="s">
        <v>29</v>
      </c>
      <c r="L769" s="15" t="s">
        <v>29</v>
      </c>
      <c r="M769" s="15" t="s">
        <v>30</v>
      </c>
      <c r="N769" s="15" t="s">
        <v>29</v>
      </c>
      <c r="O769" s="15" t="s">
        <v>30</v>
      </c>
      <c r="P769" s="18">
        <v>11</v>
      </c>
      <c r="Q769" s="18">
        <v>2</v>
      </c>
      <c r="R769" s="15" t="str">
        <f>_xlfn.CONCAT(F769,G769,H769,I769,J769)</f>
        <v>WDWWL</v>
      </c>
      <c r="S769" s="13" t="str">
        <f>_xlfn.CONCAT(K769,L769,M769,N769,O769)</f>
        <v>DDWDW</v>
      </c>
      <c r="T769" s="13" t="str">
        <f>_xlfn.CONCAT(R769,"***",S769)</f>
        <v>WDWWL***DDWDW</v>
      </c>
      <c r="U769" s="19">
        <f>(P769-Q769)</f>
        <v>9</v>
      </c>
      <c r="V769" s="14"/>
      <c r="W769" s="14"/>
      <c r="X769" s="20" t="str">
        <f>IF(ISBLANK(V769),"",IF(V769&gt;W769,"1",IF(V769&lt;W769,"2",IF(V769=W769,"X"))))</f>
        <v/>
      </c>
      <c r="Y769" s="23" t="str">
        <f>COUNTIF(F769:J769, "W")&amp;COUNTIF(F769:J769, "d")&amp;COUNTIF(F769:J769, "l")</f>
        <v>311</v>
      </c>
      <c r="Z769" s="13" t="str">
        <f>COUNTIF(K769:O769, "W")&amp;COUNTIF(K769:O769, "d")&amp;COUNTIF(K769:O769, "l")</f>
        <v>230</v>
      </c>
      <c r="AA769" s="23" t="str">
        <f>_xlfn.CONCAT(Y769,"-",Z769)</f>
        <v>311-230</v>
      </c>
      <c r="AB769" s="15" t="str">
        <f>_xlfn.CONCAT(AA769,"…",TEXT(U769,"+00;-00;+00;"))</f>
        <v>311-230…+09</v>
      </c>
      <c r="AC769" s="23" t="str">
        <f>_xlfn.CONCAT(TEXT(P769,"+00;-00;+00;"),"…",TEXT(Q769,"+00;-00;+00;"))</f>
        <v>+11…+02</v>
      </c>
      <c r="AD769" s="14" t="str">
        <f>IF(X769="","?","")</f>
        <v>?</v>
      </c>
      <c r="AE769" s="15" t="str">
        <f>_xlfn.CONCAT(AA769,"…",TEXT(P769,"+00;-00;+00;"),"...",TEXT(Q769,"+00;-00;+00;"))</f>
        <v>311-230…+11...+02</v>
      </c>
      <c r="AF769" s="13" t="str">
        <f>_xlfn.CONCAT(R769,"…",TEXT(P769,"+00;-00;+00;"),"...",TEXT(Q769,"+00;-00;+00;"))</f>
        <v>WDWWL…+11...+02</v>
      </c>
    </row>
    <row r="770" spans="1:32" x14ac:dyDescent="0.25">
      <c r="A770" s="12" t="s">
        <v>1097</v>
      </c>
      <c r="B770" s="13" t="s">
        <v>208</v>
      </c>
      <c r="C770" s="14">
        <v>3</v>
      </c>
      <c r="D770" s="13" t="s">
        <v>1171</v>
      </c>
      <c r="E770" s="13" t="s">
        <v>1172</v>
      </c>
      <c r="F770" s="15" t="s">
        <v>29</v>
      </c>
      <c r="G770" s="15" t="s">
        <v>29</v>
      </c>
      <c r="H770" s="15" t="s">
        <v>29</v>
      </c>
      <c r="I770" s="15" t="s">
        <v>29</v>
      </c>
      <c r="J770" s="15" t="s">
        <v>31</v>
      </c>
      <c r="K770" s="15" t="s">
        <v>31</v>
      </c>
      <c r="L770" s="15" t="s">
        <v>31</v>
      </c>
      <c r="M770" s="15" t="s">
        <v>30</v>
      </c>
      <c r="N770" s="15" t="s">
        <v>31</v>
      </c>
      <c r="O770" s="15" t="s">
        <v>31</v>
      </c>
      <c r="P770" s="18">
        <v>0</v>
      </c>
      <c r="Q770" s="18">
        <v>-2</v>
      </c>
      <c r="R770" s="15" t="str">
        <f>_xlfn.CONCAT(F770,G770,H770,I770,J770)</f>
        <v>DDDDL</v>
      </c>
      <c r="S770" s="13" t="str">
        <f>_xlfn.CONCAT(K770,L770,M770,N770,O770)</f>
        <v>LLWLL</v>
      </c>
      <c r="T770" s="13" t="str">
        <f>_xlfn.CONCAT(R770,"***",S770)</f>
        <v>DDDDL***LLWLL</v>
      </c>
      <c r="U770" s="19">
        <f>(P770-Q770)</f>
        <v>2</v>
      </c>
      <c r="V770" s="14"/>
      <c r="W770" s="14"/>
      <c r="X770" s="20" t="str">
        <f>IF(ISBLANK(V770),"",IF(V770&gt;W770,"1",IF(V770&lt;W770,"2",IF(V770=W770,"X"))))</f>
        <v/>
      </c>
      <c r="Y770" s="23" t="str">
        <f>COUNTIF(F770:J770, "W")&amp;COUNTIF(F770:J770, "d")&amp;COUNTIF(F770:J770, "l")</f>
        <v>041</v>
      </c>
      <c r="Z770" s="13" t="str">
        <f>COUNTIF(K770:O770, "W")&amp;COUNTIF(K770:O770, "d")&amp;COUNTIF(K770:O770, "l")</f>
        <v>104</v>
      </c>
      <c r="AA770" s="23" t="str">
        <f>_xlfn.CONCAT(Y770,"-",Z770)</f>
        <v>041-104</v>
      </c>
      <c r="AB770" s="15" t="str">
        <f>_xlfn.CONCAT(AA770,"…",TEXT(U770,"+00;-00;+00;"))</f>
        <v>041-104…+02</v>
      </c>
      <c r="AC770" s="23" t="str">
        <f>_xlfn.CONCAT(TEXT(P770,"+00;-00;+00;"),"…",TEXT(Q770,"+00;-00;+00;"))</f>
        <v>+00…-02</v>
      </c>
      <c r="AD770" s="14" t="str">
        <f>IF(X770="","?","")</f>
        <v>?</v>
      </c>
      <c r="AE770" s="15" t="str">
        <f>_xlfn.CONCAT(AA770,"…",TEXT(P770,"+00;-00;+00;"),"...",TEXT(Q770,"+00;-00;+00;"))</f>
        <v>041-104…+00...-02</v>
      </c>
      <c r="AF770" s="13" t="str">
        <f>_xlfn.CONCAT(R770,"…",TEXT(P770,"+00;-00;+00;"),"...",TEXT(Q770,"+00;-00;+00;"))</f>
        <v>DDDDL…+00...-02</v>
      </c>
    </row>
    <row r="771" spans="1:32" x14ac:dyDescent="0.25">
      <c r="A771" s="12" t="s">
        <v>1097</v>
      </c>
      <c r="B771" s="13" t="s">
        <v>250</v>
      </c>
      <c r="C771" s="14">
        <v>1</v>
      </c>
      <c r="D771" s="13" t="s">
        <v>999</v>
      </c>
      <c r="E771" s="13" t="s">
        <v>994</v>
      </c>
      <c r="F771" s="15" t="s">
        <v>31</v>
      </c>
      <c r="G771" s="15" t="s">
        <v>30</v>
      </c>
      <c r="H771" s="15" t="s">
        <v>31</v>
      </c>
      <c r="I771" s="15" t="s">
        <v>31</v>
      </c>
      <c r="J771" s="15" t="s">
        <v>31</v>
      </c>
      <c r="K771" s="15" t="s">
        <v>31</v>
      </c>
      <c r="L771" s="15" t="s">
        <v>30</v>
      </c>
      <c r="M771" s="15" t="s">
        <v>31</v>
      </c>
      <c r="N771" s="15" t="s">
        <v>31</v>
      </c>
      <c r="O771" s="15" t="s">
        <v>29</v>
      </c>
      <c r="P771" s="18">
        <v>-20</v>
      </c>
      <c r="Q771" s="18">
        <v>-6</v>
      </c>
      <c r="R771" s="15" t="str">
        <f>_xlfn.CONCAT(F771,G771,H771,I771,J771)</f>
        <v>LWLLL</v>
      </c>
      <c r="S771" s="13" t="str">
        <f>_xlfn.CONCAT(K771,L771,M771,N771,O771)</f>
        <v>LWLLD</v>
      </c>
      <c r="T771" s="13" t="str">
        <f>_xlfn.CONCAT(R771,"***",S771)</f>
        <v>LWLLL***LWLLD</v>
      </c>
      <c r="U771" s="19">
        <f>(P771-Q771)</f>
        <v>-14</v>
      </c>
      <c r="V771" s="14"/>
      <c r="W771" s="14"/>
      <c r="X771" s="20" t="str">
        <f>IF(ISBLANK(V771),"",IF(V771&gt;W771,"1",IF(V771&lt;W771,"2",IF(V771=W771,"X"))))</f>
        <v/>
      </c>
      <c r="Y771" s="23" t="str">
        <f>COUNTIF(F771:J771, "W")&amp;COUNTIF(F771:J771, "d")&amp;COUNTIF(F771:J771, "l")</f>
        <v>104</v>
      </c>
      <c r="Z771" s="13" t="str">
        <f>COUNTIF(K771:O771, "W")&amp;COUNTIF(K771:O771, "d")&amp;COUNTIF(K771:O771, "l")</f>
        <v>113</v>
      </c>
      <c r="AA771" s="23" t="str">
        <f>_xlfn.CONCAT(Y771,"-",Z771)</f>
        <v>104-113</v>
      </c>
      <c r="AB771" s="15" t="str">
        <f>_xlfn.CONCAT(AA771,"…",TEXT(U771,"+00;-00;+00;"))</f>
        <v>104-113…-14</v>
      </c>
      <c r="AC771" s="23" t="str">
        <f>_xlfn.CONCAT(TEXT(P771,"+00;-00;+00;"),"…",TEXT(Q771,"+00;-00;+00;"))</f>
        <v>-20…-06</v>
      </c>
      <c r="AD771" s="14" t="str">
        <f>IF(X771="","?","")</f>
        <v>?</v>
      </c>
      <c r="AE771" s="15" t="str">
        <f>_xlfn.CONCAT(AA771,"…",TEXT(P771,"+00;-00;+00;"),"...",TEXT(Q771,"+00;-00;+00;"))</f>
        <v>104-113…-20...-06</v>
      </c>
      <c r="AF771" s="13" t="str">
        <f>_xlfn.CONCAT(R771,"…",TEXT(P771,"+00;-00;+00;"),"...",TEXT(Q771,"+00;-00;+00;"))</f>
        <v>LWLLL…-20...-06</v>
      </c>
    </row>
    <row r="772" spans="1:32" x14ac:dyDescent="0.25">
      <c r="A772" s="12" t="s">
        <v>1097</v>
      </c>
      <c r="B772" s="13" t="s">
        <v>250</v>
      </c>
      <c r="C772" s="14">
        <v>2</v>
      </c>
      <c r="D772" s="13" t="s">
        <v>652</v>
      </c>
      <c r="E772" s="13" t="s">
        <v>863</v>
      </c>
      <c r="F772" s="15" t="s">
        <v>30</v>
      </c>
      <c r="G772" s="15" t="s">
        <v>31</v>
      </c>
      <c r="H772" s="15" t="s">
        <v>29</v>
      </c>
      <c r="I772" s="15" t="s">
        <v>31</v>
      </c>
      <c r="J772" s="15" t="s">
        <v>30</v>
      </c>
      <c r="K772" s="15" t="s">
        <v>31</v>
      </c>
      <c r="L772" s="15" t="s">
        <v>30</v>
      </c>
      <c r="M772" s="15" t="s">
        <v>30</v>
      </c>
      <c r="N772" s="15" t="s">
        <v>30</v>
      </c>
      <c r="O772" s="15" t="s">
        <v>31</v>
      </c>
      <c r="P772" s="18">
        <v>-2</v>
      </c>
      <c r="Q772" s="18">
        <v>1</v>
      </c>
      <c r="R772" s="15" t="str">
        <f>_xlfn.CONCAT(F772,G772,H772,I772,J772)</f>
        <v>WLDLW</v>
      </c>
      <c r="S772" s="13" t="str">
        <f>_xlfn.CONCAT(K772,L772,M772,N772,O772)</f>
        <v>LWWWL</v>
      </c>
      <c r="T772" s="13" t="str">
        <f>_xlfn.CONCAT(R772,"***",S772)</f>
        <v>WLDLW***LWWWL</v>
      </c>
      <c r="U772" s="19">
        <f>(P772-Q772)</f>
        <v>-3</v>
      </c>
      <c r="V772" s="14"/>
      <c r="W772" s="14"/>
      <c r="X772" s="20" t="str">
        <f>IF(ISBLANK(V772),"",IF(V772&gt;W772,"1",IF(V772&lt;W772,"2",IF(V772=W772,"X"))))</f>
        <v/>
      </c>
      <c r="Y772" s="23" t="str">
        <f>COUNTIF(F772:J772, "W")&amp;COUNTIF(F772:J772, "d")&amp;COUNTIF(F772:J772, "l")</f>
        <v>212</v>
      </c>
      <c r="Z772" s="13" t="str">
        <f>COUNTIF(K772:O772, "W")&amp;COUNTIF(K772:O772, "d")&amp;COUNTIF(K772:O772, "l")</f>
        <v>302</v>
      </c>
      <c r="AA772" s="23" t="str">
        <f>_xlfn.CONCAT(Y772,"-",Z772)</f>
        <v>212-302</v>
      </c>
      <c r="AB772" s="15" t="str">
        <f>_xlfn.CONCAT(AA772,"…",TEXT(U772,"+00;-00;+00;"))</f>
        <v>212-302…-03</v>
      </c>
      <c r="AC772" s="23" t="str">
        <f>_xlfn.CONCAT(TEXT(P772,"+00;-00;+00;"),"…",TEXT(Q772,"+00;-00;+00;"))</f>
        <v>-02…+01</v>
      </c>
      <c r="AD772" s="14" t="str">
        <f>IF(X772="","?","")</f>
        <v>?</v>
      </c>
      <c r="AE772" s="15" t="str">
        <f>_xlfn.CONCAT(AA772,"…",TEXT(P772,"+00;-00;+00;"),"...",TEXT(Q772,"+00;-00;+00;"))</f>
        <v>212-302…-02...+01</v>
      </c>
      <c r="AF772" s="13" t="str">
        <f>_xlfn.CONCAT(R772,"…",TEXT(P772,"+00;-00;+00;"),"...",TEXT(Q772,"+00;-00;+00;"))</f>
        <v>WLDLW…-02...+01</v>
      </c>
    </row>
    <row r="773" spans="1:32" x14ac:dyDescent="0.25">
      <c r="A773" s="12" t="s">
        <v>1097</v>
      </c>
      <c r="B773" s="13" t="s">
        <v>401</v>
      </c>
      <c r="C773" s="14">
        <v>1</v>
      </c>
      <c r="D773" s="13" t="s">
        <v>790</v>
      </c>
      <c r="E773" s="13" t="s">
        <v>796</v>
      </c>
      <c r="F773" s="15" t="s">
        <v>30</v>
      </c>
      <c r="G773" s="15" t="s">
        <v>30</v>
      </c>
      <c r="H773" s="15" t="s">
        <v>31</v>
      </c>
      <c r="I773" s="15" t="s">
        <v>30</v>
      </c>
      <c r="J773" s="15" t="s">
        <v>31</v>
      </c>
      <c r="K773" s="15" t="s">
        <v>30</v>
      </c>
      <c r="L773" s="15" t="s">
        <v>30</v>
      </c>
      <c r="M773" s="15" t="s">
        <v>30</v>
      </c>
      <c r="N773" s="15" t="s">
        <v>30</v>
      </c>
      <c r="O773" s="15" t="s">
        <v>31</v>
      </c>
      <c r="P773" s="18">
        <v>-5</v>
      </c>
      <c r="Q773" s="18">
        <v>19</v>
      </c>
      <c r="R773" s="15" t="str">
        <f>_xlfn.CONCAT(F773,G773,H773,I773,J773)</f>
        <v>WWLWL</v>
      </c>
      <c r="S773" s="13" t="str">
        <f>_xlfn.CONCAT(K773,L773,M773,N773,O773)</f>
        <v>WWWWL</v>
      </c>
      <c r="T773" s="13" t="str">
        <f>_xlfn.CONCAT(R773,"***",S773)</f>
        <v>WWLWL***WWWWL</v>
      </c>
      <c r="U773" s="19">
        <f>(P773-Q773)</f>
        <v>-24</v>
      </c>
      <c r="V773" s="14"/>
      <c r="W773" s="14"/>
      <c r="X773" s="20" t="str">
        <f>IF(ISBLANK(V773),"",IF(V773&gt;W773,"1",IF(V773&lt;W773,"2",IF(V773=W773,"X"))))</f>
        <v/>
      </c>
      <c r="Y773" s="23" t="str">
        <f>COUNTIF(F773:J773, "W")&amp;COUNTIF(F773:J773, "d")&amp;COUNTIF(F773:J773, "l")</f>
        <v>302</v>
      </c>
      <c r="Z773" s="13" t="str">
        <f>COUNTIF(K773:O773, "W")&amp;COUNTIF(K773:O773, "d")&amp;COUNTIF(K773:O773, "l")</f>
        <v>401</v>
      </c>
      <c r="AA773" s="23" t="str">
        <f>_xlfn.CONCAT(Y773,"-",Z773)</f>
        <v>302-401</v>
      </c>
      <c r="AB773" s="15" t="str">
        <f>_xlfn.CONCAT(AA773,"…",TEXT(U773,"+00;-00;+00;"))</f>
        <v>302-401…-24</v>
      </c>
      <c r="AC773" s="23" t="str">
        <f>_xlfn.CONCAT(TEXT(P773,"+00;-00;+00;"),"…",TEXT(Q773,"+00;-00;+00;"))</f>
        <v>-05…+19</v>
      </c>
      <c r="AD773" s="14" t="str">
        <f>IF(X773="","?","")</f>
        <v>?</v>
      </c>
      <c r="AE773" s="15" t="str">
        <f>_xlfn.CONCAT(AA773,"…",TEXT(P773,"+00;-00;+00;"),"...",TEXT(Q773,"+00;-00;+00;"))</f>
        <v>302-401…-05...+19</v>
      </c>
      <c r="AF773" s="13" t="str">
        <f>_xlfn.CONCAT(R773,"…",TEXT(P773,"+00;-00;+00;"),"...",TEXT(Q773,"+00;-00;+00;"))</f>
        <v>WWLWL…-05...+19</v>
      </c>
    </row>
    <row r="774" spans="1:32" x14ac:dyDescent="0.25">
      <c r="A774" s="12" t="s">
        <v>1097</v>
      </c>
      <c r="B774" s="13" t="s">
        <v>250</v>
      </c>
      <c r="C774" s="14">
        <v>1</v>
      </c>
      <c r="D774" s="13" t="s">
        <v>1103</v>
      </c>
      <c r="E774" s="13" t="s">
        <v>1104</v>
      </c>
      <c r="F774" s="15" t="s">
        <v>29</v>
      </c>
      <c r="G774" s="15" t="s">
        <v>29</v>
      </c>
      <c r="H774" s="15" t="s">
        <v>30</v>
      </c>
      <c r="I774" s="15" t="s">
        <v>30</v>
      </c>
      <c r="J774" s="15" t="s">
        <v>30</v>
      </c>
      <c r="K774" s="15" t="s">
        <v>29</v>
      </c>
      <c r="L774" s="15" t="s">
        <v>31</v>
      </c>
      <c r="M774" s="15" t="s">
        <v>30</v>
      </c>
      <c r="N774" s="15" t="s">
        <v>31</v>
      </c>
      <c r="O774" s="15" t="s">
        <v>30</v>
      </c>
      <c r="P774" s="18">
        <v>4</v>
      </c>
      <c r="Q774" s="18">
        <v>-13</v>
      </c>
      <c r="R774" s="15" t="str">
        <f>_xlfn.CONCAT(F774,G774,H774,I774,J774)</f>
        <v>DDWWW</v>
      </c>
      <c r="S774" s="13" t="str">
        <f>_xlfn.CONCAT(K774,L774,M774,N774,O774)</f>
        <v>DLWLW</v>
      </c>
      <c r="T774" s="13" t="str">
        <f>_xlfn.CONCAT(R774,"***",S774)</f>
        <v>DDWWW***DLWLW</v>
      </c>
      <c r="U774" s="19">
        <f>(P774-Q774)</f>
        <v>17</v>
      </c>
      <c r="V774" s="14"/>
      <c r="W774" s="14"/>
      <c r="X774" s="20" t="str">
        <f>IF(ISBLANK(V774),"",IF(V774&gt;W774,"1",IF(V774&lt;W774,"2",IF(V774=W774,"X"))))</f>
        <v/>
      </c>
      <c r="Y774" s="23" t="str">
        <f>COUNTIF(F774:J774, "W")&amp;COUNTIF(F774:J774, "d")&amp;COUNTIF(F774:J774, "l")</f>
        <v>320</v>
      </c>
      <c r="Z774" s="13" t="str">
        <f>COUNTIF(K774:O774, "W")&amp;COUNTIF(K774:O774, "d")&amp;COUNTIF(K774:O774, "l")</f>
        <v>212</v>
      </c>
      <c r="AA774" s="23" t="str">
        <f>_xlfn.CONCAT(Y774,"-",Z774)</f>
        <v>320-212</v>
      </c>
      <c r="AB774" s="15" t="str">
        <f>_xlfn.CONCAT(AA774,"…",TEXT(U774,"+00;-00;+00;"))</f>
        <v>320-212…+17</v>
      </c>
      <c r="AC774" s="23" t="str">
        <f>_xlfn.CONCAT(TEXT(P774,"+00;-00;+00;"),"…",TEXT(Q774,"+00;-00;+00;"))</f>
        <v>+04…-13</v>
      </c>
      <c r="AD774" s="14" t="str">
        <f>IF(X774="","?","")</f>
        <v>?</v>
      </c>
      <c r="AE774" s="15" t="str">
        <f>_xlfn.CONCAT(AA774,"…",TEXT(P774,"+00;-00;+00;"),"...",TEXT(Q774,"+00;-00;+00;"))</f>
        <v>320-212…+04...-13</v>
      </c>
      <c r="AF774" s="13" t="str">
        <f>_xlfn.CONCAT(R774,"…",TEXT(P774,"+00;-00;+00;"),"...",TEXT(Q774,"+00;-00;+00;"))</f>
        <v>DDWWW…+04...-13</v>
      </c>
    </row>
    <row r="775" spans="1:32" x14ac:dyDescent="0.25">
      <c r="A775" s="12" t="s">
        <v>1129</v>
      </c>
      <c r="B775" s="13" t="s">
        <v>295</v>
      </c>
      <c r="C775" s="14">
        <v>1</v>
      </c>
      <c r="D775" s="13" t="s">
        <v>307</v>
      </c>
      <c r="E775" s="13" t="s">
        <v>684</v>
      </c>
      <c r="F775" s="15" t="s">
        <v>30</v>
      </c>
      <c r="G775" s="15" t="s">
        <v>30</v>
      </c>
      <c r="H775" s="15" t="s">
        <v>30</v>
      </c>
      <c r="I775" s="15" t="s">
        <v>30</v>
      </c>
      <c r="J775" s="15" t="s">
        <v>29</v>
      </c>
      <c r="K775" s="15" t="s">
        <v>31</v>
      </c>
      <c r="L775" s="15" t="s">
        <v>30</v>
      </c>
      <c r="M775" s="15" t="s">
        <v>31</v>
      </c>
      <c r="N775" s="15" t="s">
        <v>31</v>
      </c>
      <c r="O775" s="15" t="s">
        <v>30</v>
      </c>
      <c r="P775" s="18">
        <v>5</v>
      </c>
      <c r="Q775" s="18">
        <v>-5</v>
      </c>
      <c r="R775" s="15" t="str">
        <f>_xlfn.CONCAT(F775,G775,H775,I775,J775)</f>
        <v>WWWWD</v>
      </c>
      <c r="S775" s="13" t="str">
        <f>_xlfn.CONCAT(K775,L775,M775,N775,O775)</f>
        <v>LWLLW</v>
      </c>
      <c r="T775" s="13" t="str">
        <f>_xlfn.CONCAT(R775,"***",S775)</f>
        <v>WWWWD***LWLLW</v>
      </c>
      <c r="U775" s="19">
        <f>(P775-Q775)</f>
        <v>10</v>
      </c>
      <c r="V775" s="14"/>
      <c r="W775" s="14"/>
      <c r="X775" s="20" t="str">
        <f>IF(ISBLANK(V775),"",IF(V775&gt;W775,"1",IF(V775&lt;W775,"2",IF(V775=W775,"X"))))</f>
        <v/>
      </c>
      <c r="Y775" s="23" t="str">
        <f>COUNTIF(F775:J775, "W")&amp;COUNTIF(F775:J775, "d")&amp;COUNTIF(F775:J775, "l")</f>
        <v>410</v>
      </c>
      <c r="Z775" s="13" t="str">
        <f>COUNTIF(K775:O775, "W")&amp;COUNTIF(K775:O775, "d")&amp;COUNTIF(K775:O775, "l")</f>
        <v>203</v>
      </c>
      <c r="AA775" s="23" t="str">
        <f>_xlfn.CONCAT(Y775,"-",Z775)</f>
        <v>410-203</v>
      </c>
      <c r="AB775" s="15" t="str">
        <f>_xlfn.CONCAT(AA775,"…",TEXT(U775,"+00;-00;+00;"))</f>
        <v>410-203…+10</v>
      </c>
      <c r="AC775" s="23" t="str">
        <f>_xlfn.CONCAT(TEXT(P775,"+00;-00;+00;"),"…",TEXT(Q775,"+00;-00;+00;"))</f>
        <v>+05…-05</v>
      </c>
      <c r="AD775" s="14" t="str">
        <f>IF(X775="","?","")</f>
        <v>?</v>
      </c>
      <c r="AE775" s="15" t="str">
        <f>_xlfn.CONCAT(AA775,"…",TEXT(P775,"+00;-00;+00;"),"...",TEXT(Q775,"+00;-00;+00;"))</f>
        <v>410-203…+05...-05</v>
      </c>
      <c r="AF775" s="13" t="str">
        <f>_xlfn.CONCAT(R775,"…",TEXT(P775,"+00;-00;+00;"),"...",TEXT(Q775,"+00;-00;+00;"))</f>
        <v>WWWWD…+05...-05</v>
      </c>
    </row>
    <row r="776" spans="1:32" x14ac:dyDescent="0.25">
      <c r="A776" s="12" t="s">
        <v>1182</v>
      </c>
      <c r="B776" s="13" t="s">
        <v>167</v>
      </c>
      <c r="C776" s="14">
        <v>1</v>
      </c>
      <c r="D776" s="13" t="s">
        <v>1185</v>
      </c>
      <c r="E776" s="13" t="s">
        <v>697</v>
      </c>
      <c r="F776" s="15" t="s">
        <v>30</v>
      </c>
      <c r="G776" s="15" t="s">
        <v>30</v>
      </c>
      <c r="H776" s="15" t="s">
        <v>30</v>
      </c>
      <c r="I776" s="15" t="s">
        <v>29</v>
      </c>
      <c r="J776" s="15" t="s">
        <v>31</v>
      </c>
      <c r="K776" s="15" t="s">
        <v>29</v>
      </c>
      <c r="L776" s="15" t="s">
        <v>31</v>
      </c>
      <c r="M776" s="15" t="s">
        <v>29</v>
      </c>
      <c r="N776" s="15" t="s">
        <v>31</v>
      </c>
      <c r="O776" s="15" t="s">
        <v>30</v>
      </c>
      <c r="P776" s="18">
        <v>6</v>
      </c>
      <c r="Q776" s="18">
        <v>-12</v>
      </c>
      <c r="R776" s="15" t="str">
        <f>_xlfn.CONCAT(F776,G776,H776,I776,J776)</f>
        <v>WWWDL</v>
      </c>
      <c r="S776" s="13" t="str">
        <f>_xlfn.CONCAT(K776,L776,M776,N776,O776)</f>
        <v>DLDLW</v>
      </c>
      <c r="T776" s="13" t="str">
        <f>_xlfn.CONCAT(R776,"***",S776)</f>
        <v>WWWDL***DLDLW</v>
      </c>
      <c r="U776" s="19">
        <f>(P776-Q776)</f>
        <v>18</v>
      </c>
      <c r="V776" s="14"/>
      <c r="W776" s="14"/>
      <c r="X776" s="20" t="str">
        <f>IF(ISBLANK(V776),"",IF(V776&gt;W776,"1",IF(V776&lt;W776,"2",IF(V776=W776,"X"))))</f>
        <v/>
      </c>
      <c r="Y776" s="23" t="str">
        <f>COUNTIF(F776:J776, "W")&amp;COUNTIF(F776:J776, "d")&amp;COUNTIF(F776:J776, "l")</f>
        <v>311</v>
      </c>
      <c r="Z776" s="13" t="str">
        <f>COUNTIF(K776:O776, "W")&amp;COUNTIF(K776:O776, "d")&amp;COUNTIF(K776:O776, "l")</f>
        <v>122</v>
      </c>
      <c r="AA776" s="23" t="str">
        <f>_xlfn.CONCAT(Y776,"-",Z776)</f>
        <v>311-122</v>
      </c>
      <c r="AB776" s="15" t="str">
        <f>_xlfn.CONCAT(AA776,"…",TEXT(U776,"+00;-00;+00;"))</f>
        <v>311-122…+18</v>
      </c>
      <c r="AC776" s="23" t="str">
        <f>_xlfn.CONCAT(TEXT(P776,"+00;-00;+00;"),"…",TEXT(Q776,"+00;-00;+00;"))</f>
        <v>+06…-12</v>
      </c>
      <c r="AD776" s="14" t="str">
        <f>IF(X776="","?","")</f>
        <v>?</v>
      </c>
      <c r="AE776" s="15" t="str">
        <f>_xlfn.CONCAT(AA776,"…",TEXT(P776,"+00;-00;+00;"),"...",TEXT(Q776,"+00;-00;+00;"))</f>
        <v>311-122…+06...-12</v>
      </c>
      <c r="AF776" s="13" t="str">
        <f>_xlfn.CONCAT(R776,"…",TEXT(P776,"+00;-00;+00;"),"...",TEXT(Q776,"+00;-00;+00;"))</f>
        <v>WWWDL…+06...-12</v>
      </c>
    </row>
    <row r="777" spans="1:32" x14ac:dyDescent="0.25">
      <c r="A777" s="12" t="s">
        <v>1066</v>
      </c>
      <c r="B777" s="13" t="s">
        <v>414</v>
      </c>
      <c r="C777" s="14">
        <v>1</v>
      </c>
      <c r="D777" s="13" t="s">
        <v>843</v>
      </c>
      <c r="E777" s="13" t="s">
        <v>840</v>
      </c>
      <c r="F777" s="15" t="s">
        <v>29</v>
      </c>
      <c r="G777" s="15" t="s">
        <v>30</v>
      </c>
      <c r="H777" s="15" t="s">
        <v>29</v>
      </c>
      <c r="I777" s="15" t="s">
        <v>29</v>
      </c>
      <c r="J777" s="15" t="s">
        <v>30</v>
      </c>
      <c r="K777" s="15" t="s">
        <v>29</v>
      </c>
      <c r="L777" s="15" t="s">
        <v>29</v>
      </c>
      <c r="M777" s="15" t="s">
        <v>29</v>
      </c>
      <c r="N777" s="15" t="s">
        <v>31</v>
      </c>
      <c r="O777" s="15" t="s">
        <v>31</v>
      </c>
      <c r="P777" s="18">
        <v>6</v>
      </c>
      <c r="Q777" s="18">
        <v>-6</v>
      </c>
      <c r="R777" s="15" t="str">
        <f>_xlfn.CONCAT(F777,G777,H777,I777,J777)</f>
        <v>DWDDW</v>
      </c>
      <c r="S777" s="13" t="str">
        <f>_xlfn.CONCAT(K777,L777,M777,N777,O777)</f>
        <v>DDDLL</v>
      </c>
      <c r="T777" s="13" t="str">
        <f>_xlfn.CONCAT(R777,"***",S777)</f>
        <v>DWDDW***DDDLL</v>
      </c>
      <c r="U777" s="19">
        <f>(P777-Q777)</f>
        <v>12</v>
      </c>
      <c r="V777" s="14"/>
      <c r="W777" s="14"/>
      <c r="X777" s="20" t="str">
        <f>IF(ISBLANK(V777),"",IF(V777&gt;W777,"1",IF(V777&lt;W777,"2",IF(V777=W777,"X"))))</f>
        <v/>
      </c>
      <c r="Y777" s="23" t="str">
        <f>COUNTIF(F777:J777, "W")&amp;COUNTIF(F777:J777, "d")&amp;COUNTIF(F777:J777, "l")</f>
        <v>230</v>
      </c>
      <c r="Z777" s="13" t="str">
        <f>COUNTIF(K777:O777, "W")&amp;COUNTIF(K777:O777, "d")&amp;COUNTIF(K777:O777, "l")</f>
        <v>032</v>
      </c>
      <c r="AA777" s="23" t="str">
        <f>_xlfn.CONCAT(Y777,"-",Z777)</f>
        <v>230-032</v>
      </c>
      <c r="AB777" s="15" t="str">
        <f>_xlfn.CONCAT(AA777,"…",TEXT(U777,"+00;-00;+00;"))</f>
        <v>230-032…+12</v>
      </c>
      <c r="AC777" s="23" t="str">
        <f>_xlfn.CONCAT(TEXT(P777,"+00;-00;+00;"),"…",TEXT(Q777,"+00;-00;+00;"))</f>
        <v>+06…-06</v>
      </c>
      <c r="AD777" s="14" t="str">
        <f>IF(X777="","?","")</f>
        <v>?</v>
      </c>
      <c r="AE777" s="15" t="str">
        <f>_xlfn.CONCAT(AA777,"…",TEXT(P777,"+00;-00;+00;"),"...",TEXT(Q777,"+00;-00;+00;"))</f>
        <v>230-032…+06...-06</v>
      </c>
      <c r="AF777" s="13" t="str">
        <f>_xlfn.CONCAT(R777,"…",TEXT(P777,"+00;-00;+00;"),"...",TEXT(Q777,"+00;-00;+00;"))</f>
        <v>DWDDW…+06...-06</v>
      </c>
    </row>
    <row r="778" spans="1:32" x14ac:dyDescent="0.25">
      <c r="A778" s="12" t="s">
        <v>1066</v>
      </c>
      <c r="B778" s="13" t="s">
        <v>208</v>
      </c>
      <c r="C778" s="14">
        <v>1</v>
      </c>
      <c r="D778" s="13" t="s">
        <v>218</v>
      </c>
      <c r="E778" s="13" t="s">
        <v>877</v>
      </c>
      <c r="F778" s="15" t="s">
        <v>29</v>
      </c>
      <c r="G778" s="15" t="s">
        <v>29</v>
      </c>
      <c r="H778" s="15" t="s">
        <v>30</v>
      </c>
      <c r="I778" s="15" t="s">
        <v>30</v>
      </c>
      <c r="J778" s="15" t="s">
        <v>30</v>
      </c>
      <c r="K778" s="15" t="s">
        <v>30</v>
      </c>
      <c r="L778" s="15" t="s">
        <v>31</v>
      </c>
      <c r="M778" s="15" t="s">
        <v>31</v>
      </c>
      <c r="N778" s="15" t="s">
        <v>29</v>
      </c>
      <c r="O778" s="15" t="s">
        <v>30</v>
      </c>
      <c r="P778" s="18">
        <v>27</v>
      </c>
      <c r="Q778" s="18">
        <v>8</v>
      </c>
      <c r="R778" s="15" t="str">
        <f>_xlfn.CONCAT(F778,G778,H778,I778,J778)</f>
        <v>DDWWW</v>
      </c>
      <c r="S778" s="13" t="str">
        <f>_xlfn.CONCAT(K778,L778,M778,N778,O778)</f>
        <v>WLLDW</v>
      </c>
      <c r="T778" s="13" t="str">
        <f>_xlfn.CONCAT(R778,"***",S778)</f>
        <v>DDWWW***WLLDW</v>
      </c>
      <c r="U778" s="19">
        <f>(P778-Q778)</f>
        <v>19</v>
      </c>
      <c r="V778" s="14"/>
      <c r="W778" s="14"/>
      <c r="X778" s="20" t="str">
        <f>IF(ISBLANK(V778),"",IF(V778&gt;W778,"1",IF(V778&lt;W778,"2",IF(V778=W778,"X"))))</f>
        <v/>
      </c>
      <c r="Y778" s="23" t="str">
        <f>COUNTIF(F778:J778, "W")&amp;COUNTIF(F778:J778, "d")&amp;COUNTIF(F778:J778, "l")</f>
        <v>320</v>
      </c>
      <c r="Z778" s="13" t="str">
        <f>COUNTIF(K778:O778, "W")&amp;COUNTIF(K778:O778, "d")&amp;COUNTIF(K778:O778, "l")</f>
        <v>212</v>
      </c>
      <c r="AA778" s="23" t="str">
        <f>_xlfn.CONCAT(Y778,"-",Z778)</f>
        <v>320-212</v>
      </c>
      <c r="AB778" s="15" t="str">
        <f>_xlfn.CONCAT(AA778,"…",TEXT(U778,"+00;-00;+00;"))</f>
        <v>320-212…+19</v>
      </c>
      <c r="AC778" s="23" t="str">
        <f>_xlfn.CONCAT(TEXT(P778,"+00;-00;+00;"),"…",TEXT(Q778,"+00;-00;+00;"))</f>
        <v>+27…+08</v>
      </c>
      <c r="AD778" s="14" t="str">
        <f>IF(X778="","?","")</f>
        <v>?</v>
      </c>
      <c r="AE778" s="15" t="str">
        <f>_xlfn.CONCAT(AA778,"…",TEXT(P778,"+00;-00;+00;"),"...",TEXT(Q778,"+00;-00;+00;"))</f>
        <v>320-212…+27...+08</v>
      </c>
      <c r="AF778" s="13" t="str">
        <f>_xlfn.CONCAT(R778,"…",TEXT(P778,"+00;-00;+00;"),"...",TEXT(Q778,"+00;-00;+00;"))</f>
        <v>DDWWW…+27...+08</v>
      </c>
    </row>
    <row r="779" spans="1:32" x14ac:dyDescent="0.25">
      <c r="A779" s="12" t="s">
        <v>1066</v>
      </c>
      <c r="B779" s="13" t="s">
        <v>7</v>
      </c>
      <c r="C779" s="14" t="s">
        <v>8</v>
      </c>
      <c r="D779" s="13" t="s">
        <v>19</v>
      </c>
      <c r="E779" s="13" t="s">
        <v>27</v>
      </c>
      <c r="F779" s="15" t="s">
        <v>30</v>
      </c>
      <c r="G779" s="15" t="s">
        <v>30</v>
      </c>
      <c r="H779" s="15" t="s">
        <v>30</v>
      </c>
      <c r="I779" s="15" t="s">
        <v>29</v>
      </c>
      <c r="J779" s="15" t="s">
        <v>30</v>
      </c>
      <c r="K779" s="15" t="s">
        <v>31</v>
      </c>
      <c r="L779" s="15" t="s">
        <v>30</v>
      </c>
      <c r="M779" s="15" t="s">
        <v>31</v>
      </c>
      <c r="N779" s="15" t="s">
        <v>30</v>
      </c>
      <c r="O779" s="15" t="s">
        <v>30</v>
      </c>
      <c r="P779" s="18">
        <v>21</v>
      </c>
      <c r="Q779" s="18">
        <v>-3</v>
      </c>
      <c r="R779" s="15" t="str">
        <f>_xlfn.CONCAT(F779,G779,H779,I779,J779)</f>
        <v>WWWDW</v>
      </c>
      <c r="S779" s="13" t="str">
        <f>_xlfn.CONCAT(K779,L779,M779,N779,O779)</f>
        <v>LWLWW</v>
      </c>
      <c r="T779" s="13" t="str">
        <f>_xlfn.CONCAT(R779,"***",S779)</f>
        <v>WWWDW***LWLWW</v>
      </c>
      <c r="U779" s="19">
        <f>(P779-Q779)</f>
        <v>24</v>
      </c>
      <c r="V779" s="14"/>
      <c r="W779" s="14"/>
      <c r="X779" s="20" t="str">
        <f>IF(ISBLANK(V779),"",IF(V779&gt;W779,"1",IF(V779&lt;W779,"2",IF(V779=W779,"X"))))</f>
        <v/>
      </c>
      <c r="Y779" s="23" t="str">
        <f>COUNTIF(F779:J779, "W")&amp;COUNTIF(F779:J779, "d")&amp;COUNTIF(F779:J779, "l")</f>
        <v>410</v>
      </c>
      <c r="Z779" s="13" t="str">
        <f>COUNTIF(K779:O779, "W")&amp;COUNTIF(K779:O779, "d")&amp;COUNTIF(K779:O779, "l")</f>
        <v>302</v>
      </c>
      <c r="AA779" s="23" t="str">
        <f>_xlfn.CONCAT(Y779,"-",Z779)</f>
        <v>410-302</v>
      </c>
      <c r="AB779" s="15" t="str">
        <f>_xlfn.CONCAT(AA779,"…",TEXT(U779,"+00;-00;+00;"))</f>
        <v>410-302…+24</v>
      </c>
      <c r="AC779" s="23" t="str">
        <f>_xlfn.CONCAT(TEXT(P779,"+00;-00;+00;"),"…",TEXT(Q779,"+00;-00;+00;"))</f>
        <v>+21…-03</v>
      </c>
      <c r="AD779" s="14" t="str">
        <f>IF(X779="","?","")</f>
        <v>?</v>
      </c>
      <c r="AE779" s="15" t="str">
        <f>_xlfn.CONCAT(AA779,"…",TEXT(P779,"+00;-00;+00;"),"...",TEXT(Q779,"+00;-00;+00;"))</f>
        <v>410-302…+21...-03</v>
      </c>
      <c r="AF779" s="13" t="str">
        <f>_xlfn.CONCAT(R779,"…",TEXT(P779,"+00;-00;+00;"),"...",TEXT(Q779,"+00;-00;+00;"))</f>
        <v>WWWDW…+21...-03</v>
      </c>
    </row>
    <row r="780" spans="1:32" x14ac:dyDescent="0.25">
      <c r="A780" s="12" t="s">
        <v>1117</v>
      </c>
      <c r="B780" s="13" t="s">
        <v>117</v>
      </c>
      <c r="C780" s="14" t="s">
        <v>0</v>
      </c>
      <c r="D780" s="13" t="s">
        <v>636</v>
      </c>
      <c r="E780" s="13" t="s">
        <v>138</v>
      </c>
      <c r="F780" s="15" t="s">
        <v>30</v>
      </c>
      <c r="G780" s="15" t="s">
        <v>29</v>
      </c>
      <c r="H780" s="15" t="s">
        <v>30</v>
      </c>
      <c r="I780" s="15" t="s">
        <v>31</v>
      </c>
      <c r="J780" s="15" t="s">
        <v>30</v>
      </c>
      <c r="K780" s="15" t="s">
        <v>29</v>
      </c>
      <c r="L780" s="15" t="s">
        <v>30</v>
      </c>
      <c r="M780" s="15" t="s">
        <v>30</v>
      </c>
      <c r="N780" s="15" t="s">
        <v>29</v>
      </c>
      <c r="O780" s="15" t="s">
        <v>30</v>
      </c>
      <c r="P780" s="18">
        <v>6</v>
      </c>
      <c r="Q780" s="18">
        <v>11</v>
      </c>
      <c r="R780" s="15" t="str">
        <f>_xlfn.CONCAT(F780,G780,H780,I780,J780)</f>
        <v>WDWLW</v>
      </c>
      <c r="S780" s="13" t="str">
        <f>_xlfn.CONCAT(K780,L780,M780,N780,O780)</f>
        <v>DWWDW</v>
      </c>
      <c r="T780" s="13" t="str">
        <f>_xlfn.CONCAT(R780,"***",S780)</f>
        <v>WDWLW***DWWDW</v>
      </c>
      <c r="U780" s="19">
        <f>(P780-Q780)</f>
        <v>-5</v>
      </c>
      <c r="V780" s="14"/>
      <c r="W780" s="14"/>
      <c r="X780" s="20" t="str">
        <f>IF(ISBLANK(V780),"",IF(V780&gt;W780,"1",IF(V780&lt;W780,"2",IF(V780=W780,"X"))))</f>
        <v/>
      </c>
      <c r="Y780" s="23" t="str">
        <f>COUNTIF(F780:J780, "W")&amp;COUNTIF(F780:J780, "d")&amp;COUNTIF(F780:J780, "l")</f>
        <v>311</v>
      </c>
      <c r="Z780" s="13" t="str">
        <f>COUNTIF(K780:O780, "W")&amp;COUNTIF(K780:O780, "d")&amp;COUNTIF(K780:O780, "l")</f>
        <v>320</v>
      </c>
      <c r="AA780" s="23" t="str">
        <f>_xlfn.CONCAT(Y780,"-",Z780)</f>
        <v>311-320</v>
      </c>
      <c r="AB780" s="15" t="str">
        <f>_xlfn.CONCAT(AA780,"…",TEXT(U780,"+00;-00;+00;"))</f>
        <v>311-320…-05</v>
      </c>
      <c r="AC780" s="23" t="str">
        <f>_xlfn.CONCAT(TEXT(P780,"+00;-00;+00;"),"…",TEXT(Q780,"+00;-00;+00;"))</f>
        <v>+06…+11</v>
      </c>
      <c r="AD780" s="14" t="str">
        <f>IF(X780="","?","")</f>
        <v>?</v>
      </c>
      <c r="AE780" s="15" t="str">
        <f>_xlfn.CONCAT(AA780,"…",TEXT(P780,"+00;-00;+00;"),"...",TEXT(Q780,"+00;-00;+00;"))</f>
        <v>311-320…+06...+11</v>
      </c>
      <c r="AF780" s="13" t="str">
        <f>_xlfn.CONCAT(R780,"…",TEXT(P780,"+00;-00;+00;"),"...",TEXT(Q780,"+00;-00;+00;"))</f>
        <v>WDWLW…+06...+11</v>
      </c>
    </row>
    <row r="781" spans="1:32" x14ac:dyDescent="0.25">
      <c r="A781" s="27" t="s">
        <v>1117</v>
      </c>
      <c r="B781" s="28" t="s">
        <v>1198</v>
      </c>
      <c r="C781" s="29">
        <v>1</v>
      </c>
      <c r="D781" s="28" t="s">
        <v>1213</v>
      </c>
      <c r="E781" s="28" t="s">
        <v>1214</v>
      </c>
      <c r="F781" s="30" t="s">
        <v>30</v>
      </c>
      <c r="G781" s="30" t="s">
        <v>30</v>
      </c>
      <c r="H781" s="30" t="s">
        <v>30</v>
      </c>
      <c r="I781" s="30" t="s">
        <v>30</v>
      </c>
      <c r="J781" s="30" t="s">
        <v>30</v>
      </c>
      <c r="K781" s="30" t="s">
        <v>31</v>
      </c>
      <c r="L781" s="30" t="s">
        <v>29</v>
      </c>
      <c r="M781" s="30" t="s">
        <v>30</v>
      </c>
      <c r="N781" s="30" t="s">
        <v>30</v>
      </c>
      <c r="O781" s="30" t="s">
        <v>31</v>
      </c>
      <c r="P781" s="31">
        <v>33</v>
      </c>
      <c r="Q781" s="31">
        <v>-3</v>
      </c>
      <c r="R781" s="32" t="str">
        <f>_xlfn.CONCAT(F781,G781,H781,I781,J781)</f>
        <v>WWWWW</v>
      </c>
      <c r="S781" s="33" t="str">
        <f>_xlfn.CONCAT(K781,L781,M781,N781,O781)</f>
        <v>LDWWL</v>
      </c>
      <c r="T781" s="33" t="str">
        <f>_xlfn.CONCAT(R781,"***",S781)</f>
        <v>WWWWW***LDWWL</v>
      </c>
      <c r="U781" s="34">
        <f>(P781-Q781)</f>
        <v>36</v>
      </c>
      <c r="V781" s="29"/>
      <c r="W781" s="29"/>
      <c r="X781" s="35" t="str">
        <f>IF(ISBLANK(V781),"",IF(V781&gt;W781,"1",IF(V781&lt;W781,"2",IF(V781=W781,"X"))))</f>
        <v/>
      </c>
      <c r="Y781" s="36" t="str">
        <f>COUNTIF(F781:J781, "W")&amp;COUNTIF(F781:J781, "d")&amp;COUNTIF(F781:J781, "l")</f>
        <v>500</v>
      </c>
      <c r="Z781" s="37" t="str">
        <f>COUNTIF(K781:O781, "W")&amp;COUNTIF(K781:O781, "d")&amp;COUNTIF(K781:O781, "l")</f>
        <v>212</v>
      </c>
      <c r="AA781" s="38" t="str">
        <f>_xlfn.CONCAT(Y781,"-",Z781)</f>
        <v>500-212</v>
      </c>
      <c r="AB781" s="30" t="str">
        <f>_xlfn.CONCAT(AA781,"…",TEXT(U781,"+00;-00;+00;"))</f>
        <v>500-212…+36</v>
      </c>
      <c r="AC781" s="36" t="str">
        <f>_xlfn.CONCAT(TEXT(P781,"+00;-00;+00;"),"…",TEXT(Q781,"+00;-00;+00;"))</f>
        <v>+33…-03</v>
      </c>
      <c r="AD781" s="39" t="str">
        <f>IF(X781="","?","")</f>
        <v>?</v>
      </c>
      <c r="AE781" s="40" t="str">
        <f>_xlfn.CONCAT(AA781,"…",TEXT(P781,"+00;-00;+00;"),"...",TEXT(Q781,"+00;-00;+00;"))</f>
        <v>500-212…+33...-03</v>
      </c>
      <c r="AF781" s="33" t="str">
        <f>_xlfn.CONCAT(R781,"…",TEXT(P781,"+00;-00;+00;"),"...",TEXT(Q781,"+00;-00;+00;"))</f>
        <v>WWWWW…+33...-03</v>
      </c>
    </row>
    <row r="782" spans="1:32" x14ac:dyDescent="0.25">
      <c r="A782" s="12" t="s">
        <v>1082</v>
      </c>
      <c r="B782" s="13" t="s">
        <v>59</v>
      </c>
      <c r="C782" s="14">
        <v>2</v>
      </c>
      <c r="D782" s="13" t="s">
        <v>1090</v>
      </c>
      <c r="E782" s="13" t="s">
        <v>1013</v>
      </c>
      <c r="F782" s="15" t="s">
        <v>31</v>
      </c>
      <c r="G782" s="15" t="s">
        <v>31</v>
      </c>
      <c r="H782" s="15" t="s">
        <v>31</v>
      </c>
      <c r="I782" s="15" t="s">
        <v>30</v>
      </c>
      <c r="J782" s="15" t="s">
        <v>29</v>
      </c>
      <c r="K782" s="15" t="s">
        <v>29</v>
      </c>
      <c r="L782" s="15" t="s">
        <v>30</v>
      </c>
      <c r="M782" s="15" t="s">
        <v>31</v>
      </c>
      <c r="N782" s="15" t="s">
        <v>31</v>
      </c>
      <c r="O782" s="15" t="s">
        <v>31</v>
      </c>
      <c r="P782" s="18">
        <v>-12</v>
      </c>
      <c r="Q782" s="18">
        <v>0</v>
      </c>
      <c r="R782" s="15" t="str">
        <f>_xlfn.CONCAT(F782,G782,H782,I782,J782)</f>
        <v>LLLWD</v>
      </c>
      <c r="S782" s="13" t="str">
        <f>_xlfn.CONCAT(K782,L782,M782,N782,O782)</f>
        <v>DWLLL</v>
      </c>
      <c r="T782" s="13" t="str">
        <f>_xlfn.CONCAT(R782,"***",S782)</f>
        <v>LLLWD***DWLLL</v>
      </c>
      <c r="U782" s="19">
        <f>(P782-Q782)</f>
        <v>-12</v>
      </c>
      <c r="V782" s="14"/>
      <c r="W782" s="14"/>
      <c r="X782" s="20" t="str">
        <f>IF(ISBLANK(V782),"",IF(V782&gt;W782,"1",IF(V782&lt;W782,"2",IF(V782=W782,"X"))))</f>
        <v/>
      </c>
      <c r="Y782" s="23" t="str">
        <f>COUNTIF(F782:J782, "W")&amp;COUNTIF(F782:J782, "d")&amp;COUNTIF(F782:J782, "l")</f>
        <v>113</v>
      </c>
      <c r="Z782" s="13" t="str">
        <f>COUNTIF(K782:O782, "W")&amp;COUNTIF(K782:O782, "d")&amp;COUNTIF(K782:O782, "l")</f>
        <v>113</v>
      </c>
      <c r="AA782" s="23" t="str">
        <f>_xlfn.CONCAT(Y782,"-",Z782)</f>
        <v>113-113</v>
      </c>
      <c r="AB782" s="15" t="str">
        <f>_xlfn.CONCAT(AA782,"…",TEXT(U782,"+00;-00;+00;"))</f>
        <v>113-113…-12</v>
      </c>
      <c r="AC782" s="23" t="str">
        <f>_xlfn.CONCAT(TEXT(P782,"+00;-00;+00;"),"…",TEXT(Q782,"+00;-00;+00;"))</f>
        <v>-12…+00</v>
      </c>
      <c r="AD782" s="14" t="str">
        <f>IF(X782="","?","")</f>
        <v>?</v>
      </c>
      <c r="AE782" s="15" t="str">
        <f>_xlfn.CONCAT(AA782,"…",TEXT(P782,"+00;-00;+00;"),"...",TEXT(Q782,"+00;-00;+00;"))</f>
        <v>113-113…-12...+00</v>
      </c>
      <c r="AF782" s="13" t="str">
        <f>_xlfn.CONCAT(R782,"…",TEXT(P782,"+00;-00;+00;"),"...",TEXT(Q782,"+00;-00;+00;"))</f>
        <v>LLLWD…-12...+00</v>
      </c>
    </row>
    <row r="783" spans="1:32" x14ac:dyDescent="0.25">
      <c r="A783" s="12" t="s">
        <v>1082</v>
      </c>
      <c r="B783" s="13" t="s">
        <v>401</v>
      </c>
      <c r="C783" s="14">
        <v>1</v>
      </c>
      <c r="D783" s="13" t="s">
        <v>411</v>
      </c>
      <c r="E783" s="13" t="s">
        <v>404</v>
      </c>
      <c r="F783" s="15" t="s">
        <v>31</v>
      </c>
      <c r="G783" s="15" t="s">
        <v>29</v>
      </c>
      <c r="H783" s="15" t="s">
        <v>31</v>
      </c>
      <c r="I783" s="15" t="s">
        <v>31</v>
      </c>
      <c r="J783" s="15" t="s">
        <v>30</v>
      </c>
      <c r="K783" s="15" t="s">
        <v>29</v>
      </c>
      <c r="L783" s="15" t="s">
        <v>30</v>
      </c>
      <c r="M783" s="15" t="s">
        <v>29</v>
      </c>
      <c r="N783" s="15" t="s">
        <v>31</v>
      </c>
      <c r="O783" s="15" t="s">
        <v>29</v>
      </c>
      <c r="P783" s="18">
        <v>-9</v>
      </c>
      <c r="Q783" s="18">
        <v>-10</v>
      </c>
      <c r="R783" s="15" t="str">
        <f>_xlfn.CONCAT(F783,G783,H783,I783,J783)</f>
        <v>LDLLW</v>
      </c>
      <c r="S783" s="13" t="str">
        <f>_xlfn.CONCAT(K783,L783,M783,N783,O783)</f>
        <v>DWDLD</v>
      </c>
      <c r="T783" s="13" t="str">
        <f>_xlfn.CONCAT(R783,"***",S783)</f>
        <v>LDLLW***DWDLD</v>
      </c>
      <c r="U783" s="19">
        <f>(P783-Q783)</f>
        <v>1</v>
      </c>
      <c r="V783" s="14"/>
      <c r="W783" s="14"/>
      <c r="X783" s="20" t="str">
        <f>IF(ISBLANK(V783),"",IF(V783&gt;W783,"1",IF(V783&lt;W783,"2",IF(V783=W783,"X"))))</f>
        <v/>
      </c>
      <c r="Y783" s="23" t="str">
        <f>COUNTIF(F783:J783, "W")&amp;COUNTIF(F783:J783, "d")&amp;COUNTIF(F783:J783, "l")</f>
        <v>113</v>
      </c>
      <c r="Z783" s="13" t="str">
        <f>COUNTIF(K783:O783, "W")&amp;COUNTIF(K783:O783, "d")&amp;COUNTIF(K783:O783, "l")</f>
        <v>131</v>
      </c>
      <c r="AA783" s="23" t="str">
        <f>_xlfn.CONCAT(Y783,"-",Z783)</f>
        <v>113-131</v>
      </c>
      <c r="AB783" s="15" t="str">
        <f>_xlfn.CONCAT(AA783,"…",TEXT(U783,"+00;-00;+00;"))</f>
        <v>113-131…+01</v>
      </c>
      <c r="AC783" s="23" t="str">
        <f>_xlfn.CONCAT(TEXT(P783,"+00;-00;+00;"),"…",TEXT(Q783,"+00;-00;+00;"))</f>
        <v>-09…-10</v>
      </c>
      <c r="AD783" s="14" t="str">
        <f>IF(X783="","?","")</f>
        <v>?</v>
      </c>
      <c r="AE783" s="15" t="str">
        <f>_xlfn.CONCAT(AA783,"…",TEXT(P783,"+00;-00;+00;"),"...",TEXT(Q783,"+00;-00;+00;"))</f>
        <v>113-131…-09...-10</v>
      </c>
      <c r="AF783" s="13" t="str">
        <f>_xlfn.CONCAT(R783,"…",TEXT(P783,"+00;-00;+00;"),"...",TEXT(Q783,"+00;-00;+00;"))</f>
        <v>LDLLW…-09...-10</v>
      </c>
    </row>
    <row r="784" spans="1:32" x14ac:dyDescent="0.25">
      <c r="A784" s="12" t="s">
        <v>1082</v>
      </c>
      <c r="B784" s="13" t="s">
        <v>59</v>
      </c>
      <c r="C784" s="14">
        <v>1</v>
      </c>
      <c r="D784" s="13" t="s">
        <v>721</v>
      </c>
      <c r="E784" s="13" t="s">
        <v>81</v>
      </c>
      <c r="F784" s="15" t="s">
        <v>30</v>
      </c>
      <c r="G784" s="15" t="s">
        <v>30</v>
      </c>
      <c r="H784" s="15" t="s">
        <v>31</v>
      </c>
      <c r="I784" s="15" t="s">
        <v>29</v>
      </c>
      <c r="J784" s="15" t="s">
        <v>30</v>
      </c>
      <c r="K784" s="15" t="s">
        <v>29</v>
      </c>
      <c r="L784" s="15" t="s">
        <v>29</v>
      </c>
      <c r="M784" s="15" t="s">
        <v>29</v>
      </c>
      <c r="N784" s="15" t="s">
        <v>31</v>
      </c>
      <c r="O784" s="15" t="s">
        <v>31</v>
      </c>
      <c r="P784" s="18">
        <v>1</v>
      </c>
      <c r="Q784" s="18">
        <v>-10</v>
      </c>
      <c r="R784" s="15" t="str">
        <f>_xlfn.CONCAT(F784,G784,H784,I784,J784)</f>
        <v>WWLDW</v>
      </c>
      <c r="S784" s="13" t="str">
        <f>_xlfn.CONCAT(K784,L784,M784,N784,O784)</f>
        <v>DDDLL</v>
      </c>
      <c r="T784" s="13" t="str">
        <f>_xlfn.CONCAT(R784,"***",S784)</f>
        <v>WWLDW***DDDLL</v>
      </c>
      <c r="U784" s="19">
        <f>(P784-Q784)</f>
        <v>11</v>
      </c>
      <c r="V784" s="14"/>
      <c r="W784" s="14"/>
      <c r="X784" s="20" t="str">
        <f>IF(ISBLANK(V784),"",IF(V784&gt;W784,"1",IF(V784&lt;W784,"2",IF(V784=W784,"X"))))</f>
        <v/>
      </c>
      <c r="Y784" s="23" t="str">
        <f>COUNTIF(F784:J784, "W")&amp;COUNTIF(F784:J784, "d")&amp;COUNTIF(F784:J784, "l")</f>
        <v>311</v>
      </c>
      <c r="Z784" s="13" t="str">
        <f>COUNTIF(K784:O784, "W")&amp;COUNTIF(K784:O784, "d")&amp;COUNTIF(K784:O784, "l")</f>
        <v>032</v>
      </c>
      <c r="AA784" s="23" t="str">
        <f>_xlfn.CONCAT(Y784,"-",Z784)</f>
        <v>311-032</v>
      </c>
      <c r="AB784" s="15" t="str">
        <f>_xlfn.CONCAT(AA784,"…",TEXT(U784,"+00;-00;+00;"))</f>
        <v>311-032…+11</v>
      </c>
      <c r="AC784" s="23" t="str">
        <f>_xlfn.CONCAT(TEXT(P784,"+00;-00;+00;"),"…",TEXT(Q784,"+00;-00;+00;"))</f>
        <v>+01…-10</v>
      </c>
      <c r="AD784" s="14" t="str">
        <f>IF(X784="","?","")</f>
        <v>?</v>
      </c>
      <c r="AE784" s="15" t="str">
        <f>_xlfn.CONCAT(AA784,"…",TEXT(P784,"+00;-00;+00;"),"...",TEXT(Q784,"+00;-00;+00;"))</f>
        <v>311-032…+01...-10</v>
      </c>
      <c r="AF784" s="13" t="str">
        <f>_xlfn.CONCAT(R784,"…",TEXT(P784,"+00;-00;+00;"),"...",TEXT(Q784,"+00;-00;+00;"))</f>
        <v>WWLDW…+01...-10</v>
      </c>
    </row>
    <row r="785" spans="1:32" x14ac:dyDescent="0.25">
      <c r="A785" s="12" t="s">
        <v>1082</v>
      </c>
      <c r="B785" s="13" t="s">
        <v>318</v>
      </c>
      <c r="C785" s="14">
        <v>1</v>
      </c>
      <c r="D785" s="13" t="s">
        <v>759</v>
      </c>
      <c r="E785" s="13" t="s">
        <v>757</v>
      </c>
      <c r="F785" s="15" t="s">
        <v>30</v>
      </c>
      <c r="G785" s="15" t="s">
        <v>30</v>
      </c>
      <c r="H785" s="15" t="s">
        <v>29</v>
      </c>
      <c r="I785" s="15" t="s">
        <v>30</v>
      </c>
      <c r="J785" s="15" t="s">
        <v>30</v>
      </c>
      <c r="K785" s="15" t="s">
        <v>29</v>
      </c>
      <c r="L785" s="15" t="s">
        <v>30</v>
      </c>
      <c r="M785" s="15" t="s">
        <v>30</v>
      </c>
      <c r="N785" s="15" t="s">
        <v>29</v>
      </c>
      <c r="O785" s="15" t="s">
        <v>30</v>
      </c>
      <c r="P785" s="18">
        <v>20</v>
      </c>
      <c r="Q785" s="18">
        <v>15</v>
      </c>
      <c r="R785" s="15" t="str">
        <f>_xlfn.CONCAT(F785,G785,H785,I785,J785)</f>
        <v>WWDWW</v>
      </c>
      <c r="S785" s="13" t="str">
        <f>_xlfn.CONCAT(K785,L785,M785,N785,O785)</f>
        <v>DWWDW</v>
      </c>
      <c r="T785" s="13" t="str">
        <f>_xlfn.CONCAT(R785,"***",S785)</f>
        <v>WWDWW***DWWDW</v>
      </c>
      <c r="U785" s="19">
        <f>(P785-Q785)</f>
        <v>5</v>
      </c>
      <c r="V785" s="14"/>
      <c r="W785" s="14"/>
      <c r="X785" s="20" t="str">
        <f>IF(ISBLANK(V785),"",IF(V785&gt;W785,"1",IF(V785&lt;W785,"2",IF(V785=W785,"X"))))</f>
        <v/>
      </c>
      <c r="Y785" s="23" t="str">
        <f>COUNTIF(F785:J785, "W")&amp;COUNTIF(F785:J785, "d")&amp;COUNTIF(F785:J785, "l")</f>
        <v>410</v>
      </c>
      <c r="Z785" s="13" t="str">
        <f>COUNTIF(K785:O785, "W")&amp;COUNTIF(K785:O785, "d")&amp;COUNTIF(K785:O785, "l")</f>
        <v>320</v>
      </c>
      <c r="AA785" s="23" t="str">
        <f>_xlfn.CONCAT(Y785,"-",Z785)</f>
        <v>410-320</v>
      </c>
      <c r="AB785" s="15" t="str">
        <f>_xlfn.CONCAT(AA785,"…",TEXT(U785,"+00;-00;+00;"))</f>
        <v>410-320…+05</v>
      </c>
      <c r="AC785" s="23" t="str">
        <f>_xlfn.CONCAT(TEXT(P785,"+00;-00;+00;"),"…",TEXT(Q785,"+00;-00;+00;"))</f>
        <v>+20…+15</v>
      </c>
      <c r="AD785" s="14" t="str">
        <f>IF(X785="","?","")</f>
        <v>?</v>
      </c>
      <c r="AE785" s="15" t="str">
        <f>_xlfn.CONCAT(AA785,"…",TEXT(P785,"+00;-00;+00;"),"...",TEXT(Q785,"+00;-00;+00;"))</f>
        <v>410-320…+20...+15</v>
      </c>
      <c r="AF785" s="13" t="str">
        <f>_xlfn.CONCAT(R785,"…",TEXT(P785,"+00;-00;+00;"),"...",TEXT(Q785,"+00;-00;+00;"))</f>
        <v>WWDWW…+20...+15</v>
      </c>
    </row>
    <row r="786" spans="1:32" x14ac:dyDescent="0.25">
      <c r="A786" s="12" t="s">
        <v>1098</v>
      </c>
      <c r="B786" s="13" t="s">
        <v>250</v>
      </c>
      <c r="C786" s="14">
        <v>2</v>
      </c>
      <c r="D786" s="13" t="s">
        <v>1111</v>
      </c>
      <c r="E786" s="13" t="s">
        <v>281</v>
      </c>
      <c r="F786" s="15" t="s">
        <v>31</v>
      </c>
      <c r="G786" s="15" t="s">
        <v>31</v>
      </c>
      <c r="H786" s="15" t="s">
        <v>29</v>
      </c>
      <c r="I786" s="15" t="s">
        <v>29</v>
      </c>
      <c r="J786" s="15" t="s">
        <v>30</v>
      </c>
      <c r="K786" s="15" t="s">
        <v>29</v>
      </c>
      <c r="L786" s="15" t="s">
        <v>31</v>
      </c>
      <c r="M786" s="15" t="s">
        <v>30</v>
      </c>
      <c r="N786" s="15" t="s">
        <v>29</v>
      </c>
      <c r="O786" s="15" t="s">
        <v>31</v>
      </c>
      <c r="P786" s="18">
        <v>-7</v>
      </c>
      <c r="Q786" s="18">
        <v>2</v>
      </c>
      <c r="R786" s="15" t="str">
        <f>_xlfn.CONCAT(F786,G786,H786,I786,J786)</f>
        <v>LLDDW</v>
      </c>
      <c r="S786" s="13" t="str">
        <f>_xlfn.CONCAT(K786,L786,M786,N786,O786)</f>
        <v>DLWDL</v>
      </c>
      <c r="T786" s="13" t="str">
        <f>_xlfn.CONCAT(R786,"***",S786)</f>
        <v>LLDDW***DLWDL</v>
      </c>
      <c r="U786" s="19">
        <f>(P786-Q786)</f>
        <v>-9</v>
      </c>
      <c r="V786" s="14"/>
      <c r="W786" s="14"/>
      <c r="X786" s="20" t="str">
        <f>IF(ISBLANK(V786),"",IF(V786&gt;W786,"1",IF(V786&lt;W786,"2",IF(V786=W786,"X"))))</f>
        <v/>
      </c>
      <c r="Y786" s="23" t="str">
        <f>COUNTIF(F786:J786, "W")&amp;COUNTIF(F786:J786, "d")&amp;COUNTIF(F786:J786, "l")</f>
        <v>122</v>
      </c>
      <c r="Z786" s="13" t="str">
        <f>COUNTIF(K786:O786, "W")&amp;COUNTIF(K786:O786, "d")&amp;COUNTIF(K786:O786, "l")</f>
        <v>122</v>
      </c>
      <c r="AA786" s="23" t="str">
        <f>_xlfn.CONCAT(Y786,"-",Z786)</f>
        <v>122-122</v>
      </c>
      <c r="AB786" s="15" t="str">
        <f>_xlfn.CONCAT(AA786,"…",TEXT(U786,"+00;-00;+00;"))</f>
        <v>122-122…-09</v>
      </c>
      <c r="AC786" s="23" t="str">
        <f>_xlfn.CONCAT(TEXT(P786,"+00;-00;+00;"),"…",TEXT(Q786,"+00;-00;+00;"))</f>
        <v>-07…+02</v>
      </c>
      <c r="AD786" s="14" t="str">
        <f>IF(X786="","?","")</f>
        <v>?</v>
      </c>
      <c r="AE786" s="15" t="str">
        <f>_xlfn.CONCAT(AA786,"…",TEXT(P786,"+00;-00;+00;"),"...",TEXT(Q786,"+00;-00;+00;"))</f>
        <v>122-122…-07...+02</v>
      </c>
      <c r="AF786" s="13" t="str">
        <f>_xlfn.CONCAT(R786,"…",TEXT(P786,"+00;-00;+00;"),"...",TEXT(Q786,"+00;-00;+00;"))</f>
        <v>LLDDW…-07...+02</v>
      </c>
    </row>
    <row r="787" spans="1:32" x14ac:dyDescent="0.25">
      <c r="A787" s="12" t="s">
        <v>1098</v>
      </c>
      <c r="B787" s="13" t="s">
        <v>250</v>
      </c>
      <c r="C787" s="14">
        <v>1</v>
      </c>
      <c r="D787" s="13" t="s">
        <v>1105</v>
      </c>
      <c r="E787" s="13" t="s">
        <v>653</v>
      </c>
      <c r="F787" s="15" t="s">
        <v>29</v>
      </c>
      <c r="G787" s="15" t="s">
        <v>31</v>
      </c>
      <c r="H787" s="15" t="s">
        <v>29</v>
      </c>
      <c r="I787" s="15" t="s">
        <v>30</v>
      </c>
      <c r="J787" s="15" t="s">
        <v>31</v>
      </c>
      <c r="K787" s="15" t="s">
        <v>30</v>
      </c>
      <c r="L787" s="15" t="s">
        <v>31</v>
      </c>
      <c r="M787" s="15" t="s">
        <v>30</v>
      </c>
      <c r="N787" s="15" t="s">
        <v>30</v>
      </c>
      <c r="O787" s="15" t="s">
        <v>31</v>
      </c>
      <c r="P787" s="18">
        <v>-2</v>
      </c>
      <c r="Q787" s="18">
        <v>1</v>
      </c>
      <c r="R787" s="15" t="str">
        <f>_xlfn.CONCAT(F787,G787,H787,I787,J787)</f>
        <v>DLDWL</v>
      </c>
      <c r="S787" s="13" t="str">
        <f>_xlfn.CONCAT(K787,L787,M787,N787,O787)</f>
        <v>WLWWL</v>
      </c>
      <c r="T787" s="13" t="str">
        <f>_xlfn.CONCAT(R787,"***",S787)</f>
        <v>DLDWL***WLWWL</v>
      </c>
      <c r="U787" s="19">
        <f>(P787-Q787)</f>
        <v>-3</v>
      </c>
      <c r="V787" s="14"/>
      <c r="W787" s="14"/>
      <c r="X787" s="20" t="str">
        <f>IF(ISBLANK(V787),"",IF(V787&gt;W787,"1",IF(V787&lt;W787,"2",IF(V787=W787,"X"))))</f>
        <v/>
      </c>
      <c r="Y787" s="23" t="str">
        <f>COUNTIF(F787:J787, "W")&amp;COUNTIF(F787:J787, "d")&amp;COUNTIF(F787:J787, "l")</f>
        <v>122</v>
      </c>
      <c r="Z787" s="13" t="str">
        <f>COUNTIF(K787:O787, "W")&amp;COUNTIF(K787:O787, "d")&amp;COUNTIF(K787:O787, "l")</f>
        <v>302</v>
      </c>
      <c r="AA787" s="23" t="str">
        <f>_xlfn.CONCAT(Y787,"-",Z787)</f>
        <v>122-302</v>
      </c>
      <c r="AB787" s="15" t="str">
        <f>_xlfn.CONCAT(AA787,"…",TEXT(U787,"+00;-00;+00;"))</f>
        <v>122-302…-03</v>
      </c>
      <c r="AC787" s="23" t="str">
        <f>_xlfn.CONCAT(TEXT(P787,"+00;-00;+00;"),"…",TEXT(Q787,"+00;-00;+00;"))</f>
        <v>-02…+01</v>
      </c>
      <c r="AD787" s="14" t="str">
        <f>IF(X787="","?","")</f>
        <v>?</v>
      </c>
      <c r="AE787" s="15" t="str">
        <f>_xlfn.CONCAT(AA787,"…",TEXT(P787,"+00;-00;+00;"),"...",TEXT(Q787,"+00;-00;+00;"))</f>
        <v>122-302…-02...+01</v>
      </c>
      <c r="AF787" s="13" t="str">
        <f>_xlfn.CONCAT(R787,"…",TEXT(P787,"+00;-00;+00;"),"...",TEXT(Q787,"+00;-00;+00;"))</f>
        <v>DLDWL…-02...+01</v>
      </c>
    </row>
    <row r="788" spans="1:32" x14ac:dyDescent="0.25">
      <c r="A788" s="12" t="s">
        <v>1138</v>
      </c>
      <c r="B788" s="13" t="s">
        <v>318</v>
      </c>
      <c r="C788" s="14">
        <v>1</v>
      </c>
      <c r="D788" s="13" t="s">
        <v>329</v>
      </c>
      <c r="E788" s="13" t="s">
        <v>337</v>
      </c>
      <c r="F788" s="15" t="s">
        <v>30</v>
      </c>
      <c r="G788" s="15" t="s">
        <v>29</v>
      </c>
      <c r="H788" s="15" t="s">
        <v>31</v>
      </c>
      <c r="I788" s="15" t="s">
        <v>30</v>
      </c>
      <c r="J788" s="15" t="s">
        <v>31</v>
      </c>
      <c r="K788" s="15" t="s">
        <v>31</v>
      </c>
      <c r="L788" s="15" t="s">
        <v>29</v>
      </c>
      <c r="M788" s="15" t="s">
        <v>31</v>
      </c>
      <c r="N788" s="15" t="s">
        <v>31</v>
      </c>
      <c r="O788" s="15" t="s">
        <v>29</v>
      </c>
      <c r="P788" s="18">
        <v>15</v>
      </c>
      <c r="Q788" s="18">
        <v>-23</v>
      </c>
      <c r="R788" s="15" t="str">
        <f>_xlfn.CONCAT(F788,G788,H788,I788,J788)</f>
        <v>WDLWL</v>
      </c>
      <c r="S788" s="13" t="str">
        <f>_xlfn.CONCAT(K788,L788,M788,N788,O788)</f>
        <v>LDLLD</v>
      </c>
      <c r="T788" s="13" t="str">
        <f>_xlfn.CONCAT(R788,"***",S788)</f>
        <v>WDLWL***LDLLD</v>
      </c>
      <c r="U788" s="19">
        <f>(P788-Q788)</f>
        <v>38</v>
      </c>
      <c r="V788" s="14"/>
      <c r="W788" s="14"/>
      <c r="X788" s="20" t="str">
        <f>IF(ISBLANK(V788),"",IF(V788&gt;W788,"1",IF(V788&lt;W788,"2",IF(V788=W788,"X"))))</f>
        <v/>
      </c>
      <c r="Y788" s="23" t="str">
        <f>COUNTIF(F788:J788, "W")&amp;COUNTIF(F788:J788, "d")&amp;COUNTIF(F788:J788, "l")</f>
        <v>212</v>
      </c>
      <c r="Z788" s="13" t="str">
        <f>COUNTIF(K788:O788, "W")&amp;COUNTIF(K788:O788, "d")&amp;COUNTIF(K788:O788, "l")</f>
        <v>023</v>
      </c>
      <c r="AA788" s="23" t="str">
        <f>_xlfn.CONCAT(Y788,"-",Z788)</f>
        <v>212-023</v>
      </c>
      <c r="AB788" s="15" t="str">
        <f>_xlfn.CONCAT(AA788,"…",TEXT(U788,"+00;-00;+00;"))</f>
        <v>212-023…+38</v>
      </c>
      <c r="AC788" s="23" t="str">
        <f>_xlfn.CONCAT(TEXT(P788,"+00;-00;+00;"),"…",TEXT(Q788,"+00;-00;+00;"))</f>
        <v>+15…-23</v>
      </c>
      <c r="AD788" s="14" t="str">
        <f>IF(X788="","?","")</f>
        <v>?</v>
      </c>
      <c r="AE788" s="15" t="str">
        <f>_xlfn.CONCAT(AA788,"…",TEXT(P788,"+00;-00;+00;"),"...",TEXT(Q788,"+00;-00;+00;"))</f>
        <v>212-023…+15...-23</v>
      </c>
      <c r="AF788" s="13" t="str">
        <f>_xlfn.CONCAT(R788,"…",TEXT(P788,"+00;-00;+00;"),"...",TEXT(Q788,"+00;-00;+00;"))</f>
        <v>WDLWL…+15...-23</v>
      </c>
    </row>
    <row r="789" spans="1:32" x14ac:dyDescent="0.25">
      <c r="A789" s="12" t="s">
        <v>1143</v>
      </c>
      <c r="B789" s="13" t="s">
        <v>208</v>
      </c>
      <c r="C789" s="14">
        <v>3</v>
      </c>
      <c r="D789" s="13" t="s">
        <v>1173</v>
      </c>
      <c r="E789" s="13" t="s">
        <v>1174</v>
      </c>
      <c r="F789" s="15" t="s">
        <v>29</v>
      </c>
      <c r="G789" s="15" t="s">
        <v>31</v>
      </c>
      <c r="H789" s="15" t="s">
        <v>29</v>
      </c>
      <c r="I789" s="15" t="s">
        <v>31</v>
      </c>
      <c r="J789" s="15" t="s">
        <v>31</v>
      </c>
      <c r="K789" s="15" t="s">
        <v>31</v>
      </c>
      <c r="L789" s="15" t="s">
        <v>31</v>
      </c>
      <c r="M789" s="15" t="s">
        <v>31</v>
      </c>
      <c r="N789" s="15" t="s">
        <v>31</v>
      </c>
      <c r="O789" s="15" t="s">
        <v>29</v>
      </c>
      <c r="P789" s="18">
        <v>-3</v>
      </c>
      <c r="Q789" s="18">
        <v>-20</v>
      </c>
      <c r="R789" s="15" t="str">
        <f>_xlfn.CONCAT(F789,G789,H789,I789,J789)</f>
        <v>DLDLL</v>
      </c>
      <c r="S789" s="13" t="str">
        <f>_xlfn.CONCAT(K789,L789,M789,N789,O789)</f>
        <v>LLLLD</v>
      </c>
      <c r="T789" s="13" t="str">
        <f>_xlfn.CONCAT(R789,"***",S789)</f>
        <v>DLDLL***LLLLD</v>
      </c>
      <c r="U789" s="19">
        <f>(P789-Q789)</f>
        <v>17</v>
      </c>
      <c r="V789" s="14"/>
      <c r="W789" s="14"/>
      <c r="X789" s="20" t="str">
        <f>IF(ISBLANK(V789),"",IF(V789&gt;W789,"1",IF(V789&lt;W789,"2",IF(V789=W789,"X"))))</f>
        <v/>
      </c>
      <c r="Y789" s="23" t="str">
        <f>COUNTIF(F789:J789, "W")&amp;COUNTIF(F789:J789, "d")&amp;COUNTIF(F789:J789, "l")</f>
        <v>023</v>
      </c>
      <c r="Z789" s="13" t="str">
        <f>COUNTIF(K789:O789, "W")&amp;COUNTIF(K789:O789, "d")&amp;COUNTIF(K789:O789, "l")</f>
        <v>014</v>
      </c>
      <c r="AA789" s="23" t="str">
        <f>_xlfn.CONCAT(Y789,"-",Z789)</f>
        <v>023-014</v>
      </c>
      <c r="AB789" s="15" t="str">
        <f>_xlfn.CONCAT(AA789,"…",TEXT(U789,"+00;-00;+00;"))</f>
        <v>023-014…+17</v>
      </c>
      <c r="AC789" s="23" t="str">
        <f>_xlfn.CONCAT(TEXT(P789,"+00;-00;+00;"),"…",TEXT(Q789,"+00;-00;+00;"))</f>
        <v>-03…-20</v>
      </c>
      <c r="AD789" s="14" t="str">
        <f>IF(X789="","?","")</f>
        <v>?</v>
      </c>
      <c r="AE789" s="15" t="str">
        <f>_xlfn.CONCAT(AA789,"…",TEXT(P789,"+00;-00;+00;"),"...",TEXT(Q789,"+00;-00;+00;"))</f>
        <v>023-014…-03...-20</v>
      </c>
      <c r="AF789" s="13" t="str">
        <f>_xlfn.CONCAT(R789,"…",TEXT(P789,"+00;-00;+00;"),"...",TEXT(Q789,"+00;-00;+00;"))</f>
        <v>DLDLL…-03...-20</v>
      </c>
    </row>
    <row r="790" spans="1:32" x14ac:dyDescent="0.25">
      <c r="A790" s="12" t="s">
        <v>1143</v>
      </c>
      <c r="B790" s="13" t="s">
        <v>401</v>
      </c>
      <c r="C790" s="14">
        <v>1</v>
      </c>
      <c r="D790" s="13" t="s">
        <v>1190</v>
      </c>
      <c r="E790" s="13" t="s">
        <v>795</v>
      </c>
      <c r="F790" s="15" t="s">
        <v>29</v>
      </c>
      <c r="G790" s="15" t="s">
        <v>29</v>
      </c>
      <c r="H790" s="15" t="s">
        <v>29</v>
      </c>
      <c r="I790" s="15" t="s">
        <v>30</v>
      </c>
      <c r="J790" s="15" t="s">
        <v>30</v>
      </c>
      <c r="K790" s="15" t="s">
        <v>30</v>
      </c>
      <c r="L790" s="15" t="s">
        <v>31</v>
      </c>
      <c r="M790" s="15" t="s">
        <v>30</v>
      </c>
      <c r="N790" s="15" t="s">
        <v>30</v>
      </c>
      <c r="O790" s="15" t="s">
        <v>30</v>
      </c>
      <c r="P790" s="18">
        <v>-10</v>
      </c>
      <c r="Q790" s="18">
        <v>28</v>
      </c>
      <c r="R790" s="15" t="str">
        <f>_xlfn.CONCAT(F790,G790,H790,I790,J790)</f>
        <v>DDDWW</v>
      </c>
      <c r="S790" s="13" t="str">
        <f>_xlfn.CONCAT(K790,L790,M790,N790,O790)</f>
        <v>WLWWW</v>
      </c>
      <c r="T790" s="13" t="str">
        <f>_xlfn.CONCAT(R790,"***",S790)</f>
        <v>DDDWW***WLWWW</v>
      </c>
      <c r="U790" s="19">
        <f>(P790-Q790)</f>
        <v>-38</v>
      </c>
      <c r="V790" s="14"/>
      <c r="W790" s="14"/>
      <c r="X790" s="20" t="str">
        <f>IF(ISBLANK(V790),"",IF(V790&gt;W790,"1",IF(V790&lt;W790,"2",IF(V790=W790,"X"))))</f>
        <v/>
      </c>
      <c r="Y790" s="23" t="str">
        <f>COUNTIF(F790:J790, "W")&amp;COUNTIF(F790:J790, "d")&amp;COUNTIF(F790:J790, "l")</f>
        <v>230</v>
      </c>
      <c r="Z790" s="13" t="str">
        <f>COUNTIF(K790:O790, "W")&amp;COUNTIF(K790:O790, "d")&amp;COUNTIF(K790:O790, "l")</f>
        <v>401</v>
      </c>
      <c r="AA790" s="23" t="str">
        <f>_xlfn.CONCAT(Y790,"-",Z790)</f>
        <v>230-401</v>
      </c>
      <c r="AB790" s="15" t="str">
        <f>_xlfn.CONCAT(AA790,"…",TEXT(U790,"+00;-00;+00;"))</f>
        <v>230-401…-38</v>
      </c>
      <c r="AC790" s="23" t="str">
        <f>_xlfn.CONCAT(TEXT(P790,"+00;-00;+00;"),"…",TEXT(Q790,"+00;-00;+00;"))</f>
        <v>-10…+28</v>
      </c>
      <c r="AD790" s="14" t="str">
        <f>IF(X790="","?","")</f>
        <v>?</v>
      </c>
      <c r="AE790" s="15" t="str">
        <f>_xlfn.CONCAT(AA790,"…",TEXT(P790,"+00;-00;+00;"),"...",TEXT(Q790,"+00;-00;+00;"))</f>
        <v>230-401…-10...+28</v>
      </c>
      <c r="AF790" s="13" t="str">
        <f>_xlfn.CONCAT(R790,"…",TEXT(P790,"+00;-00;+00;"),"...",TEXT(Q790,"+00;-00;+00;"))</f>
        <v>DDDWW…-10...+28</v>
      </c>
    </row>
    <row r="791" spans="1:32" x14ac:dyDescent="0.25">
      <c r="A791" s="12" t="s">
        <v>1143</v>
      </c>
      <c r="B791" s="13" t="s">
        <v>208</v>
      </c>
      <c r="C791" s="14">
        <v>1</v>
      </c>
      <c r="D791" s="13" t="s">
        <v>965</v>
      </c>
      <c r="E791" s="13" t="s">
        <v>1149</v>
      </c>
      <c r="F791" s="15" t="s">
        <v>31</v>
      </c>
      <c r="G791" s="15" t="s">
        <v>30</v>
      </c>
      <c r="H791" s="15" t="s">
        <v>30</v>
      </c>
      <c r="I791" s="15" t="s">
        <v>30</v>
      </c>
      <c r="J791" s="15" t="s">
        <v>30</v>
      </c>
      <c r="K791" s="15" t="s">
        <v>29</v>
      </c>
      <c r="L791" s="15" t="s">
        <v>30</v>
      </c>
      <c r="M791" s="15" t="s">
        <v>30</v>
      </c>
      <c r="N791" s="15" t="s">
        <v>30</v>
      </c>
      <c r="O791" s="15" t="s">
        <v>31</v>
      </c>
      <c r="P791" s="18">
        <v>30</v>
      </c>
      <c r="Q791" s="18">
        <v>18</v>
      </c>
      <c r="R791" s="15" t="str">
        <f>_xlfn.CONCAT(F791,G791,H791,I791,J791)</f>
        <v>LWWWW</v>
      </c>
      <c r="S791" s="13" t="str">
        <f>_xlfn.CONCAT(K791,L791,M791,N791,O791)</f>
        <v>DWWWL</v>
      </c>
      <c r="T791" s="13" t="str">
        <f>_xlfn.CONCAT(R791,"***",S791)</f>
        <v>LWWWW***DWWWL</v>
      </c>
      <c r="U791" s="19">
        <f>(P791-Q791)</f>
        <v>12</v>
      </c>
      <c r="V791" s="14"/>
      <c r="W791" s="14"/>
      <c r="X791" s="20" t="str">
        <f>IF(ISBLANK(V791),"",IF(V791&gt;W791,"1",IF(V791&lt;W791,"2",IF(V791=W791,"X"))))</f>
        <v/>
      </c>
      <c r="Y791" s="23" t="str">
        <f>COUNTIF(F791:J791, "W")&amp;COUNTIF(F791:J791, "d")&amp;COUNTIF(F791:J791, "l")</f>
        <v>401</v>
      </c>
      <c r="Z791" s="13" t="str">
        <f>COUNTIF(K791:O791, "W")&amp;COUNTIF(K791:O791, "d")&amp;COUNTIF(K791:O791, "l")</f>
        <v>311</v>
      </c>
      <c r="AA791" s="23" t="str">
        <f>_xlfn.CONCAT(Y791,"-",Z791)</f>
        <v>401-311</v>
      </c>
      <c r="AB791" s="15" t="str">
        <f>_xlfn.CONCAT(AA791,"…",TEXT(U791,"+00;-00;+00;"))</f>
        <v>401-311…+12</v>
      </c>
      <c r="AC791" s="23" t="str">
        <f>_xlfn.CONCAT(TEXT(P791,"+00;-00;+00;"),"…",TEXT(Q791,"+00;-00;+00;"))</f>
        <v>+30…+18</v>
      </c>
      <c r="AD791" s="14" t="str">
        <f>IF(X791="","?","")</f>
        <v>?</v>
      </c>
      <c r="AE791" s="15" t="str">
        <f>_xlfn.CONCAT(AA791,"…",TEXT(P791,"+00;-00;+00;"),"...",TEXT(Q791,"+00;-00;+00;"))</f>
        <v>401-311…+30...+18</v>
      </c>
      <c r="AF791" s="13" t="str">
        <f>_xlfn.CONCAT(R791,"…",TEXT(P791,"+00;-00;+00;"),"...",TEXT(Q791,"+00;-00;+00;"))</f>
        <v>LWWWW…+30...+18</v>
      </c>
    </row>
    <row r="792" spans="1:32" x14ac:dyDescent="0.25">
      <c r="A792" s="12" t="s">
        <v>1130</v>
      </c>
      <c r="B792" s="13" t="s">
        <v>295</v>
      </c>
      <c r="C792" s="14">
        <v>1</v>
      </c>
      <c r="D792" s="13" t="s">
        <v>1055</v>
      </c>
      <c r="E792" s="13" t="s">
        <v>306</v>
      </c>
      <c r="F792" s="15" t="s">
        <v>30</v>
      </c>
      <c r="G792" s="15" t="s">
        <v>31</v>
      </c>
      <c r="H792" s="15" t="s">
        <v>29</v>
      </c>
      <c r="I792" s="15" t="s">
        <v>30</v>
      </c>
      <c r="J792" s="15" t="s">
        <v>31</v>
      </c>
      <c r="K792" s="15" t="s">
        <v>30</v>
      </c>
      <c r="L792" s="15" t="s">
        <v>30</v>
      </c>
      <c r="M792" s="15" t="s">
        <v>30</v>
      </c>
      <c r="N792" s="15" t="s">
        <v>30</v>
      </c>
      <c r="O792" s="15" t="s">
        <v>30</v>
      </c>
      <c r="P792" s="18">
        <v>25</v>
      </c>
      <c r="Q792" s="18">
        <v>46</v>
      </c>
      <c r="R792" s="15" t="str">
        <f>_xlfn.CONCAT(F792,G792,H792,I792,J792)</f>
        <v>WLDWL</v>
      </c>
      <c r="S792" s="13" t="str">
        <f>_xlfn.CONCAT(K792,L792,M792,N792,O792)</f>
        <v>WWWWW</v>
      </c>
      <c r="T792" s="13" t="str">
        <f>_xlfn.CONCAT(R792,"***",S792)</f>
        <v>WLDWL***WWWWW</v>
      </c>
      <c r="U792" s="19">
        <f>(P792-Q792)</f>
        <v>-21</v>
      </c>
      <c r="V792" s="14"/>
      <c r="W792" s="14"/>
      <c r="X792" s="20" t="str">
        <f>IF(ISBLANK(V792),"",IF(V792&gt;W792,"1",IF(V792&lt;W792,"2",IF(V792=W792,"X"))))</f>
        <v/>
      </c>
      <c r="Y792" s="23" t="str">
        <f>COUNTIF(F792:J792, "W")&amp;COUNTIF(F792:J792, "d")&amp;COUNTIF(F792:J792, "l")</f>
        <v>212</v>
      </c>
      <c r="Z792" s="13" t="str">
        <f>COUNTIF(K792:O792, "W")&amp;COUNTIF(K792:O792, "d")&amp;COUNTIF(K792:O792, "l")</f>
        <v>500</v>
      </c>
      <c r="AA792" s="23" t="str">
        <f>_xlfn.CONCAT(Y792,"-",Z792)</f>
        <v>212-500</v>
      </c>
      <c r="AB792" s="15" t="str">
        <f>_xlfn.CONCAT(AA792,"…",TEXT(U792,"+00;-00;+00;"))</f>
        <v>212-500…-21</v>
      </c>
      <c r="AC792" s="23" t="str">
        <f>_xlfn.CONCAT(TEXT(P792,"+00;-00;+00;"),"…",TEXT(Q792,"+00;-00;+00;"))</f>
        <v>+25…+46</v>
      </c>
      <c r="AD792" s="14" t="str">
        <f>IF(X792="","?","")</f>
        <v>?</v>
      </c>
      <c r="AE792" s="15" t="str">
        <f>_xlfn.CONCAT(AA792,"…",TEXT(P792,"+00;-00;+00;"),"...",TEXT(Q792,"+00;-00;+00;"))</f>
        <v>212-500…+25...+46</v>
      </c>
      <c r="AF792" s="13" t="str">
        <f>_xlfn.CONCAT(R792,"…",TEXT(P792,"+00;-00;+00;"),"...",TEXT(Q792,"+00;-00;+00;"))</f>
        <v>WLDWL…+25...+46</v>
      </c>
    </row>
    <row r="793" spans="1:32" x14ac:dyDescent="0.25">
      <c r="A793" s="12" t="s">
        <v>1118</v>
      </c>
      <c r="B793" s="13" t="s">
        <v>117</v>
      </c>
      <c r="C793" s="14" t="s">
        <v>0</v>
      </c>
      <c r="D793" s="13" t="s">
        <v>127</v>
      </c>
      <c r="E793" s="13" t="s">
        <v>141</v>
      </c>
      <c r="F793" s="15" t="s">
        <v>29</v>
      </c>
      <c r="G793" s="15" t="s">
        <v>30</v>
      </c>
      <c r="H793" s="15" t="s">
        <v>31</v>
      </c>
      <c r="I793" s="15" t="s">
        <v>29</v>
      </c>
      <c r="J793" s="15" t="s">
        <v>31</v>
      </c>
      <c r="K793" s="15" t="s">
        <v>30</v>
      </c>
      <c r="L793" s="15" t="s">
        <v>30</v>
      </c>
      <c r="M793" s="15" t="s">
        <v>29</v>
      </c>
      <c r="N793" s="15" t="s">
        <v>30</v>
      </c>
      <c r="O793" s="15" t="s">
        <v>30</v>
      </c>
      <c r="P793" s="18">
        <v>0</v>
      </c>
      <c r="Q793" s="18">
        <v>30</v>
      </c>
      <c r="R793" s="15" t="str">
        <f>_xlfn.CONCAT(F793,G793,H793,I793,J793)</f>
        <v>DWLDL</v>
      </c>
      <c r="S793" s="13" t="str">
        <f>_xlfn.CONCAT(K793,L793,M793,N793,O793)</f>
        <v>WWDWW</v>
      </c>
      <c r="T793" s="13" t="str">
        <f>_xlfn.CONCAT(R793,"***",S793)</f>
        <v>DWLDL***WWDWW</v>
      </c>
      <c r="U793" s="19">
        <f>(P793-Q793)</f>
        <v>-30</v>
      </c>
      <c r="V793" s="14"/>
      <c r="W793" s="14"/>
      <c r="X793" s="20" t="str">
        <f>IF(ISBLANK(V793),"",IF(V793&gt;W793,"1",IF(V793&lt;W793,"2",IF(V793=W793,"X"))))</f>
        <v/>
      </c>
      <c r="Y793" s="23" t="str">
        <f>COUNTIF(F793:J793, "W")&amp;COUNTIF(F793:J793, "d")&amp;COUNTIF(F793:J793, "l")</f>
        <v>122</v>
      </c>
      <c r="Z793" s="13" t="str">
        <f>COUNTIF(K793:O793, "W")&amp;COUNTIF(K793:O793, "d")&amp;COUNTIF(K793:O793, "l")</f>
        <v>410</v>
      </c>
      <c r="AA793" s="23" t="str">
        <f>_xlfn.CONCAT(Y793,"-",Z793)</f>
        <v>122-410</v>
      </c>
      <c r="AB793" s="15" t="str">
        <f>_xlfn.CONCAT(AA793,"…",TEXT(U793,"+00;-00;+00;"))</f>
        <v>122-410…-30</v>
      </c>
      <c r="AC793" s="23" t="str">
        <f>_xlfn.CONCAT(TEXT(P793,"+00;-00;+00;"),"…",TEXT(Q793,"+00;-00;+00;"))</f>
        <v>+00…+30</v>
      </c>
      <c r="AD793" s="14" t="str">
        <f>IF(X793="","?","")</f>
        <v>?</v>
      </c>
      <c r="AE793" s="15" t="str">
        <f>_xlfn.CONCAT(AA793,"…",TEXT(P793,"+00;-00;+00;"),"...",TEXT(Q793,"+00;-00;+00;"))</f>
        <v>122-410…+00...+30</v>
      </c>
      <c r="AF793" s="13" t="str">
        <f>_xlfn.CONCAT(R793,"…",TEXT(P793,"+00;-00;+00;"),"...",TEXT(Q793,"+00;-00;+00;"))</f>
        <v>DWLDL…+00...+30</v>
      </c>
    </row>
    <row r="794" spans="1:32" x14ac:dyDescent="0.25">
      <c r="A794" s="12" t="s">
        <v>1118</v>
      </c>
      <c r="B794" s="13" t="s">
        <v>167</v>
      </c>
      <c r="C794" s="14">
        <v>1</v>
      </c>
      <c r="D794" s="13" t="s">
        <v>186</v>
      </c>
      <c r="E794" s="13" t="s">
        <v>169</v>
      </c>
      <c r="F794" s="15" t="s">
        <v>29</v>
      </c>
      <c r="G794" s="15" t="s">
        <v>30</v>
      </c>
      <c r="H794" s="15" t="s">
        <v>30</v>
      </c>
      <c r="I794" s="15" t="s">
        <v>29</v>
      </c>
      <c r="J794" s="15" t="s">
        <v>29</v>
      </c>
      <c r="K794" s="15" t="s">
        <v>30</v>
      </c>
      <c r="L794" s="15" t="s">
        <v>30</v>
      </c>
      <c r="M794" s="15" t="s">
        <v>30</v>
      </c>
      <c r="N794" s="15" t="s">
        <v>30</v>
      </c>
      <c r="O794" s="15" t="s">
        <v>30</v>
      </c>
      <c r="P794" s="18">
        <v>8</v>
      </c>
      <c r="Q794" s="18">
        <v>26</v>
      </c>
      <c r="R794" s="15" t="str">
        <f>_xlfn.CONCAT(F794,G794,H794,I794,J794)</f>
        <v>DWWDD</v>
      </c>
      <c r="S794" s="13" t="str">
        <f>_xlfn.CONCAT(K794,L794,M794,N794,O794)</f>
        <v>WWWWW</v>
      </c>
      <c r="T794" s="13" t="str">
        <f>_xlfn.CONCAT(R794,"***",S794)</f>
        <v>DWWDD***WWWWW</v>
      </c>
      <c r="U794" s="19">
        <f>(P794-Q794)</f>
        <v>-18</v>
      </c>
      <c r="V794" s="14"/>
      <c r="W794" s="14"/>
      <c r="X794" s="20" t="str">
        <f>IF(ISBLANK(V794),"",IF(V794&gt;W794,"1",IF(V794&lt;W794,"2",IF(V794=W794,"X"))))</f>
        <v/>
      </c>
      <c r="Y794" s="23" t="str">
        <f>COUNTIF(F794:J794, "W")&amp;COUNTIF(F794:J794, "d")&amp;COUNTIF(F794:J794, "l")</f>
        <v>230</v>
      </c>
      <c r="Z794" s="13" t="str">
        <f>COUNTIF(K794:O794, "W")&amp;COUNTIF(K794:O794, "d")&amp;COUNTIF(K794:O794, "l")</f>
        <v>500</v>
      </c>
      <c r="AA794" s="23" t="str">
        <f>_xlfn.CONCAT(Y794,"-",Z794)</f>
        <v>230-500</v>
      </c>
      <c r="AB794" s="15" t="str">
        <f>_xlfn.CONCAT(AA794,"…",TEXT(U794,"+00;-00;+00;"))</f>
        <v>230-500…-18</v>
      </c>
      <c r="AC794" s="23" t="str">
        <f>_xlfn.CONCAT(TEXT(P794,"+00;-00;+00;"),"…",TEXT(Q794,"+00;-00;+00;"))</f>
        <v>+08…+26</v>
      </c>
      <c r="AD794" s="14" t="str">
        <f>IF(X794="","?","")</f>
        <v>?</v>
      </c>
      <c r="AE794" s="15" t="str">
        <f>_xlfn.CONCAT(AA794,"…",TEXT(P794,"+00;-00;+00;"),"...",TEXT(Q794,"+00;-00;+00;"))</f>
        <v>230-500…+08...+26</v>
      </c>
      <c r="AF794" s="13" t="str">
        <f>_xlfn.CONCAT(R794,"…",TEXT(P794,"+00;-00;+00;"),"...",TEXT(Q794,"+00;-00;+00;"))</f>
        <v>DWWDD…+08...+26</v>
      </c>
    </row>
    <row r="795" spans="1:32" x14ac:dyDescent="0.25">
      <c r="A795" s="12" t="s">
        <v>1083</v>
      </c>
      <c r="B795" s="13" t="s">
        <v>59</v>
      </c>
      <c r="C795" s="14">
        <v>2</v>
      </c>
      <c r="D795" s="13" t="s">
        <v>105</v>
      </c>
      <c r="E795" s="13" t="s">
        <v>739</v>
      </c>
      <c r="F795" s="15" t="s">
        <v>31</v>
      </c>
      <c r="G795" s="15" t="s">
        <v>30</v>
      </c>
      <c r="H795" s="15" t="s">
        <v>29</v>
      </c>
      <c r="I795" s="15" t="s">
        <v>29</v>
      </c>
      <c r="J795" s="15" t="s">
        <v>30</v>
      </c>
      <c r="K795" s="15" t="s">
        <v>30</v>
      </c>
      <c r="L795" s="15" t="s">
        <v>30</v>
      </c>
      <c r="M795" s="15" t="s">
        <v>29</v>
      </c>
      <c r="N795" s="15" t="s">
        <v>31</v>
      </c>
      <c r="O795" s="15" t="s">
        <v>31</v>
      </c>
      <c r="P795" s="18">
        <v>3</v>
      </c>
      <c r="Q795" s="18">
        <v>3</v>
      </c>
      <c r="R795" s="15" t="str">
        <f>_xlfn.CONCAT(F795,G795,H795,I795,J795)</f>
        <v>LWDDW</v>
      </c>
      <c r="S795" s="13" t="str">
        <f>_xlfn.CONCAT(K795,L795,M795,N795,O795)</f>
        <v>WWDLL</v>
      </c>
      <c r="T795" s="13" t="str">
        <f>_xlfn.CONCAT(R795,"***",S795)</f>
        <v>LWDDW***WWDLL</v>
      </c>
      <c r="U795" s="19">
        <f>(P795-Q795)</f>
        <v>0</v>
      </c>
      <c r="V795" s="14"/>
      <c r="W795" s="14"/>
      <c r="X795" s="20" t="str">
        <f>IF(ISBLANK(V795),"",IF(V795&gt;W795,"1",IF(V795&lt;W795,"2",IF(V795=W795,"X"))))</f>
        <v/>
      </c>
      <c r="Y795" s="23" t="str">
        <f>COUNTIF(F795:J795, "W")&amp;COUNTIF(F795:J795, "d")&amp;COUNTIF(F795:J795, "l")</f>
        <v>221</v>
      </c>
      <c r="Z795" s="13" t="str">
        <f>COUNTIF(K795:O795, "W")&amp;COUNTIF(K795:O795, "d")&amp;COUNTIF(K795:O795, "l")</f>
        <v>212</v>
      </c>
      <c r="AA795" s="23" t="str">
        <f>_xlfn.CONCAT(Y795,"-",Z795)</f>
        <v>221-212</v>
      </c>
      <c r="AB795" s="15" t="str">
        <f>_xlfn.CONCAT(AA795,"…",TEXT(U795,"+00;-00;+00;"))</f>
        <v>221-212…+00</v>
      </c>
      <c r="AC795" s="23" t="str">
        <f>_xlfn.CONCAT(TEXT(P795,"+00;-00;+00;"),"…",TEXT(Q795,"+00;-00;+00;"))</f>
        <v>+03…+03</v>
      </c>
      <c r="AD795" s="14" t="str">
        <f>IF(X795="","?","")</f>
        <v>?</v>
      </c>
      <c r="AE795" s="15" t="str">
        <f>_xlfn.CONCAT(AA795,"…",TEXT(P795,"+00;-00;+00;"),"...",TEXT(Q795,"+00;-00;+00;"))</f>
        <v>221-212…+03...+03</v>
      </c>
      <c r="AF795" s="13" t="str">
        <f>_xlfn.CONCAT(R795,"…",TEXT(P795,"+00;-00;+00;"),"...",TEXT(Q795,"+00;-00;+00;"))</f>
        <v>LWDDW…+03...+03</v>
      </c>
    </row>
    <row r="796" spans="1:32" x14ac:dyDescent="0.25">
      <c r="A796" s="12" t="s">
        <v>1083</v>
      </c>
      <c r="B796" s="13" t="s">
        <v>59</v>
      </c>
      <c r="C796" s="14">
        <v>1</v>
      </c>
      <c r="D796" s="13" t="s">
        <v>82</v>
      </c>
      <c r="E796" s="13" t="s">
        <v>733</v>
      </c>
      <c r="F796" s="15" t="s">
        <v>29</v>
      </c>
      <c r="G796" s="15" t="s">
        <v>30</v>
      </c>
      <c r="H796" s="15" t="s">
        <v>30</v>
      </c>
      <c r="I796" s="15" t="s">
        <v>30</v>
      </c>
      <c r="J796" s="15" t="s">
        <v>29</v>
      </c>
      <c r="K796" s="15" t="s">
        <v>31</v>
      </c>
      <c r="L796" s="15" t="s">
        <v>29</v>
      </c>
      <c r="M796" s="15" t="s">
        <v>30</v>
      </c>
      <c r="N796" s="15" t="s">
        <v>31</v>
      </c>
      <c r="O796" s="15" t="s">
        <v>31</v>
      </c>
      <c r="P796" s="18">
        <v>24</v>
      </c>
      <c r="Q796" s="18">
        <v>-7</v>
      </c>
      <c r="R796" s="15" t="str">
        <f>_xlfn.CONCAT(F796,G796,H796,I796,J796)</f>
        <v>DWWWD</v>
      </c>
      <c r="S796" s="13" t="str">
        <f>_xlfn.CONCAT(K796,L796,M796,N796,O796)</f>
        <v>LDWLL</v>
      </c>
      <c r="T796" s="13" t="str">
        <f>_xlfn.CONCAT(R796,"***",S796)</f>
        <v>DWWWD***LDWLL</v>
      </c>
      <c r="U796" s="19">
        <f>(P796-Q796)</f>
        <v>31</v>
      </c>
      <c r="V796" s="14"/>
      <c r="W796" s="14"/>
      <c r="X796" s="20" t="str">
        <f>IF(ISBLANK(V796),"",IF(V796&gt;W796,"1",IF(V796&lt;W796,"2",IF(V796=W796,"X"))))</f>
        <v/>
      </c>
      <c r="Y796" s="23" t="str">
        <f>COUNTIF(F796:J796, "W")&amp;COUNTIF(F796:J796, "d")&amp;COUNTIF(F796:J796, "l")</f>
        <v>320</v>
      </c>
      <c r="Z796" s="13" t="str">
        <f>COUNTIF(K796:O796, "W")&amp;COUNTIF(K796:O796, "d")&amp;COUNTIF(K796:O796, "l")</f>
        <v>113</v>
      </c>
      <c r="AA796" s="23" t="str">
        <f>_xlfn.CONCAT(Y796,"-",Z796)</f>
        <v>320-113</v>
      </c>
      <c r="AB796" s="15" t="str">
        <f>_xlfn.CONCAT(AA796,"…",TEXT(U796,"+00;-00;+00;"))</f>
        <v>320-113…+31</v>
      </c>
      <c r="AC796" s="23" t="str">
        <f>_xlfn.CONCAT(TEXT(P796,"+00;-00;+00;"),"…",TEXT(Q796,"+00;-00;+00;"))</f>
        <v>+24…-07</v>
      </c>
      <c r="AD796" s="14" t="str">
        <f>IF(X796="","?","")</f>
        <v>?</v>
      </c>
      <c r="AE796" s="15" t="str">
        <f>_xlfn.CONCAT(AA796,"…",TEXT(P796,"+00;-00;+00;"),"...",TEXT(Q796,"+00;-00;+00;"))</f>
        <v>320-113…+24...-07</v>
      </c>
      <c r="AF796" s="13" t="str">
        <f>_xlfn.CONCAT(R796,"…",TEXT(P796,"+00;-00;+00;"),"...",TEXT(Q796,"+00;-00;+00;"))</f>
        <v>DWWWD…+24...-07</v>
      </c>
    </row>
    <row r="797" spans="1:32" x14ac:dyDescent="0.25">
      <c r="A797" s="12" t="s">
        <v>1099</v>
      </c>
      <c r="B797" s="13" t="s">
        <v>250</v>
      </c>
      <c r="C797" s="14">
        <v>1</v>
      </c>
      <c r="D797" s="13" t="s">
        <v>269</v>
      </c>
      <c r="E797" s="13" t="s">
        <v>652</v>
      </c>
      <c r="F797" s="15" t="s">
        <v>30</v>
      </c>
      <c r="G797" s="15" t="s">
        <v>30</v>
      </c>
      <c r="H797" s="15" t="s">
        <v>30</v>
      </c>
      <c r="I797" s="15" t="s">
        <v>30</v>
      </c>
      <c r="J797" s="15" t="s">
        <v>29</v>
      </c>
      <c r="K797" s="15" t="s">
        <v>29</v>
      </c>
      <c r="L797" s="15" t="s">
        <v>29</v>
      </c>
      <c r="M797" s="15" t="s">
        <v>30</v>
      </c>
      <c r="N797" s="15" t="s">
        <v>30</v>
      </c>
      <c r="O797" s="15" t="s">
        <v>29</v>
      </c>
      <c r="P797" s="18">
        <v>16</v>
      </c>
      <c r="Q797" s="18">
        <v>14</v>
      </c>
      <c r="R797" s="15" t="str">
        <f>_xlfn.CONCAT(F797,G797,H797,I797,J797)</f>
        <v>WWWWD</v>
      </c>
      <c r="S797" s="13" t="str">
        <f>_xlfn.CONCAT(K797,L797,M797,N797,O797)</f>
        <v>DDWWD</v>
      </c>
      <c r="T797" s="13" t="str">
        <f>_xlfn.CONCAT(R797,"***",S797)</f>
        <v>WWWWD***DDWWD</v>
      </c>
      <c r="U797" s="19">
        <f>(P797-Q797)</f>
        <v>2</v>
      </c>
      <c r="V797" s="14"/>
      <c r="W797" s="14"/>
      <c r="X797" s="20" t="str">
        <f>IF(ISBLANK(V797),"",IF(V797&gt;W797,"1",IF(V797&lt;W797,"2",IF(V797=W797,"X"))))</f>
        <v/>
      </c>
      <c r="Y797" s="23" t="str">
        <f>COUNTIF(F797:J797, "W")&amp;COUNTIF(F797:J797, "d")&amp;COUNTIF(F797:J797, "l")</f>
        <v>410</v>
      </c>
      <c r="Z797" s="13" t="str">
        <f>COUNTIF(K797:O797, "W")&amp;COUNTIF(K797:O797, "d")&amp;COUNTIF(K797:O797, "l")</f>
        <v>230</v>
      </c>
      <c r="AA797" s="23" t="str">
        <f>_xlfn.CONCAT(Y797,"-",Z797)</f>
        <v>410-230</v>
      </c>
      <c r="AB797" s="15" t="str">
        <f>_xlfn.CONCAT(AA797,"…",TEXT(U797,"+00;-00;+00;"))</f>
        <v>410-230…+02</v>
      </c>
      <c r="AC797" s="23" t="str">
        <f>_xlfn.CONCAT(TEXT(P797,"+00;-00;+00;"),"…",TEXT(Q797,"+00;-00;+00;"))</f>
        <v>+16…+14</v>
      </c>
      <c r="AD797" s="14" t="str">
        <f>IF(X797="","?","")</f>
        <v>?</v>
      </c>
      <c r="AE797" s="15" t="str">
        <f>_xlfn.CONCAT(AA797,"…",TEXT(P797,"+00;-00;+00;"),"...",TEXT(Q797,"+00;-00;+00;"))</f>
        <v>410-230…+16...+14</v>
      </c>
      <c r="AF797" s="13" t="str">
        <f>_xlfn.CONCAT(R797,"…",TEXT(P797,"+00;-00;+00;"),"...",TEXT(Q797,"+00;-00;+00;"))</f>
        <v>WWWWD…+16...+14</v>
      </c>
    </row>
    <row r="798" spans="1:32" x14ac:dyDescent="0.25">
      <c r="A798" s="12" t="s">
        <v>1187</v>
      </c>
      <c r="B798" s="13" t="s">
        <v>401</v>
      </c>
      <c r="C798" s="14">
        <v>1</v>
      </c>
      <c r="D798" s="13" t="s">
        <v>789</v>
      </c>
      <c r="E798" s="13" t="s">
        <v>410</v>
      </c>
      <c r="F798" s="15" t="s">
        <v>30</v>
      </c>
      <c r="G798" s="15" t="s">
        <v>31</v>
      </c>
      <c r="H798" s="15" t="s">
        <v>31</v>
      </c>
      <c r="I798" s="15" t="s">
        <v>31</v>
      </c>
      <c r="J798" s="15" t="s">
        <v>31</v>
      </c>
      <c r="K798" s="15" t="s">
        <v>30</v>
      </c>
      <c r="L798" s="15" t="s">
        <v>30</v>
      </c>
      <c r="M798" s="15" t="s">
        <v>30</v>
      </c>
      <c r="N798" s="15" t="s">
        <v>29</v>
      </c>
      <c r="O798" s="15" t="s">
        <v>30</v>
      </c>
      <c r="P798" s="18">
        <v>-12</v>
      </c>
      <c r="Q798" s="18">
        <v>14</v>
      </c>
      <c r="R798" s="15" t="str">
        <f>_xlfn.CONCAT(F798,G798,H798,I798,J798)</f>
        <v>WLLLL</v>
      </c>
      <c r="S798" s="13" t="str">
        <f>_xlfn.CONCAT(K798,L798,M798,N798,O798)</f>
        <v>WWWDW</v>
      </c>
      <c r="T798" s="13" t="str">
        <f>_xlfn.CONCAT(R798,"***",S798)</f>
        <v>WLLLL***WWWDW</v>
      </c>
      <c r="U798" s="19">
        <f>(P798-Q798)</f>
        <v>-26</v>
      </c>
      <c r="V798" s="14"/>
      <c r="W798" s="14"/>
      <c r="X798" s="20" t="str">
        <f>IF(ISBLANK(V798),"",IF(V798&gt;W798,"1",IF(V798&lt;W798,"2",IF(V798=W798,"X"))))</f>
        <v/>
      </c>
      <c r="Y798" s="23" t="str">
        <f>COUNTIF(F798:J798, "W")&amp;COUNTIF(F798:J798, "d")&amp;COUNTIF(F798:J798, "l")</f>
        <v>104</v>
      </c>
      <c r="Z798" s="13" t="str">
        <f>COUNTIF(K798:O798, "W")&amp;COUNTIF(K798:O798, "d")&amp;COUNTIF(K798:O798, "l")</f>
        <v>410</v>
      </c>
      <c r="AA798" s="23" t="str">
        <f>_xlfn.CONCAT(Y798,"-",Z798)</f>
        <v>104-410</v>
      </c>
      <c r="AB798" s="15" t="str">
        <f>_xlfn.CONCAT(AA798,"…",TEXT(U798,"+00;-00;+00;"))</f>
        <v>104-410…-26</v>
      </c>
      <c r="AC798" s="23" t="str">
        <f>_xlfn.CONCAT(TEXT(P798,"+00;-00;+00;"),"…",TEXT(Q798,"+00;-00;+00;"))</f>
        <v>-12…+14</v>
      </c>
      <c r="AD798" s="14" t="str">
        <f>IF(X798="","?","")</f>
        <v>?</v>
      </c>
      <c r="AE798" s="15" t="str">
        <f>_xlfn.CONCAT(AA798,"…",TEXT(P798,"+00;-00;+00;"),"...",TEXT(Q798,"+00;-00;+00;"))</f>
        <v>104-410…-12...+14</v>
      </c>
      <c r="AF798" s="13" t="str">
        <f>_xlfn.CONCAT(R798,"…",TEXT(P798,"+00;-00;+00;"),"...",TEXT(Q798,"+00;-00;+00;"))</f>
        <v>WLLLL…-12...+14</v>
      </c>
    </row>
    <row r="799" spans="1:32" x14ac:dyDescent="0.25">
      <c r="A799" s="12" t="s">
        <v>1188</v>
      </c>
      <c r="B799" s="13" t="s">
        <v>401</v>
      </c>
      <c r="C799" s="14">
        <v>1</v>
      </c>
      <c r="D799" s="13" t="s">
        <v>1191</v>
      </c>
      <c r="E799" s="13" t="s">
        <v>792</v>
      </c>
      <c r="F799" s="15" t="s">
        <v>31</v>
      </c>
      <c r="G799" s="15" t="s">
        <v>31</v>
      </c>
      <c r="H799" s="15" t="s">
        <v>31</v>
      </c>
      <c r="I799" s="15" t="s">
        <v>29</v>
      </c>
      <c r="J799" s="15" t="s">
        <v>30</v>
      </c>
      <c r="K799" s="15" t="s">
        <v>29</v>
      </c>
      <c r="L799" s="15" t="s">
        <v>30</v>
      </c>
      <c r="M799" s="15" t="s">
        <v>30</v>
      </c>
      <c r="N799" s="15" t="s">
        <v>31</v>
      </c>
      <c r="O799" s="15" t="s">
        <v>29</v>
      </c>
      <c r="P799" s="18">
        <v>-11</v>
      </c>
      <c r="Q799" s="18">
        <v>21</v>
      </c>
      <c r="R799" s="15" t="str">
        <f>_xlfn.CONCAT(F799,G799,H799,I799,J799)</f>
        <v>LLLDW</v>
      </c>
      <c r="S799" s="13" t="str">
        <f>_xlfn.CONCAT(K799,L799,M799,N799,O799)</f>
        <v>DWWLD</v>
      </c>
      <c r="T799" s="13" t="str">
        <f>_xlfn.CONCAT(R799,"***",S799)</f>
        <v>LLLDW***DWWLD</v>
      </c>
      <c r="U799" s="19">
        <f>(P799-Q799)</f>
        <v>-32</v>
      </c>
      <c r="V799" s="14"/>
      <c r="W799" s="14"/>
      <c r="X799" s="20" t="str">
        <f>IF(ISBLANK(V799),"",IF(V799&gt;W799,"1",IF(V799&lt;W799,"2",IF(V799=W799,"X"))))</f>
        <v/>
      </c>
      <c r="Y799" s="23" t="str">
        <f>COUNTIF(F799:J799, "W")&amp;COUNTIF(F799:J799, "d")&amp;COUNTIF(F799:J799, "l")</f>
        <v>113</v>
      </c>
      <c r="Z799" s="13" t="str">
        <f>COUNTIF(K799:O799, "W")&amp;COUNTIF(K799:O799, "d")&amp;COUNTIF(K799:O799, "l")</f>
        <v>221</v>
      </c>
      <c r="AA799" s="23" t="str">
        <f>_xlfn.CONCAT(Y799,"-",Z799)</f>
        <v>113-221</v>
      </c>
      <c r="AB799" s="15" t="str">
        <f>_xlfn.CONCAT(AA799,"…",TEXT(U799,"+00;-00;+00;"))</f>
        <v>113-221…-32</v>
      </c>
      <c r="AC799" s="23" t="str">
        <f>_xlfn.CONCAT(TEXT(P799,"+00;-00;+00;"),"…",TEXT(Q799,"+00;-00;+00;"))</f>
        <v>-11…+21</v>
      </c>
      <c r="AD799" s="14" t="str">
        <f>IF(X799="","?","")</f>
        <v>?</v>
      </c>
      <c r="AE799" s="15" t="str">
        <f>_xlfn.CONCAT(AA799,"…",TEXT(P799,"+00;-00;+00;"),"...",TEXT(Q799,"+00;-00;+00;"))</f>
        <v>113-221…-11...+21</v>
      </c>
      <c r="AF799" s="13" t="str">
        <f>_xlfn.CONCAT(R799,"…",TEXT(P799,"+00;-00;+00;"),"...",TEXT(Q799,"+00;-00;+00;"))</f>
        <v>LLLDW…-11...+21</v>
      </c>
    </row>
    <row r="800" spans="1:32" x14ac:dyDescent="0.25">
      <c r="A800" s="12" t="s">
        <v>1087</v>
      </c>
      <c r="B800" s="13" t="s">
        <v>59</v>
      </c>
      <c r="C800" s="14">
        <v>2</v>
      </c>
      <c r="D800" s="13" t="s">
        <v>1091</v>
      </c>
      <c r="E800" s="13" t="s">
        <v>1092</v>
      </c>
      <c r="F800" s="15" t="s">
        <v>31</v>
      </c>
      <c r="G800" s="15" t="s">
        <v>30</v>
      </c>
      <c r="H800" s="15" t="s">
        <v>31</v>
      </c>
      <c r="I800" s="15" t="s">
        <v>29</v>
      </c>
      <c r="J800" s="15" t="s">
        <v>30</v>
      </c>
      <c r="K800" s="15" t="s">
        <v>30</v>
      </c>
      <c r="L800" s="15" t="s">
        <v>31</v>
      </c>
      <c r="M800" s="15" t="s">
        <v>30</v>
      </c>
      <c r="N800" s="15" t="s">
        <v>29</v>
      </c>
      <c r="O800" s="15" t="s">
        <v>30</v>
      </c>
      <c r="P800" s="18">
        <v>-8</v>
      </c>
      <c r="Q800" s="18">
        <v>4</v>
      </c>
      <c r="R800" s="15" t="str">
        <f>_xlfn.CONCAT(F800,G800,H800,I800,J800)</f>
        <v>LWLDW</v>
      </c>
      <c r="S800" s="13" t="str">
        <f>_xlfn.CONCAT(K800,L800,M800,N800,O800)</f>
        <v>WLWDW</v>
      </c>
      <c r="T800" s="13" t="str">
        <f>_xlfn.CONCAT(R800,"***",S800)</f>
        <v>LWLDW***WLWDW</v>
      </c>
      <c r="U800" s="19">
        <f>(P800-Q800)</f>
        <v>-12</v>
      </c>
      <c r="V800" s="14"/>
      <c r="W800" s="14"/>
      <c r="X800" s="20" t="str">
        <f>IF(ISBLANK(V800),"",IF(V800&gt;W800,"1",IF(V800&lt;W800,"2",IF(V800=W800,"X"))))</f>
        <v/>
      </c>
      <c r="Y800" s="23" t="str">
        <f>COUNTIF(F800:J800, "W")&amp;COUNTIF(F800:J800, "d")&amp;COUNTIF(F800:J800, "l")</f>
        <v>212</v>
      </c>
      <c r="Z800" s="13" t="str">
        <f>COUNTIF(K800:O800, "W")&amp;COUNTIF(K800:O800, "d")&amp;COUNTIF(K800:O800, "l")</f>
        <v>311</v>
      </c>
      <c r="AA800" s="23" t="str">
        <f>_xlfn.CONCAT(Y800,"-",Z800)</f>
        <v>212-311</v>
      </c>
      <c r="AB800" s="15" t="str">
        <f>_xlfn.CONCAT(AA800,"…",TEXT(U800,"+00;-00;+00;"))</f>
        <v>212-311…-12</v>
      </c>
      <c r="AC800" s="23" t="str">
        <f>_xlfn.CONCAT(TEXT(P800,"+00;-00;+00;"),"…",TEXT(Q800,"+00;-00;+00;"))</f>
        <v>-08…+04</v>
      </c>
      <c r="AD800" s="14" t="str">
        <f>IF(X800="","?","")</f>
        <v>?</v>
      </c>
      <c r="AE800" s="15" t="str">
        <f>_xlfn.CONCAT(AA800,"…",TEXT(P800,"+00;-00;+00;"),"...",TEXT(Q800,"+00;-00;+00;"))</f>
        <v>212-311…-08...+04</v>
      </c>
      <c r="AF800" s="13" t="str">
        <f>_xlfn.CONCAT(R800,"…",TEXT(P800,"+00;-00;+00;"),"...",TEXT(Q800,"+00;-00;+00;"))</f>
        <v>LWLDW…-08...+04</v>
      </c>
    </row>
    <row r="801" spans="1:32" x14ac:dyDescent="0.25">
      <c r="A801" s="12" t="s">
        <v>1113</v>
      </c>
      <c r="B801" s="13" t="s">
        <v>117</v>
      </c>
      <c r="C801" s="14" t="s">
        <v>0</v>
      </c>
      <c r="D801" s="13" t="s">
        <v>1120</v>
      </c>
      <c r="E801" s="13" t="s">
        <v>1121</v>
      </c>
      <c r="F801" s="15" t="s">
        <v>30</v>
      </c>
      <c r="G801" s="15" t="s">
        <v>31</v>
      </c>
      <c r="H801" s="15" t="s">
        <v>31</v>
      </c>
      <c r="I801" s="15" t="s">
        <v>29</v>
      </c>
      <c r="J801" s="15" t="s">
        <v>31</v>
      </c>
      <c r="K801" s="15" t="s">
        <v>31</v>
      </c>
      <c r="L801" s="15" t="s">
        <v>31</v>
      </c>
      <c r="M801" s="15" t="s">
        <v>30</v>
      </c>
      <c r="N801" s="15" t="s">
        <v>29</v>
      </c>
      <c r="O801" s="15" t="s">
        <v>31</v>
      </c>
      <c r="P801" s="18">
        <v>6</v>
      </c>
      <c r="Q801" s="18">
        <v>-19</v>
      </c>
      <c r="R801" s="15" t="str">
        <f>_xlfn.CONCAT(F801,G801,H801,I801,J801)</f>
        <v>WLLDL</v>
      </c>
      <c r="S801" s="13" t="str">
        <f>_xlfn.CONCAT(K801,L801,M801,N801,O801)</f>
        <v>LLWDL</v>
      </c>
      <c r="T801" s="13" t="str">
        <f>_xlfn.CONCAT(R801,"***",S801)</f>
        <v>WLLDL***LLWDL</v>
      </c>
      <c r="U801" s="19">
        <f>(P801-Q801)</f>
        <v>25</v>
      </c>
      <c r="V801" s="14"/>
      <c r="W801" s="14"/>
      <c r="X801" s="20" t="str">
        <f>IF(ISBLANK(V801),"",IF(V801&gt;W801,"1",IF(V801&lt;W801,"2",IF(V801=W801,"X"))))</f>
        <v/>
      </c>
      <c r="Y801" s="23" t="str">
        <f>COUNTIF(F801:J801, "W")&amp;COUNTIF(F801:J801, "d")&amp;COUNTIF(F801:J801, "l")</f>
        <v>113</v>
      </c>
      <c r="Z801" s="13" t="str">
        <f>COUNTIF(K801:O801, "W")&amp;COUNTIF(K801:O801, "d")&amp;COUNTIF(K801:O801, "l")</f>
        <v>113</v>
      </c>
      <c r="AA801" s="23" t="str">
        <f>_xlfn.CONCAT(Y801,"-",Z801)</f>
        <v>113-113</v>
      </c>
      <c r="AB801" s="15" t="str">
        <f>_xlfn.CONCAT(AA801,"…",TEXT(U801,"+00;-00;+00;"))</f>
        <v>113-113…+25</v>
      </c>
      <c r="AC801" s="23" t="str">
        <f>_xlfn.CONCAT(TEXT(P801,"+00;-00;+00;"),"…",TEXT(Q801,"+00;-00;+00;"))</f>
        <v>+06…-19</v>
      </c>
      <c r="AD801" s="14" t="str">
        <f>IF(X801="","?","")</f>
        <v>?</v>
      </c>
      <c r="AE801" s="15" t="str">
        <f>_xlfn.CONCAT(AA801,"…",TEXT(P801,"+00;-00;+00;"),"...",TEXT(Q801,"+00;-00;+00;"))</f>
        <v>113-113…+06...-19</v>
      </c>
      <c r="AF801" s="13" t="str">
        <f>_xlfn.CONCAT(R801,"…",TEXT(P801,"+00;-00;+00;"),"...",TEXT(Q801,"+00;-00;+00;"))</f>
        <v>WLLDL…+06...-19</v>
      </c>
    </row>
    <row r="802" spans="1:32" x14ac:dyDescent="0.25">
      <c r="A802" s="27" t="s">
        <v>1084</v>
      </c>
      <c r="B802" s="28" t="s">
        <v>7</v>
      </c>
      <c r="C802" s="29" t="s">
        <v>32</v>
      </c>
      <c r="D802" s="28" t="s">
        <v>501</v>
      </c>
      <c r="E802" s="28" t="s">
        <v>1197</v>
      </c>
      <c r="F802" s="30" t="s">
        <v>30</v>
      </c>
      <c r="G802" s="30" t="s">
        <v>31</v>
      </c>
      <c r="H802" s="30" t="s">
        <v>29</v>
      </c>
      <c r="I802" s="30" t="s">
        <v>31</v>
      </c>
      <c r="J802" s="30" t="s">
        <v>30</v>
      </c>
      <c r="K802" s="30" t="s">
        <v>30</v>
      </c>
      <c r="L802" s="30" t="s">
        <v>30</v>
      </c>
      <c r="M802" s="30" t="s">
        <v>30</v>
      </c>
      <c r="N802" s="30" t="s">
        <v>29</v>
      </c>
      <c r="O802" s="30" t="s">
        <v>30</v>
      </c>
      <c r="P802" s="31">
        <v>-5</v>
      </c>
      <c r="Q802" s="31">
        <v>27</v>
      </c>
      <c r="R802" s="32" t="str">
        <f>_xlfn.CONCAT(F802,G802,H802,I802,J802)</f>
        <v>WLDLW</v>
      </c>
      <c r="S802" s="33" t="str">
        <f>_xlfn.CONCAT(K802,L802,M802,N802,O802)</f>
        <v>WWWDW</v>
      </c>
      <c r="T802" s="33" t="str">
        <f>_xlfn.CONCAT(R802,"***",S802)</f>
        <v>WLDLW***WWWDW</v>
      </c>
      <c r="U802" s="34">
        <f>(P802-Q802)</f>
        <v>-32</v>
      </c>
      <c r="V802" s="29"/>
      <c r="W802" s="29"/>
      <c r="X802" s="35" t="str">
        <f>IF(ISBLANK(V802),"",IF(V802&gt;W802,"1",IF(V802&lt;W802,"2",IF(V802=W802,"X"))))</f>
        <v/>
      </c>
      <c r="Y802" s="36" t="str">
        <f>COUNTIF(F802:J802, "W")&amp;COUNTIF(F802:J802, "d")&amp;COUNTIF(F802:J802, "l")</f>
        <v>212</v>
      </c>
      <c r="Z802" s="37" t="str">
        <f>COUNTIF(K802:O802, "W")&amp;COUNTIF(K802:O802, "d")&amp;COUNTIF(K802:O802, "l")</f>
        <v>410</v>
      </c>
      <c r="AA802" s="38" t="str">
        <f>_xlfn.CONCAT(Y802,"-",Z802)</f>
        <v>212-410</v>
      </c>
      <c r="AB802" s="30" t="str">
        <f>_xlfn.CONCAT(AA802,"…",TEXT(U802,"+00;-00;+00;"))</f>
        <v>212-410…-32</v>
      </c>
      <c r="AC802" s="36" t="str">
        <f>_xlfn.CONCAT(TEXT(P802,"+00;-00;+00;"),"…",TEXT(Q802,"+00;-00;+00;"))</f>
        <v>-05…+27</v>
      </c>
      <c r="AD802" s="39" t="str">
        <f>IF(X802="","?","")</f>
        <v>?</v>
      </c>
      <c r="AE802" s="40" t="str">
        <f>_xlfn.CONCAT(AA802,"…",TEXT(P802,"+00;-00;+00;"),"...",TEXT(Q802,"+00;-00;+00;"))</f>
        <v>212-410…-05...+27</v>
      </c>
      <c r="AF802" s="33" t="str">
        <f>_xlfn.CONCAT(R802,"…",TEXT(P802,"+00;-00;+00;"),"...",TEXT(Q802,"+00;-00;+00;"))</f>
        <v>WLDLW…-05...+27</v>
      </c>
    </row>
    <row r="803" spans="1:32" x14ac:dyDescent="0.25">
      <c r="A803" s="12" t="s">
        <v>1084</v>
      </c>
      <c r="B803" s="13" t="s">
        <v>59</v>
      </c>
      <c r="C803" s="14">
        <v>1</v>
      </c>
      <c r="D803" s="13" t="s">
        <v>723</v>
      </c>
      <c r="E803" s="13" t="s">
        <v>731</v>
      </c>
      <c r="F803" s="15" t="s">
        <v>30</v>
      </c>
      <c r="G803" s="15" t="s">
        <v>30</v>
      </c>
      <c r="H803" s="15" t="s">
        <v>29</v>
      </c>
      <c r="I803" s="15" t="s">
        <v>30</v>
      </c>
      <c r="J803" s="15" t="s">
        <v>30</v>
      </c>
      <c r="K803" s="15" t="s">
        <v>31</v>
      </c>
      <c r="L803" s="15" t="s">
        <v>29</v>
      </c>
      <c r="M803" s="15" t="s">
        <v>30</v>
      </c>
      <c r="N803" s="15" t="s">
        <v>31</v>
      </c>
      <c r="O803" s="15" t="s">
        <v>30</v>
      </c>
      <c r="P803" s="18">
        <v>18</v>
      </c>
      <c r="Q803" s="18">
        <v>-6</v>
      </c>
      <c r="R803" s="15" t="str">
        <f>_xlfn.CONCAT(F803,G803,H803,I803,J803)</f>
        <v>WWDWW</v>
      </c>
      <c r="S803" s="13" t="str">
        <f>_xlfn.CONCAT(K803,L803,M803,N803,O803)</f>
        <v>LDWLW</v>
      </c>
      <c r="T803" s="13" t="str">
        <f>_xlfn.CONCAT(R803,"***",S803)</f>
        <v>WWDWW***LDWLW</v>
      </c>
      <c r="U803" s="19">
        <f>(P803-Q803)</f>
        <v>24</v>
      </c>
      <c r="V803" s="14"/>
      <c r="W803" s="14"/>
      <c r="X803" s="20" t="str">
        <f>IF(ISBLANK(V803),"",IF(V803&gt;W803,"1",IF(V803&lt;W803,"2",IF(V803=W803,"X"))))</f>
        <v/>
      </c>
      <c r="Y803" s="23" t="str">
        <f>COUNTIF(F803:J803, "W")&amp;COUNTIF(F803:J803, "d")&amp;COUNTIF(F803:J803, "l")</f>
        <v>410</v>
      </c>
      <c r="Z803" s="13" t="str">
        <f>COUNTIF(K803:O803, "W")&amp;COUNTIF(K803:O803, "d")&amp;COUNTIF(K803:O803, "l")</f>
        <v>212</v>
      </c>
      <c r="AA803" s="23" t="str">
        <f>_xlfn.CONCAT(Y803,"-",Z803)</f>
        <v>410-212</v>
      </c>
      <c r="AB803" s="15" t="str">
        <f>_xlfn.CONCAT(AA803,"…",TEXT(U803,"+00;-00;+00;"))</f>
        <v>410-212…+24</v>
      </c>
      <c r="AC803" s="23" t="str">
        <f>_xlfn.CONCAT(TEXT(P803,"+00;-00;+00;"),"…",TEXT(Q803,"+00;-00;+00;"))</f>
        <v>+18…-06</v>
      </c>
      <c r="AD803" s="14" t="str">
        <f>IF(X803="","?","")</f>
        <v>?</v>
      </c>
      <c r="AE803" s="15" t="str">
        <f>_xlfn.CONCAT(AA803,"…",TEXT(P803,"+00;-00;+00;"),"...",TEXT(Q803,"+00;-00;+00;"))</f>
        <v>410-212…+18...-06</v>
      </c>
      <c r="AF803" s="13" t="str">
        <f>_xlfn.CONCAT(R803,"…",TEXT(P803,"+00;-00;+00;"),"...",TEXT(Q803,"+00;-00;+00;"))</f>
        <v>WWDWW…+18...-06</v>
      </c>
    </row>
    <row r="804" spans="1:32" x14ac:dyDescent="0.25">
      <c r="A804" s="12" t="s">
        <v>1100</v>
      </c>
      <c r="B804" s="13" t="s">
        <v>250</v>
      </c>
      <c r="C804" s="14">
        <v>1</v>
      </c>
      <c r="D804" s="13" t="s">
        <v>993</v>
      </c>
      <c r="E804" s="13" t="s">
        <v>266</v>
      </c>
      <c r="F804" s="15" t="s">
        <v>31</v>
      </c>
      <c r="G804" s="15" t="s">
        <v>30</v>
      </c>
      <c r="H804" s="15" t="s">
        <v>31</v>
      </c>
      <c r="I804" s="15" t="s">
        <v>30</v>
      </c>
      <c r="J804" s="15" t="s">
        <v>30</v>
      </c>
      <c r="K804" s="15" t="s">
        <v>30</v>
      </c>
      <c r="L804" s="15" t="s">
        <v>30</v>
      </c>
      <c r="M804" s="15" t="s">
        <v>30</v>
      </c>
      <c r="N804" s="15" t="s">
        <v>31</v>
      </c>
      <c r="O804" s="15" t="s">
        <v>30</v>
      </c>
      <c r="P804" s="18">
        <v>13</v>
      </c>
      <c r="Q804" s="18">
        <v>12</v>
      </c>
      <c r="R804" s="15" t="str">
        <f>_xlfn.CONCAT(F804,G804,H804,I804,J804)</f>
        <v>LWLWW</v>
      </c>
      <c r="S804" s="13" t="str">
        <f>_xlfn.CONCAT(K804,L804,M804,N804,O804)</f>
        <v>WWWLW</v>
      </c>
      <c r="T804" s="13" t="str">
        <f>_xlfn.CONCAT(R804,"***",S804)</f>
        <v>LWLWW***WWWLW</v>
      </c>
      <c r="U804" s="19">
        <f>(P804-Q804)</f>
        <v>1</v>
      </c>
      <c r="V804" s="14"/>
      <c r="W804" s="14"/>
      <c r="X804" s="20" t="str">
        <f>IF(ISBLANK(V804),"",IF(V804&gt;W804,"1",IF(V804&lt;W804,"2",IF(V804=W804,"X"))))</f>
        <v/>
      </c>
      <c r="Y804" s="23" t="str">
        <f>COUNTIF(F804:J804, "W")&amp;COUNTIF(F804:J804, "d")&amp;COUNTIF(F804:J804, "l")</f>
        <v>302</v>
      </c>
      <c r="Z804" s="13" t="str">
        <f>COUNTIF(K804:O804, "W")&amp;COUNTIF(K804:O804, "d")&amp;COUNTIF(K804:O804, "l")</f>
        <v>401</v>
      </c>
      <c r="AA804" s="23" t="str">
        <f>_xlfn.CONCAT(Y804,"-",Z804)</f>
        <v>302-401</v>
      </c>
      <c r="AB804" s="15" t="str">
        <f>_xlfn.CONCAT(AA804,"…",TEXT(U804,"+00;-00;+00;"))</f>
        <v>302-401…+01</v>
      </c>
      <c r="AC804" s="23" t="str">
        <f>_xlfn.CONCAT(TEXT(P804,"+00;-00;+00;"),"…",TEXT(Q804,"+00;-00;+00;"))</f>
        <v>+13…+12</v>
      </c>
      <c r="AD804" s="14" t="str">
        <f>IF(X804="","?","")</f>
        <v>?</v>
      </c>
      <c r="AE804" s="15" t="str">
        <f>_xlfn.CONCAT(AA804,"…",TEXT(P804,"+00;-00;+00;"),"...",TEXT(Q804,"+00;-00;+00;"))</f>
        <v>302-401…+13...+12</v>
      </c>
      <c r="AF804" s="13" t="str">
        <f>_xlfn.CONCAT(R804,"…",TEXT(P804,"+00;-00;+00;"),"...",TEXT(Q804,"+00;-00;+00;"))</f>
        <v>LWLWW…+13...+12</v>
      </c>
    </row>
  </sheetData>
  <sortState xmlns:xlrd2="http://schemas.microsoft.com/office/spreadsheetml/2017/richdata2" ref="A2:X180">
    <sortCondition ref="A2:A180"/>
  </sortState>
  <phoneticPr fontId="1" type="noConversion"/>
  <conditionalFormatting sqref="AC2:AC243 AD3:AD481 AE3:XFD244 AD2:XFD2">
    <cfRule type="expression" dxfId="4" priority="26">
      <formula>EVEN(ROW())=ROW()</formula>
    </cfRule>
    <cfRule type="expression" dxfId="3" priority="27">
      <formula>ODD(ROW())=ROW()</formula>
    </cfRule>
  </conditionalFormatting>
  <conditionalFormatting sqref="AD2:AD804">
    <cfRule type="containsText" dxfId="2" priority="8" operator="containsText" text="?">
      <formula>NOT(ISERROR(SEARCH("?",AD2)))</formula>
    </cfRule>
  </conditionalFormatting>
  <conditionalFormatting sqref="A1:XFD1048576">
    <cfRule type="expression" dxfId="1" priority="5">
      <formula>ROW()=CELL("row")</formula>
    </cfRule>
  </conditionalFormatting>
  <conditionalFormatting sqref="A2:AD804">
    <cfRule type="expression" dxfId="0" priority="2">
      <formula>$X2=""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Isidoros Parlamas</dc:creator>
  <cp:lastModifiedBy>Isidoros Parlamas</cp:lastModifiedBy>
  <dcterms:created xsi:type="dcterms:W3CDTF">2023-11-16T08:04:23Z</dcterms:created>
  <dcterms:modified xsi:type="dcterms:W3CDTF">2023-12-14T08:01:23Z</dcterms:modified>
</cp:coreProperties>
</file>